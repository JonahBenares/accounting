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MARIAN-PC\Downloads\"/>
    </mc:Choice>
  </mc:AlternateContent>
  <bookViews>
    <workbookView xWindow="-105" yWindow="-105" windowWidth="23250" windowHeight="12450" activeTab="1"/>
  </bookViews>
  <sheets>
    <sheet name="Collection Report Details" sheetId="1" r:id="rId1"/>
    <sheet name="SORTED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387" i="2" l="1"/>
  <c r="K4387" i="2"/>
  <c r="J4387" i="2"/>
  <c r="I4387" i="2"/>
  <c r="H4387" i="2"/>
  <c r="G4387" i="2"/>
  <c r="L4384" i="2"/>
  <c r="K4384" i="2"/>
  <c r="J4384" i="2"/>
  <c r="I4384" i="2"/>
  <c r="H4384" i="2"/>
  <c r="G4384" i="2"/>
  <c r="L4380" i="2"/>
  <c r="K4380" i="2"/>
  <c r="J4380" i="2"/>
  <c r="I4380" i="2"/>
  <c r="H4380" i="2"/>
  <c r="G4380" i="2"/>
  <c r="L4377" i="2"/>
  <c r="K4377" i="2"/>
  <c r="J4377" i="2"/>
  <c r="I4377" i="2"/>
  <c r="H4377" i="2"/>
  <c r="G4377" i="2"/>
  <c r="L4373" i="2"/>
  <c r="K4373" i="2"/>
  <c r="J4373" i="2"/>
  <c r="I4373" i="2"/>
  <c r="H4373" i="2"/>
  <c r="G4373" i="2"/>
  <c r="L4370" i="2"/>
  <c r="K4370" i="2"/>
  <c r="J4370" i="2"/>
  <c r="I4370" i="2"/>
  <c r="H4370" i="2"/>
  <c r="G4370" i="2"/>
  <c r="L4367" i="2"/>
  <c r="K4367" i="2"/>
  <c r="J4367" i="2"/>
  <c r="I4367" i="2"/>
  <c r="H4367" i="2"/>
  <c r="G4367" i="2"/>
  <c r="L4363" i="2"/>
  <c r="K4363" i="2"/>
  <c r="J4363" i="2"/>
  <c r="I4363" i="2"/>
  <c r="H4363" i="2"/>
  <c r="G4363" i="2"/>
  <c r="L4357" i="2"/>
  <c r="K4357" i="2"/>
  <c r="J4357" i="2"/>
  <c r="I4357" i="2"/>
  <c r="H4357" i="2"/>
  <c r="G4357" i="2"/>
  <c r="L4354" i="2"/>
  <c r="K4354" i="2"/>
  <c r="J4354" i="2"/>
  <c r="I4354" i="2"/>
  <c r="H4354" i="2"/>
  <c r="G4354" i="2"/>
  <c r="L4350" i="2"/>
  <c r="K4350" i="2"/>
  <c r="J4350" i="2"/>
  <c r="I4350" i="2"/>
  <c r="H4350" i="2"/>
  <c r="G4350" i="2"/>
  <c r="L4346" i="2"/>
  <c r="K4346" i="2"/>
  <c r="J4346" i="2"/>
  <c r="I4346" i="2"/>
  <c r="H4346" i="2"/>
  <c r="G4346" i="2"/>
  <c r="L4338" i="2"/>
  <c r="K4338" i="2"/>
  <c r="J4338" i="2"/>
  <c r="I4338" i="2"/>
  <c r="H4338" i="2"/>
  <c r="G4338" i="2"/>
  <c r="L4330" i="2"/>
  <c r="K4330" i="2"/>
  <c r="J4330" i="2"/>
  <c r="I4330" i="2"/>
  <c r="H4330" i="2"/>
  <c r="G4330" i="2"/>
  <c r="L4325" i="2"/>
  <c r="K4325" i="2"/>
  <c r="J4325" i="2"/>
  <c r="I4325" i="2"/>
  <c r="H4325" i="2"/>
  <c r="G4325" i="2"/>
  <c r="L4320" i="2"/>
  <c r="K4320" i="2"/>
  <c r="J4320" i="2"/>
  <c r="I4320" i="2"/>
  <c r="H4320" i="2"/>
  <c r="G4320" i="2"/>
  <c r="L4315" i="2"/>
  <c r="K4315" i="2"/>
  <c r="J4315" i="2"/>
  <c r="I4315" i="2"/>
  <c r="H4315" i="2"/>
  <c r="G4315" i="2"/>
  <c r="L4310" i="2"/>
  <c r="K4310" i="2"/>
  <c r="J4310" i="2"/>
  <c r="I4310" i="2"/>
  <c r="H4310" i="2"/>
  <c r="G4310" i="2"/>
  <c r="L4307" i="2"/>
  <c r="K4307" i="2"/>
  <c r="J4307" i="2"/>
  <c r="I4307" i="2"/>
  <c r="H4307" i="2"/>
  <c r="G4307" i="2"/>
  <c r="L4304" i="2"/>
  <c r="K4304" i="2"/>
  <c r="J4304" i="2"/>
  <c r="I4304" i="2"/>
  <c r="H4304" i="2"/>
  <c r="G4304" i="2"/>
  <c r="L4300" i="2"/>
  <c r="K4300" i="2"/>
  <c r="J4300" i="2"/>
  <c r="I4300" i="2"/>
  <c r="H4300" i="2"/>
  <c r="G4300" i="2"/>
  <c r="L4297" i="2"/>
  <c r="K4297" i="2"/>
  <c r="J4297" i="2"/>
  <c r="I4297" i="2"/>
  <c r="H4297" i="2"/>
  <c r="G4297" i="2"/>
  <c r="L4294" i="2"/>
  <c r="K4294" i="2"/>
  <c r="J4294" i="2"/>
  <c r="I4294" i="2"/>
  <c r="H4294" i="2"/>
  <c r="G4294" i="2"/>
  <c r="L4291" i="2"/>
  <c r="K4291" i="2"/>
  <c r="J4291" i="2"/>
  <c r="I4291" i="2"/>
  <c r="H4291" i="2"/>
  <c r="G4291" i="2"/>
  <c r="L4287" i="2"/>
  <c r="K4287" i="2"/>
  <c r="J4287" i="2"/>
  <c r="I4287" i="2"/>
  <c r="H4287" i="2"/>
  <c r="G4287" i="2"/>
  <c r="L4281" i="2"/>
  <c r="K4281" i="2"/>
  <c r="J4281" i="2"/>
  <c r="I4281" i="2"/>
  <c r="H4281" i="2"/>
  <c r="G4281" i="2"/>
  <c r="L4275" i="2"/>
  <c r="K4275" i="2"/>
  <c r="J4275" i="2"/>
  <c r="I4275" i="2"/>
  <c r="H4275" i="2"/>
  <c r="G4275" i="2"/>
  <c r="L4271" i="2"/>
  <c r="K4271" i="2"/>
  <c r="J4271" i="2"/>
  <c r="I4271" i="2"/>
  <c r="H4271" i="2"/>
  <c r="G4271" i="2"/>
  <c r="L4267" i="2"/>
  <c r="K4267" i="2"/>
  <c r="J4267" i="2"/>
  <c r="I4267" i="2"/>
  <c r="H4267" i="2"/>
  <c r="G4267" i="2"/>
  <c r="L4263" i="2"/>
  <c r="K4263" i="2"/>
  <c r="J4263" i="2"/>
  <c r="I4263" i="2"/>
  <c r="H4263" i="2"/>
  <c r="G4263" i="2"/>
  <c r="L4259" i="2"/>
  <c r="K4259" i="2"/>
  <c r="J4259" i="2"/>
  <c r="I4259" i="2"/>
  <c r="H4259" i="2"/>
  <c r="G4259" i="2"/>
  <c r="L4255" i="2"/>
  <c r="K4255" i="2"/>
  <c r="J4255" i="2"/>
  <c r="I4255" i="2"/>
  <c r="H4255" i="2"/>
  <c r="G4255" i="2"/>
  <c r="L4252" i="2"/>
  <c r="K4252" i="2"/>
  <c r="J4252" i="2"/>
  <c r="I4252" i="2"/>
  <c r="H4252" i="2"/>
  <c r="G4252" i="2"/>
  <c r="L4248" i="2"/>
  <c r="K4248" i="2"/>
  <c r="J4248" i="2"/>
  <c r="I4248" i="2"/>
  <c r="H4248" i="2"/>
  <c r="G4248" i="2"/>
  <c r="L4244" i="2"/>
  <c r="K4244" i="2"/>
  <c r="J4244" i="2"/>
  <c r="I4244" i="2"/>
  <c r="H4244" i="2"/>
  <c r="G4244" i="2"/>
  <c r="L4241" i="2"/>
  <c r="K4241" i="2"/>
  <c r="J4241" i="2"/>
  <c r="I4241" i="2"/>
  <c r="H4241" i="2"/>
  <c r="G4241" i="2"/>
  <c r="L4237" i="2"/>
  <c r="K4237" i="2"/>
  <c r="J4237" i="2"/>
  <c r="I4237" i="2"/>
  <c r="H4237" i="2"/>
  <c r="G4237" i="2"/>
  <c r="L4234" i="2"/>
  <c r="K4234" i="2"/>
  <c r="J4234" i="2"/>
  <c r="I4234" i="2"/>
  <c r="H4234" i="2"/>
  <c r="G4234" i="2"/>
  <c r="L4231" i="2"/>
  <c r="K4231" i="2"/>
  <c r="J4231" i="2"/>
  <c r="I4231" i="2"/>
  <c r="H4231" i="2"/>
  <c r="G4231" i="2"/>
  <c r="L4228" i="2"/>
  <c r="K4228" i="2"/>
  <c r="J4228" i="2"/>
  <c r="I4228" i="2"/>
  <c r="H4228" i="2"/>
  <c r="G4228" i="2"/>
  <c r="L4225" i="2"/>
  <c r="K4225" i="2"/>
  <c r="J4225" i="2"/>
  <c r="I4225" i="2"/>
  <c r="H4225" i="2"/>
  <c r="G4225" i="2"/>
  <c r="L4221" i="2"/>
  <c r="K4221" i="2"/>
  <c r="J4221" i="2"/>
  <c r="I4221" i="2"/>
  <c r="H4221" i="2"/>
  <c r="G4221" i="2"/>
  <c r="L4217" i="2"/>
  <c r="K4217" i="2"/>
  <c r="J4217" i="2"/>
  <c r="I4217" i="2"/>
  <c r="H4217" i="2"/>
  <c r="G4217" i="2"/>
  <c r="L4213" i="2"/>
  <c r="K4213" i="2"/>
  <c r="J4213" i="2"/>
  <c r="I4213" i="2"/>
  <c r="H4213" i="2"/>
  <c r="G4213" i="2"/>
  <c r="L4209" i="2"/>
  <c r="K4209" i="2"/>
  <c r="J4209" i="2"/>
  <c r="I4209" i="2"/>
  <c r="H4209" i="2"/>
  <c r="G4209" i="2"/>
  <c r="L4205" i="2"/>
  <c r="K4205" i="2"/>
  <c r="J4205" i="2"/>
  <c r="I4205" i="2"/>
  <c r="H4205" i="2"/>
  <c r="G4205" i="2"/>
  <c r="L4201" i="2"/>
  <c r="K4201" i="2"/>
  <c r="J4201" i="2"/>
  <c r="I4201" i="2"/>
  <c r="H4201" i="2"/>
  <c r="G4201" i="2"/>
  <c r="L4197" i="2"/>
  <c r="K4197" i="2"/>
  <c r="J4197" i="2"/>
  <c r="I4197" i="2"/>
  <c r="H4197" i="2"/>
  <c r="G4197" i="2"/>
  <c r="L4194" i="2"/>
  <c r="K4194" i="2"/>
  <c r="J4194" i="2"/>
  <c r="I4194" i="2"/>
  <c r="H4194" i="2"/>
  <c r="G4194" i="2"/>
  <c r="L4190" i="2"/>
  <c r="K4190" i="2"/>
  <c r="J4190" i="2"/>
  <c r="I4190" i="2"/>
  <c r="H4190" i="2"/>
  <c r="G4190" i="2"/>
  <c r="L4186" i="2"/>
  <c r="K4186" i="2"/>
  <c r="J4186" i="2"/>
  <c r="I4186" i="2"/>
  <c r="H4186" i="2"/>
  <c r="G4186" i="2"/>
  <c r="L4183" i="2"/>
  <c r="K4183" i="2"/>
  <c r="J4183" i="2"/>
  <c r="I4183" i="2"/>
  <c r="H4183" i="2"/>
  <c r="G4183" i="2"/>
  <c r="L4179" i="2"/>
  <c r="K4179" i="2"/>
  <c r="J4179" i="2"/>
  <c r="I4179" i="2"/>
  <c r="H4179" i="2"/>
  <c r="G4179" i="2"/>
  <c r="L4173" i="2"/>
  <c r="K4173" i="2"/>
  <c r="J4173" i="2"/>
  <c r="I4173" i="2"/>
  <c r="H4173" i="2"/>
  <c r="G4173" i="2"/>
  <c r="L4167" i="2"/>
  <c r="K4167" i="2"/>
  <c r="J4167" i="2"/>
  <c r="I4167" i="2"/>
  <c r="H4167" i="2"/>
  <c r="G4167" i="2"/>
  <c r="L4164" i="2"/>
  <c r="K4164" i="2"/>
  <c r="J4164" i="2"/>
  <c r="I4164" i="2"/>
  <c r="H4164" i="2"/>
  <c r="G4164" i="2"/>
  <c r="L4160" i="2"/>
  <c r="K4160" i="2"/>
  <c r="J4160" i="2"/>
  <c r="I4160" i="2"/>
  <c r="H4160" i="2"/>
  <c r="G4160" i="2"/>
  <c r="L4156" i="2"/>
  <c r="K4156" i="2"/>
  <c r="J4156" i="2"/>
  <c r="I4156" i="2"/>
  <c r="H4156" i="2"/>
  <c r="G4156" i="2"/>
  <c r="L4149" i="2"/>
  <c r="K4149" i="2"/>
  <c r="J4149" i="2"/>
  <c r="I4149" i="2"/>
  <c r="H4149" i="2"/>
  <c r="G4149" i="2"/>
  <c r="L4142" i="2"/>
  <c r="K4142" i="2"/>
  <c r="J4142" i="2"/>
  <c r="I4142" i="2"/>
  <c r="H4142" i="2"/>
  <c r="G4142" i="2"/>
  <c r="L4138" i="2"/>
  <c r="K4138" i="2"/>
  <c r="J4138" i="2"/>
  <c r="I4138" i="2"/>
  <c r="H4138" i="2"/>
  <c r="G4138" i="2"/>
  <c r="L4134" i="2"/>
  <c r="K4134" i="2"/>
  <c r="J4134" i="2"/>
  <c r="I4134" i="2"/>
  <c r="H4134" i="2"/>
  <c r="G4134" i="2"/>
  <c r="L4129" i="2"/>
  <c r="K4129" i="2"/>
  <c r="J4129" i="2"/>
  <c r="I4129" i="2"/>
  <c r="H4129" i="2"/>
  <c r="G4129" i="2"/>
  <c r="L4122" i="2"/>
  <c r="K4122" i="2"/>
  <c r="J4122" i="2"/>
  <c r="I4122" i="2"/>
  <c r="H4122" i="2"/>
  <c r="G4122" i="2"/>
  <c r="L4118" i="2"/>
  <c r="K4118" i="2"/>
  <c r="J4118" i="2"/>
  <c r="I4118" i="2"/>
  <c r="H4118" i="2"/>
  <c r="G4118" i="2"/>
  <c r="L4104" i="2"/>
  <c r="K4104" i="2"/>
  <c r="J4104" i="2"/>
  <c r="I4104" i="2"/>
  <c r="H4104" i="2"/>
  <c r="G4104" i="2"/>
  <c r="L4084" i="2"/>
  <c r="K4084" i="2"/>
  <c r="J4084" i="2"/>
  <c r="I4084" i="2"/>
  <c r="H4084" i="2"/>
  <c r="G4084" i="2"/>
  <c r="L4072" i="2"/>
  <c r="K4072" i="2"/>
  <c r="J4072" i="2"/>
  <c r="I4072" i="2"/>
  <c r="H4072" i="2"/>
  <c r="G4072" i="2"/>
  <c r="L4064" i="2"/>
  <c r="K4064" i="2"/>
  <c r="J4064" i="2"/>
  <c r="I4064" i="2"/>
  <c r="H4064" i="2"/>
  <c r="G4064" i="2"/>
  <c r="L4061" i="2"/>
  <c r="K4061" i="2"/>
  <c r="J4061" i="2"/>
  <c r="I4061" i="2"/>
  <c r="H4061" i="2"/>
  <c r="G4061" i="2"/>
  <c r="L4057" i="2"/>
  <c r="K4057" i="2"/>
  <c r="J4057" i="2"/>
  <c r="I4057" i="2"/>
  <c r="H4057" i="2"/>
  <c r="G4057" i="2"/>
  <c r="L4053" i="2"/>
  <c r="K4053" i="2"/>
  <c r="J4053" i="2"/>
  <c r="I4053" i="2"/>
  <c r="H4053" i="2"/>
  <c r="G4053" i="2"/>
  <c r="L4049" i="2"/>
  <c r="K4049" i="2"/>
  <c r="J4049" i="2"/>
  <c r="I4049" i="2"/>
  <c r="H4049" i="2"/>
  <c r="G4049" i="2"/>
  <c r="L4045" i="2"/>
  <c r="K4045" i="2"/>
  <c r="J4045" i="2"/>
  <c r="I4045" i="2"/>
  <c r="H4045" i="2"/>
  <c r="G4045" i="2"/>
  <c r="L4042" i="2"/>
  <c r="K4042" i="2"/>
  <c r="J4042" i="2"/>
  <c r="I4042" i="2"/>
  <c r="H4042" i="2"/>
  <c r="G4042" i="2"/>
  <c r="L4038" i="2"/>
  <c r="K4038" i="2"/>
  <c r="J4038" i="2"/>
  <c r="I4038" i="2"/>
  <c r="H4038" i="2"/>
  <c r="G4038" i="2"/>
  <c r="L4034" i="2"/>
  <c r="K4034" i="2"/>
  <c r="J4034" i="2"/>
  <c r="I4034" i="2"/>
  <c r="H4034" i="2"/>
  <c r="G4034" i="2"/>
  <c r="L4031" i="2"/>
  <c r="K4031" i="2"/>
  <c r="J4031" i="2"/>
  <c r="I4031" i="2"/>
  <c r="H4031" i="2"/>
  <c r="G4031" i="2"/>
  <c r="L4027" i="2"/>
  <c r="K4027" i="2"/>
  <c r="J4027" i="2"/>
  <c r="I4027" i="2"/>
  <c r="H4027" i="2"/>
  <c r="G4027" i="2"/>
  <c r="L4023" i="2"/>
  <c r="K4023" i="2"/>
  <c r="J4023" i="2"/>
  <c r="I4023" i="2"/>
  <c r="H4023" i="2"/>
  <c r="G4023" i="2"/>
  <c r="L4019" i="2"/>
  <c r="K4019" i="2"/>
  <c r="J4019" i="2"/>
  <c r="I4019" i="2"/>
  <c r="H4019" i="2"/>
  <c r="G4019" i="2"/>
  <c r="L4015" i="2"/>
  <c r="K4015" i="2"/>
  <c r="J4015" i="2"/>
  <c r="I4015" i="2"/>
  <c r="H4015" i="2"/>
  <c r="G4015" i="2"/>
  <c r="L4011" i="2"/>
  <c r="K4011" i="2"/>
  <c r="J4011" i="2"/>
  <c r="I4011" i="2"/>
  <c r="H4011" i="2"/>
  <c r="G4011" i="2"/>
  <c r="L4007" i="2"/>
  <c r="K4007" i="2"/>
  <c r="J4007" i="2"/>
  <c r="I4007" i="2"/>
  <c r="H4007" i="2"/>
  <c r="G4007" i="2"/>
  <c r="L4003" i="2"/>
  <c r="K4003" i="2"/>
  <c r="J4003" i="2"/>
  <c r="I4003" i="2"/>
  <c r="H4003" i="2"/>
  <c r="G4003" i="2"/>
  <c r="L3999" i="2"/>
  <c r="K3999" i="2"/>
  <c r="J3999" i="2"/>
  <c r="I3999" i="2"/>
  <c r="H3999" i="2"/>
  <c r="G3999" i="2"/>
  <c r="L3996" i="2"/>
  <c r="K3996" i="2"/>
  <c r="J3996" i="2"/>
  <c r="I3996" i="2"/>
  <c r="H3996" i="2"/>
  <c r="G3996" i="2"/>
  <c r="L3992" i="2"/>
  <c r="K3992" i="2"/>
  <c r="J3992" i="2"/>
  <c r="I3992" i="2"/>
  <c r="H3992" i="2"/>
  <c r="G3992" i="2"/>
  <c r="L3986" i="2"/>
  <c r="K3986" i="2"/>
  <c r="J3986" i="2"/>
  <c r="I3986" i="2"/>
  <c r="H3986" i="2"/>
  <c r="G3986" i="2"/>
  <c r="L3980" i="2"/>
  <c r="K3980" i="2"/>
  <c r="J3980" i="2"/>
  <c r="I3980" i="2"/>
  <c r="H3980" i="2"/>
  <c r="G3980" i="2"/>
  <c r="L3977" i="2"/>
  <c r="K3977" i="2"/>
  <c r="J3977" i="2"/>
  <c r="I3977" i="2"/>
  <c r="H3977" i="2"/>
  <c r="G3977" i="2"/>
  <c r="N3971" i="2"/>
  <c r="L3971" i="2"/>
  <c r="K3971" i="2"/>
  <c r="J3971" i="2"/>
  <c r="I3971" i="2"/>
  <c r="H3971" i="2"/>
  <c r="G3971" i="2"/>
  <c r="N3963" i="2"/>
  <c r="L3963" i="2"/>
  <c r="K3963" i="2"/>
  <c r="J3963" i="2"/>
  <c r="I3963" i="2"/>
  <c r="H3963" i="2"/>
  <c r="G3963" i="2"/>
  <c r="N3959" i="2"/>
  <c r="L3959" i="2"/>
  <c r="K3959" i="2"/>
  <c r="J3959" i="2"/>
  <c r="I3959" i="2"/>
  <c r="H3959" i="2"/>
  <c r="G3959" i="2"/>
  <c r="L3955" i="2"/>
  <c r="K3955" i="2"/>
  <c r="J3955" i="2"/>
  <c r="I3955" i="2"/>
  <c r="H3955" i="2"/>
  <c r="G3955" i="2"/>
  <c r="L3952" i="2"/>
  <c r="K3952" i="2"/>
  <c r="J3952" i="2"/>
  <c r="I3952" i="2"/>
  <c r="H3952" i="2"/>
  <c r="G3952" i="2"/>
  <c r="L3948" i="2"/>
  <c r="K3948" i="2"/>
  <c r="J3948" i="2"/>
  <c r="I3948" i="2"/>
  <c r="H3948" i="2"/>
  <c r="G3948" i="2"/>
  <c r="L3945" i="2"/>
  <c r="K3945" i="2"/>
  <c r="J3945" i="2"/>
  <c r="I3945" i="2"/>
  <c r="H3945" i="2"/>
  <c r="G3945" i="2"/>
  <c r="L3942" i="2"/>
  <c r="K3942" i="2"/>
  <c r="J3942" i="2"/>
  <c r="I3942" i="2"/>
  <c r="H3942" i="2"/>
  <c r="G3942" i="2"/>
  <c r="L3939" i="2"/>
  <c r="K3939" i="2"/>
  <c r="J3939" i="2"/>
  <c r="I3939" i="2"/>
  <c r="H3939" i="2"/>
  <c r="G3939" i="2"/>
  <c r="L3935" i="2"/>
  <c r="K3935" i="2"/>
  <c r="J3935" i="2"/>
  <c r="I3935" i="2"/>
  <c r="H3935" i="2"/>
  <c r="G3935" i="2"/>
  <c r="L3932" i="2"/>
  <c r="K3932" i="2"/>
  <c r="J3932" i="2"/>
  <c r="I3932" i="2"/>
  <c r="H3932" i="2"/>
  <c r="G3932" i="2"/>
  <c r="L3926" i="2"/>
  <c r="K3926" i="2"/>
  <c r="J3926" i="2"/>
  <c r="I3926" i="2"/>
  <c r="H3926" i="2"/>
  <c r="G3926" i="2"/>
  <c r="L3920" i="2"/>
  <c r="K3920" i="2"/>
  <c r="J3920" i="2"/>
  <c r="I3920" i="2"/>
  <c r="H3920" i="2"/>
  <c r="G3920" i="2"/>
  <c r="L3917" i="2"/>
  <c r="K3917" i="2"/>
  <c r="J3917" i="2"/>
  <c r="I3917" i="2"/>
  <c r="H3917" i="2"/>
  <c r="G3917" i="2"/>
  <c r="L3913" i="2"/>
  <c r="K3913" i="2"/>
  <c r="J3913" i="2"/>
  <c r="I3913" i="2"/>
  <c r="H3913" i="2"/>
  <c r="G3913" i="2"/>
  <c r="L3910" i="2"/>
  <c r="K3910" i="2"/>
  <c r="J3910" i="2"/>
  <c r="I3910" i="2"/>
  <c r="H3910" i="2"/>
  <c r="G3910" i="2"/>
  <c r="L3907" i="2"/>
  <c r="K3907" i="2"/>
  <c r="J3907" i="2"/>
  <c r="I3907" i="2"/>
  <c r="H3907" i="2"/>
  <c r="G3907" i="2"/>
  <c r="L3904" i="2"/>
  <c r="K3904" i="2"/>
  <c r="J3904" i="2"/>
  <c r="I3904" i="2"/>
  <c r="H3904" i="2"/>
  <c r="G3904" i="2"/>
  <c r="L3901" i="2"/>
  <c r="K3901" i="2"/>
  <c r="J3901" i="2"/>
  <c r="I3901" i="2"/>
  <c r="H3901" i="2"/>
  <c r="G3901" i="2"/>
  <c r="L3898" i="2"/>
  <c r="K3898" i="2"/>
  <c r="J3898" i="2"/>
  <c r="I3898" i="2"/>
  <c r="H3898" i="2"/>
  <c r="G3898" i="2"/>
  <c r="L3894" i="2"/>
  <c r="K3894" i="2"/>
  <c r="J3894" i="2"/>
  <c r="I3894" i="2"/>
  <c r="H3894" i="2"/>
  <c r="G3894" i="2"/>
  <c r="L3888" i="2"/>
  <c r="K3888" i="2"/>
  <c r="J3888" i="2"/>
  <c r="I3888" i="2"/>
  <c r="H3888" i="2"/>
  <c r="G3888" i="2"/>
  <c r="L3885" i="2"/>
  <c r="K3885" i="2"/>
  <c r="J3885" i="2"/>
  <c r="I3885" i="2"/>
  <c r="H3885" i="2"/>
  <c r="G3885" i="2"/>
  <c r="L3881" i="2"/>
  <c r="K3881" i="2"/>
  <c r="J3881" i="2"/>
  <c r="I3881" i="2"/>
  <c r="H3881" i="2"/>
  <c r="G3881" i="2"/>
  <c r="L3877" i="2"/>
  <c r="K3877" i="2"/>
  <c r="J3877" i="2"/>
  <c r="I3877" i="2"/>
  <c r="H3877" i="2"/>
  <c r="G3877" i="2"/>
  <c r="L3871" i="2"/>
  <c r="K3871" i="2"/>
  <c r="J3871" i="2"/>
  <c r="I3871" i="2"/>
  <c r="H3871" i="2"/>
  <c r="G3871" i="2"/>
  <c r="L3868" i="2"/>
  <c r="K3868" i="2"/>
  <c r="J3868" i="2"/>
  <c r="I3868" i="2"/>
  <c r="H3868" i="2"/>
  <c r="G3868" i="2"/>
  <c r="L3864" i="2"/>
  <c r="K3864" i="2"/>
  <c r="J3864" i="2"/>
  <c r="I3864" i="2"/>
  <c r="H3864" i="2"/>
  <c r="G3864" i="2"/>
  <c r="L3860" i="2"/>
  <c r="K3860" i="2"/>
  <c r="J3860" i="2"/>
  <c r="I3860" i="2"/>
  <c r="H3860" i="2"/>
  <c r="G3860" i="2"/>
  <c r="L3856" i="2"/>
  <c r="K3856" i="2"/>
  <c r="J3856" i="2"/>
  <c r="I3856" i="2"/>
  <c r="H3856" i="2"/>
  <c r="G3856" i="2"/>
  <c r="L3853" i="2"/>
  <c r="K3853" i="2"/>
  <c r="J3853" i="2"/>
  <c r="I3853" i="2"/>
  <c r="H3853" i="2"/>
  <c r="G3853" i="2"/>
  <c r="L3849" i="2"/>
  <c r="K3849" i="2"/>
  <c r="J3849" i="2"/>
  <c r="I3849" i="2"/>
  <c r="H3849" i="2"/>
  <c r="G3849" i="2"/>
  <c r="L3845" i="2"/>
  <c r="K3845" i="2"/>
  <c r="J3845" i="2"/>
  <c r="I3845" i="2"/>
  <c r="H3845" i="2"/>
  <c r="G3845" i="2"/>
  <c r="L3842" i="2"/>
  <c r="K3842" i="2"/>
  <c r="J3842" i="2"/>
  <c r="I3842" i="2"/>
  <c r="H3842" i="2"/>
  <c r="G3842" i="2"/>
  <c r="L3839" i="2"/>
  <c r="K3839" i="2"/>
  <c r="J3839" i="2"/>
  <c r="I3839" i="2"/>
  <c r="H3839" i="2"/>
  <c r="G3839" i="2"/>
  <c r="L3836" i="2"/>
  <c r="K3836" i="2"/>
  <c r="J3836" i="2"/>
  <c r="I3836" i="2"/>
  <c r="H3836" i="2"/>
  <c r="G3836" i="2"/>
  <c r="L3832" i="2"/>
  <c r="K3832" i="2"/>
  <c r="J3832" i="2"/>
  <c r="I3832" i="2"/>
  <c r="H3832" i="2"/>
  <c r="G3832" i="2"/>
  <c r="L3829" i="2"/>
  <c r="K3829" i="2"/>
  <c r="J3829" i="2"/>
  <c r="I3829" i="2"/>
  <c r="H3829" i="2"/>
  <c r="G3829" i="2"/>
  <c r="L3826" i="2"/>
  <c r="K3826" i="2"/>
  <c r="J3826" i="2"/>
  <c r="I3826" i="2"/>
  <c r="H3826" i="2"/>
  <c r="G3826" i="2"/>
  <c r="L3823" i="2"/>
  <c r="K3823" i="2"/>
  <c r="J3823" i="2"/>
  <c r="I3823" i="2"/>
  <c r="H3823" i="2"/>
  <c r="G3823" i="2"/>
  <c r="L3819" i="2"/>
  <c r="K3819" i="2"/>
  <c r="J3819" i="2"/>
  <c r="I3819" i="2"/>
  <c r="H3819" i="2"/>
  <c r="G3819" i="2"/>
  <c r="L3815" i="2"/>
  <c r="K3815" i="2"/>
  <c r="J3815" i="2"/>
  <c r="I3815" i="2"/>
  <c r="H3815" i="2"/>
  <c r="G3815" i="2"/>
  <c r="L3812" i="2"/>
  <c r="K3812" i="2"/>
  <c r="J3812" i="2"/>
  <c r="I3812" i="2"/>
  <c r="H3812" i="2"/>
  <c r="G3812" i="2"/>
  <c r="L3808" i="2"/>
  <c r="K3808" i="2"/>
  <c r="J3808" i="2"/>
  <c r="I3808" i="2"/>
  <c r="H3808" i="2"/>
  <c r="G3808" i="2"/>
  <c r="L3804" i="2"/>
  <c r="K3804" i="2"/>
  <c r="J3804" i="2"/>
  <c r="I3804" i="2"/>
  <c r="H3804" i="2"/>
  <c r="G3804" i="2"/>
  <c r="L3801" i="2"/>
  <c r="K3801" i="2"/>
  <c r="J3801" i="2"/>
  <c r="I3801" i="2"/>
  <c r="H3801" i="2"/>
  <c r="G3801" i="2"/>
  <c r="L3797" i="2"/>
  <c r="K3797" i="2"/>
  <c r="J3797" i="2"/>
  <c r="I3797" i="2"/>
  <c r="H3797" i="2"/>
  <c r="G3797" i="2"/>
  <c r="L3793" i="2"/>
  <c r="K3793" i="2"/>
  <c r="J3793" i="2"/>
  <c r="I3793" i="2"/>
  <c r="H3793" i="2"/>
  <c r="G3793" i="2"/>
  <c r="N3790" i="2"/>
  <c r="L3790" i="2"/>
  <c r="K3790" i="2"/>
  <c r="J3790" i="2"/>
  <c r="I3790" i="2"/>
  <c r="H3790" i="2"/>
  <c r="G3790" i="2"/>
  <c r="L3786" i="2"/>
  <c r="K3786" i="2"/>
  <c r="J3786" i="2"/>
  <c r="I3786" i="2"/>
  <c r="H3786" i="2"/>
  <c r="G3786" i="2"/>
  <c r="L3783" i="2"/>
  <c r="K3783" i="2"/>
  <c r="J3783" i="2"/>
  <c r="I3783" i="2"/>
  <c r="H3783" i="2"/>
  <c r="G3783" i="2"/>
  <c r="L3779" i="2"/>
  <c r="K3779" i="2"/>
  <c r="J3779" i="2"/>
  <c r="I3779" i="2"/>
  <c r="H3779" i="2"/>
  <c r="G3779" i="2"/>
  <c r="L3776" i="2"/>
  <c r="K3776" i="2"/>
  <c r="J3776" i="2"/>
  <c r="I3776" i="2"/>
  <c r="H3776" i="2"/>
  <c r="G3776" i="2"/>
  <c r="L3772" i="2"/>
  <c r="K3772" i="2"/>
  <c r="J3772" i="2"/>
  <c r="I3772" i="2"/>
  <c r="H3772" i="2"/>
  <c r="G3772" i="2"/>
  <c r="L3769" i="2"/>
  <c r="K3769" i="2"/>
  <c r="J3769" i="2"/>
  <c r="I3769" i="2"/>
  <c r="H3769" i="2"/>
  <c r="G3769" i="2"/>
  <c r="L3765" i="2"/>
  <c r="K3765" i="2"/>
  <c r="J3765" i="2"/>
  <c r="I3765" i="2"/>
  <c r="H3765" i="2"/>
  <c r="G3765" i="2"/>
  <c r="L3761" i="2"/>
  <c r="K3761" i="2"/>
  <c r="J3761" i="2"/>
  <c r="I3761" i="2"/>
  <c r="H3761" i="2"/>
  <c r="G3761" i="2"/>
  <c r="L3758" i="2"/>
  <c r="K3758" i="2"/>
  <c r="J3758" i="2"/>
  <c r="I3758" i="2"/>
  <c r="H3758" i="2"/>
  <c r="G3758" i="2"/>
  <c r="L3755" i="2"/>
  <c r="K3755" i="2"/>
  <c r="J3755" i="2"/>
  <c r="I3755" i="2"/>
  <c r="H3755" i="2"/>
  <c r="G3755" i="2"/>
  <c r="L3752" i="2"/>
  <c r="K3752" i="2"/>
  <c r="J3752" i="2"/>
  <c r="I3752" i="2"/>
  <c r="H3752" i="2"/>
  <c r="G3752" i="2"/>
  <c r="L3749" i="2"/>
  <c r="K3749" i="2"/>
  <c r="J3749" i="2"/>
  <c r="I3749" i="2"/>
  <c r="H3749" i="2"/>
  <c r="G3749" i="2"/>
  <c r="L3746" i="2"/>
  <c r="K3746" i="2"/>
  <c r="J3746" i="2"/>
  <c r="I3746" i="2"/>
  <c r="H3746" i="2"/>
  <c r="G3746" i="2"/>
  <c r="L3743" i="2"/>
  <c r="K3743" i="2"/>
  <c r="J3743" i="2"/>
  <c r="I3743" i="2"/>
  <c r="H3743" i="2"/>
  <c r="G3743" i="2"/>
  <c r="L3739" i="2"/>
  <c r="K3739" i="2"/>
  <c r="J3739" i="2"/>
  <c r="I3739" i="2"/>
  <c r="H3739" i="2"/>
  <c r="G3739" i="2"/>
  <c r="L3733" i="2"/>
  <c r="K3733" i="2"/>
  <c r="J3733" i="2"/>
  <c r="I3733" i="2"/>
  <c r="H3733" i="2"/>
  <c r="G3733" i="2"/>
  <c r="L3729" i="2"/>
  <c r="K3729" i="2"/>
  <c r="J3729" i="2"/>
  <c r="I3729" i="2"/>
  <c r="H3729" i="2"/>
  <c r="G3729" i="2"/>
  <c r="L3725" i="2"/>
  <c r="K3725" i="2"/>
  <c r="J3725" i="2"/>
  <c r="I3725" i="2"/>
  <c r="H3725" i="2"/>
  <c r="G3725" i="2"/>
  <c r="L3721" i="2"/>
  <c r="K3721" i="2"/>
  <c r="J3721" i="2"/>
  <c r="I3721" i="2"/>
  <c r="H3721" i="2"/>
  <c r="G3721" i="2"/>
  <c r="L3717" i="2"/>
  <c r="K3717" i="2"/>
  <c r="J3717" i="2"/>
  <c r="I3717" i="2"/>
  <c r="H3717" i="2"/>
  <c r="G3717" i="2"/>
  <c r="L3713" i="2"/>
  <c r="K3713" i="2"/>
  <c r="J3713" i="2"/>
  <c r="I3713" i="2"/>
  <c r="H3713" i="2"/>
  <c r="G3713" i="2"/>
  <c r="L3709" i="2"/>
  <c r="K3709" i="2"/>
  <c r="J3709" i="2"/>
  <c r="I3709" i="2"/>
  <c r="H3709" i="2"/>
  <c r="G3709" i="2"/>
  <c r="L3706" i="2"/>
  <c r="K3706" i="2"/>
  <c r="J3706" i="2"/>
  <c r="I3706" i="2"/>
  <c r="H3706" i="2"/>
  <c r="G3706" i="2"/>
  <c r="L3703" i="2"/>
  <c r="K3703" i="2"/>
  <c r="J3703" i="2"/>
  <c r="I3703" i="2"/>
  <c r="H3703" i="2"/>
  <c r="G3703" i="2"/>
  <c r="L3700" i="2"/>
  <c r="K3700" i="2"/>
  <c r="J3700" i="2"/>
  <c r="I3700" i="2"/>
  <c r="H3700" i="2"/>
  <c r="G3700" i="2"/>
  <c r="L3696" i="2"/>
  <c r="K3696" i="2"/>
  <c r="J3696" i="2"/>
  <c r="I3696" i="2"/>
  <c r="H3696" i="2"/>
  <c r="G3696" i="2"/>
  <c r="L3692" i="2"/>
  <c r="K3692" i="2"/>
  <c r="J3692" i="2"/>
  <c r="I3692" i="2"/>
  <c r="H3692" i="2"/>
  <c r="G3692" i="2"/>
  <c r="L3689" i="2"/>
  <c r="K3689" i="2"/>
  <c r="J3689" i="2"/>
  <c r="I3689" i="2"/>
  <c r="H3689" i="2"/>
  <c r="G3689" i="2"/>
  <c r="L3677" i="2"/>
  <c r="K3677" i="2"/>
  <c r="J3677" i="2"/>
  <c r="I3677" i="2"/>
  <c r="H3677" i="2"/>
  <c r="G3677" i="2"/>
  <c r="L3665" i="2"/>
  <c r="K3665" i="2"/>
  <c r="J3665" i="2"/>
  <c r="I3665" i="2"/>
  <c r="H3665" i="2"/>
  <c r="G3665" i="2"/>
  <c r="L3662" i="2"/>
  <c r="K3662" i="2"/>
  <c r="J3662" i="2"/>
  <c r="I3662" i="2"/>
  <c r="H3662" i="2"/>
  <c r="G3662" i="2"/>
  <c r="L3655" i="2"/>
  <c r="K3655" i="2"/>
  <c r="J3655" i="2"/>
  <c r="I3655" i="2"/>
  <c r="H3655" i="2"/>
  <c r="G3655" i="2"/>
  <c r="L3650" i="2"/>
  <c r="K3650" i="2"/>
  <c r="J3650" i="2"/>
  <c r="I3650" i="2"/>
  <c r="H3650" i="2"/>
  <c r="G3650" i="2"/>
  <c r="L3647" i="2"/>
  <c r="K3647" i="2"/>
  <c r="J3647" i="2"/>
  <c r="I3647" i="2"/>
  <c r="H3647" i="2"/>
  <c r="G3647" i="2"/>
  <c r="L3643" i="2"/>
  <c r="K3643" i="2"/>
  <c r="J3643" i="2"/>
  <c r="I3643" i="2"/>
  <c r="H3643" i="2"/>
  <c r="G3643" i="2"/>
  <c r="L3619" i="2"/>
  <c r="K3619" i="2"/>
  <c r="J3619" i="2"/>
  <c r="I3619" i="2"/>
  <c r="H3619" i="2"/>
  <c r="G3619" i="2"/>
  <c r="L3591" i="2"/>
  <c r="K3591" i="2"/>
  <c r="J3591" i="2"/>
  <c r="I3591" i="2"/>
  <c r="H3591" i="2"/>
  <c r="G3591" i="2"/>
  <c r="L3579" i="2"/>
  <c r="K3579" i="2"/>
  <c r="J3579" i="2"/>
  <c r="I3579" i="2"/>
  <c r="H3579" i="2"/>
  <c r="G3579" i="2"/>
  <c r="L3563" i="2"/>
  <c r="K3563" i="2"/>
  <c r="J3563" i="2"/>
  <c r="I3563" i="2"/>
  <c r="H3563" i="2"/>
  <c r="G3563" i="2"/>
  <c r="L3559" i="2"/>
  <c r="K3559" i="2"/>
  <c r="J3559" i="2"/>
  <c r="I3559" i="2"/>
  <c r="H3559" i="2"/>
  <c r="G3559" i="2"/>
  <c r="L3555" i="2"/>
  <c r="K3555" i="2"/>
  <c r="J3555" i="2"/>
  <c r="I3555" i="2"/>
  <c r="H3555" i="2"/>
  <c r="G3555" i="2"/>
  <c r="L3549" i="2"/>
  <c r="K3549" i="2"/>
  <c r="J3549" i="2"/>
  <c r="I3549" i="2"/>
  <c r="H3549" i="2"/>
  <c r="G3549" i="2"/>
  <c r="L3543" i="2"/>
  <c r="K3543" i="2"/>
  <c r="J3543" i="2"/>
  <c r="I3543" i="2"/>
  <c r="H3543" i="2"/>
  <c r="G3543" i="2"/>
  <c r="L3540" i="2"/>
  <c r="K3540" i="2"/>
  <c r="J3540" i="2"/>
  <c r="I3540" i="2"/>
  <c r="H3540" i="2"/>
  <c r="G3540" i="2"/>
  <c r="L3536" i="2"/>
  <c r="K3536" i="2"/>
  <c r="J3536" i="2"/>
  <c r="I3536" i="2"/>
  <c r="H3536" i="2"/>
  <c r="G3536" i="2"/>
  <c r="L3532" i="2"/>
  <c r="K3532" i="2"/>
  <c r="J3532" i="2"/>
  <c r="I3532" i="2"/>
  <c r="H3532" i="2"/>
  <c r="G3532" i="2"/>
  <c r="L3526" i="2"/>
  <c r="K3526" i="2"/>
  <c r="J3526" i="2"/>
  <c r="I3526" i="2"/>
  <c r="H3526" i="2"/>
  <c r="G3526" i="2"/>
  <c r="L3520" i="2"/>
  <c r="K3520" i="2"/>
  <c r="J3520" i="2"/>
  <c r="I3520" i="2"/>
  <c r="H3520" i="2"/>
  <c r="G3520" i="2"/>
  <c r="L3516" i="2"/>
  <c r="K3516" i="2"/>
  <c r="J3516" i="2"/>
  <c r="I3516" i="2"/>
  <c r="H3516" i="2"/>
  <c r="G3516" i="2"/>
  <c r="L3510" i="2"/>
  <c r="K3510" i="2"/>
  <c r="J3510" i="2"/>
  <c r="I3510" i="2"/>
  <c r="H3510" i="2"/>
  <c r="G3510" i="2"/>
  <c r="L3504" i="2"/>
  <c r="K3504" i="2"/>
  <c r="J3504" i="2"/>
  <c r="I3504" i="2"/>
  <c r="H3504" i="2"/>
  <c r="G3504" i="2"/>
  <c r="L3500" i="2"/>
  <c r="K3500" i="2"/>
  <c r="J3500" i="2"/>
  <c r="I3500" i="2"/>
  <c r="H3500" i="2"/>
  <c r="G3500" i="2"/>
  <c r="L3496" i="2"/>
  <c r="K3496" i="2"/>
  <c r="J3496" i="2"/>
  <c r="I3496" i="2"/>
  <c r="H3496" i="2"/>
  <c r="G3496" i="2"/>
  <c r="L3492" i="2"/>
  <c r="K3492" i="2"/>
  <c r="J3492" i="2"/>
  <c r="I3492" i="2"/>
  <c r="H3492" i="2"/>
  <c r="G3492" i="2"/>
  <c r="L3488" i="2"/>
  <c r="K3488" i="2"/>
  <c r="J3488" i="2"/>
  <c r="I3488" i="2"/>
  <c r="H3488" i="2"/>
  <c r="G3488" i="2"/>
  <c r="L3484" i="2"/>
  <c r="K3484" i="2"/>
  <c r="J3484" i="2"/>
  <c r="I3484" i="2"/>
  <c r="H3484" i="2"/>
  <c r="G3484" i="2"/>
  <c r="L3480" i="2"/>
  <c r="K3480" i="2"/>
  <c r="J3480" i="2"/>
  <c r="I3480" i="2"/>
  <c r="H3480" i="2"/>
  <c r="G3480" i="2"/>
  <c r="L3474" i="2"/>
  <c r="K3474" i="2"/>
  <c r="J3474" i="2"/>
  <c r="I3474" i="2"/>
  <c r="H3474" i="2"/>
  <c r="G3474" i="2"/>
  <c r="L3468" i="2"/>
  <c r="K3468" i="2"/>
  <c r="J3468" i="2"/>
  <c r="I3468" i="2"/>
  <c r="H3468" i="2"/>
  <c r="G3468" i="2"/>
  <c r="L3465" i="2"/>
  <c r="K3465" i="2"/>
  <c r="J3465" i="2"/>
  <c r="I3465" i="2"/>
  <c r="H3465" i="2"/>
  <c r="G3465" i="2"/>
  <c r="L3461" i="2"/>
  <c r="K3461" i="2"/>
  <c r="J3461" i="2"/>
  <c r="I3461" i="2"/>
  <c r="H3461" i="2"/>
  <c r="G3461" i="2"/>
  <c r="L3455" i="2"/>
  <c r="K3455" i="2"/>
  <c r="J3455" i="2"/>
  <c r="I3455" i="2"/>
  <c r="H3455" i="2"/>
  <c r="G3455" i="2"/>
  <c r="L3451" i="2"/>
  <c r="K3451" i="2"/>
  <c r="J3451" i="2"/>
  <c r="I3451" i="2"/>
  <c r="H3451" i="2"/>
  <c r="G3451" i="2"/>
  <c r="L3447" i="2"/>
  <c r="K3447" i="2"/>
  <c r="J3447" i="2"/>
  <c r="I3447" i="2"/>
  <c r="H3447" i="2"/>
  <c r="G3447" i="2"/>
  <c r="L3443" i="2"/>
  <c r="K3443" i="2"/>
  <c r="J3443" i="2"/>
  <c r="I3443" i="2"/>
  <c r="H3443" i="2"/>
  <c r="G3443" i="2"/>
  <c r="L3440" i="2"/>
  <c r="K3440" i="2"/>
  <c r="J3440" i="2"/>
  <c r="I3440" i="2"/>
  <c r="H3440" i="2"/>
  <c r="G3440" i="2"/>
  <c r="L3437" i="2"/>
  <c r="K3437" i="2"/>
  <c r="J3437" i="2"/>
  <c r="I3437" i="2"/>
  <c r="H3437" i="2"/>
  <c r="G3437" i="2"/>
  <c r="L3434" i="2"/>
  <c r="K3434" i="2"/>
  <c r="J3434" i="2"/>
  <c r="I3434" i="2"/>
  <c r="H3434" i="2"/>
  <c r="G3434" i="2"/>
  <c r="L3431" i="2"/>
  <c r="K3431" i="2"/>
  <c r="J3431" i="2"/>
  <c r="I3431" i="2"/>
  <c r="H3431" i="2"/>
  <c r="G3431" i="2"/>
  <c r="L3428" i="2"/>
  <c r="K3428" i="2"/>
  <c r="J3428" i="2"/>
  <c r="I3428" i="2"/>
  <c r="H3428" i="2"/>
  <c r="G3428" i="2"/>
  <c r="L3424" i="2"/>
  <c r="K3424" i="2"/>
  <c r="J3424" i="2"/>
  <c r="I3424" i="2"/>
  <c r="H3424" i="2"/>
  <c r="G3424" i="2"/>
  <c r="L3420" i="2"/>
  <c r="K3420" i="2"/>
  <c r="J3420" i="2"/>
  <c r="I3420" i="2"/>
  <c r="H3420" i="2"/>
  <c r="G3420" i="2"/>
  <c r="L3416" i="2"/>
  <c r="K3416" i="2"/>
  <c r="J3416" i="2"/>
  <c r="I3416" i="2"/>
  <c r="H3416" i="2"/>
  <c r="G3416" i="2"/>
  <c r="L3413" i="2"/>
  <c r="K3413" i="2"/>
  <c r="J3413" i="2"/>
  <c r="I3413" i="2"/>
  <c r="H3413" i="2"/>
  <c r="G3413" i="2"/>
  <c r="L3410" i="2"/>
  <c r="K3410" i="2"/>
  <c r="J3410" i="2"/>
  <c r="I3410" i="2"/>
  <c r="H3410" i="2"/>
  <c r="G3410" i="2"/>
  <c r="L3407" i="2"/>
  <c r="K3407" i="2"/>
  <c r="J3407" i="2"/>
  <c r="I3407" i="2"/>
  <c r="H3407" i="2"/>
  <c r="G3407" i="2"/>
  <c r="L3404" i="2"/>
  <c r="K3404" i="2"/>
  <c r="J3404" i="2"/>
  <c r="I3404" i="2"/>
  <c r="H3404" i="2"/>
  <c r="G3404" i="2"/>
  <c r="L3398" i="2"/>
  <c r="K3398" i="2"/>
  <c r="J3398" i="2"/>
  <c r="I3398" i="2"/>
  <c r="H3398" i="2"/>
  <c r="G3398" i="2"/>
  <c r="L3390" i="2"/>
  <c r="K3390" i="2"/>
  <c r="J3390" i="2"/>
  <c r="I3390" i="2"/>
  <c r="H3390" i="2"/>
  <c r="G3390" i="2"/>
  <c r="L3386" i="2"/>
  <c r="K3386" i="2"/>
  <c r="J3386" i="2"/>
  <c r="I3386" i="2"/>
  <c r="H3386" i="2"/>
  <c r="G3386" i="2"/>
  <c r="L3382" i="2"/>
  <c r="K3382" i="2"/>
  <c r="J3382" i="2"/>
  <c r="I3382" i="2"/>
  <c r="H3382" i="2"/>
  <c r="G3382" i="2"/>
  <c r="L3376" i="2"/>
  <c r="K3376" i="2"/>
  <c r="J3376" i="2"/>
  <c r="I3376" i="2"/>
  <c r="H3376" i="2"/>
  <c r="G3376" i="2"/>
  <c r="N3372" i="2"/>
  <c r="L3372" i="2"/>
  <c r="K3372" i="2"/>
  <c r="J3372" i="2"/>
  <c r="I3372" i="2"/>
  <c r="H3372" i="2"/>
  <c r="G3372" i="2"/>
  <c r="L3364" i="2"/>
  <c r="K3364" i="2"/>
  <c r="J3364" i="2"/>
  <c r="I3364" i="2"/>
  <c r="H3364" i="2"/>
  <c r="G3364" i="2"/>
  <c r="L3361" i="2"/>
  <c r="K3361" i="2"/>
  <c r="J3361" i="2"/>
  <c r="I3361" i="2"/>
  <c r="H3361" i="2"/>
  <c r="G3361" i="2"/>
  <c r="L3358" i="2"/>
  <c r="K3358" i="2"/>
  <c r="J3358" i="2"/>
  <c r="I3358" i="2"/>
  <c r="H3358" i="2"/>
  <c r="G3358" i="2"/>
  <c r="L3355" i="2"/>
  <c r="K3355" i="2"/>
  <c r="J3355" i="2"/>
  <c r="I3355" i="2"/>
  <c r="H3355" i="2"/>
  <c r="G3355" i="2"/>
  <c r="L3352" i="2"/>
  <c r="K3352" i="2"/>
  <c r="J3352" i="2"/>
  <c r="I3352" i="2"/>
  <c r="H3352" i="2"/>
  <c r="G3352" i="2"/>
  <c r="L3349" i="2"/>
  <c r="K3349" i="2"/>
  <c r="J3349" i="2"/>
  <c r="I3349" i="2"/>
  <c r="H3349" i="2"/>
  <c r="G3349" i="2"/>
  <c r="L3345" i="2"/>
  <c r="K3345" i="2"/>
  <c r="J3345" i="2"/>
  <c r="I3345" i="2"/>
  <c r="H3345" i="2"/>
  <c r="G3345" i="2"/>
  <c r="L3342" i="2"/>
  <c r="K3342" i="2"/>
  <c r="J3342" i="2"/>
  <c r="I3342" i="2"/>
  <c r="H3342" i="2"/>
  <c r="G3342" i="2"/>
  <c r="L3339" i="2"/>
  <c r="K3339" i="2"/>
  <c r="J3339" i="2"/>
  <c r="I3339" i="2"/>
  <c r="H3339" i="2"/>
  <c r="G3339" i="2"/>
  <c r="L3336" i="2"/>
  <c r="K3336" i="2"/>
  <c r="J3336" i="2"/>
  <c r="I3336" i="2"/>
  <c r="H3336" i="2"/>
  <c r="G3336" i="2"/>
  <c r="L3333" i="2"/>
  <c r="K3333" i="2"/>
  <c r="J3333" i="2"/>
  <c r="I3333" i="2"/>
  <c r="H3333" i="2"/>
  <c r="G3333" i="2"/>
  <c r="L3329" i="2"/>
  <c r="K3329" i="2"/>
  <c r="J3329" i="2"/>
  <c r="I3329" i="2"/>
  <c r="H3329" i="2"/>
  <c r="G3329" i="2"/>
  <c r="L3326" i="2"/>
  <c r="K3326" i="2"/>
  <c r="J3326" i="2"/>
  <c r="I3326" i="2"/>
  <c r="H3326" i="2"/>
  <c r="G3326" i="2"/>
  <c r="L3320" i="2"/>
  <c r="K3320" i="2"/>
  <c r="J3320" i="2"/>
  <c r="I3320" i="2"/>
  <c r="H3320" i="2"/>
  <c r="G3320" i="2"/>
  <c r="L3314" i="2"/>
  <c r="K3314" i="2"/>
  <c r="J3314" i="2"/>
  <c r="I3314" i="2"/>
  <c r="H3314" i="2"/>
  <c r="G3314" i="2"/>
  <c r="L3310" i="2"/>
  <c r="K3310" i="2"/>
  <c r="J3310" i="2"/>
  <c r="I3310" i="2"/>
  <c r="H3310" i="2"/>
  <c r="G3310" i="2"/>
  <c r="L3306" i="2"/>
  <c r="K3306" i="2"/>
  <c r="J3306" i="2"/>
  <c r="I3306" i="2"/>
  <c r="H3306" i="2"/>
  <c r="G3306" i="2"/>
  <c r="N3302" i="2"/>
  <c r="L3302" i="2"/>
  <c r="K3302" i="2"/>
  <c r="J3302" i="2"/>
  <c r="I3302" i="2"/>
  <c r="H3302" i="2"/>
  <c r="G3302" i="2"/>
  <c r="L3297" i="2"/>
  <c r="K3297" i="2"/>
  <c r="J3297" i="2"/>
  <c r="I3297" i="2"/>
  <c r="H3297" i="2"/>
  <c r="G3297" i="2"/>
  <c r="L3294" i="2"/>
  <c r="K3294" i="2"/>
  <c r="J3294" i="2"/>
  <c r="I3294" i="2"/>
  <c r="H3294" i="2"/>
  <c r="G3294" i="2"/>
  <c r="L3291" i="2"/>
  <c r="K3291" i="2"/>
  <c r="J3291" i="2"/>
  <c r="I3291" i="2"/>
  <c r="H3291" i="2"/>
  <c r="G3291" i="2"/>
  <c r="N3288" i="2"/>
  <c r="L3288" i="2"/>
  <c r="K3288" i="2"/>
  <c r="J3288" i="2"/>
  <c r="I3288" i="2"/>
  <c r="H3288" i="2"/>
  <c r="G3288" i="2"/>
  <c r="N3283" i="2"/>
  <c r="L3283" i="2"/>
  <c r="K3283" i="2"/>
  <c r="J3283" i="2"/>
  <c r="I3283" i="2"/>
  <c r="H3283" i="2"/>
  <c r="G3283" i="2"/>
  <c r="L3278" i="2"/>
  <c r="K3278" i="2"/>
  <c r="J3278" i="2"/>
  <c r="I3278" i="2"/>
  <c r="H3278" i="2"/>
  <c r="G3278" i="2"/>
  <c r="L3274" i="2"/>
  <c r="K3274" i="2"/>
  <c r="J3274" i="2"/>
  <c r="I3274" i="2"/>
  <c r="H3274" i="2"/>
  <c r="G3274" i="2"/>
  <c r="L3270" i="2"/>
  <c r="K3270" i="2"/>
  <c r="J3270" i="2"/>
  <c r="I3270" i="2"/>
  <c r="H3270" i="2"/>
  <c r="G3270" i="2"/>
  <c r="L3267" i="2"/>
  <c r="K3267" i="2"/>
  <c r="J3267" i="2"/>
  <c r="I3267" i="2"/>
  <c r="H3267" i="2"/>
  <c r="G3267" i="2"/>
  <c r="L3263" i="2"/>
  <c r="K3263" i="2"/>
  <c r="J3263" i="2"/>
  <c r="I3263" i="2"/>
  <c r="H3263" i="2"/>
  <c r="G3263" i="2"/>
  <c r="L3259" i="2"/>
  <c r="K3259" i="2"/>
  <c r="J3259" i="2"/>
  <c r="I3259" i="2"/>
  <c r="H3259" i="2"/>
  <c r="G3259" i="2"/>
  <c r="L3255" i="2"/>
  <c r="K3255" i="2"/>
  <c r="J3255" i="2"/>
  <c r="I3255" i="2"/>
  <c r="H3255" i="2"/>
  <c r="G3255" i="2"/>
  <c r="L3252" i="2"/>
  <c r="K3252" i="2"/>
  <c r="J3252" i="2"/>
  <c r="I3252" i="2"/>
  <c r="H3252" i="2"/>
  <c r="G3252" i="2"/>
  <c r="L3248" i="2"/>
  <c r="K3248" i="2"/>
  <c r="J3248" i="2"/>
  <c r="I3248" i="2"/>
  <c r="H3248" i="2"/>
  <c r="G3248" i="2"/>
  <c r="L3245" i="2"/>
  <c r="K3245" i="2"/>
  <c r="J3245" i="2"/>
  <c r="I3245" i="2"/>
  <c r="H3245" i="2"/>
  <c r="G3245" i="2"/>
  <c r="L3242" i="2"/>
  <c r="K3242" i="2"/>
  <c r="J3242" i="2"/>
  <c r="I3242" i="2"/>
  <c r="H3242" i="2"/>
  <c r="G3242" i="2"/>
  <c r="L3239" i="2"/>
  <c r="K3239" i="2"/>
  <c r="J3239" i="2"/>
  <c r="I3239" i="2"/>
  <c r="H3239" i="2"/>
  <c r="G3239" i="2"/>
  <c r="L3236" i="2"/>
  <c r="K3236" i="2"/>
  <c r="J3236" i="2"/>
  <c r="I3236" i="2"/>
  <c r="H3236" i="2"/>
  <c r="G3236" i="2"/>
  <c r="L3233" i="2"/>
  <c r="K3233" i="2"/>
  <c r="J3233" i="2"/>
  <c r="I3233" i="2"/>
  <c r="H3233" i="2"/>
  <c r="G3233" i="2"/>
  <c r="L3229" i="2"/>
  <c r="K3229" i="2"/>
  <c r="J3229" i="2"/>
  <c r="I3229" i="2"/>
  <c r="H3229" i="2"/>
  <c r="G3229" i="2"/>
  <c r="L3226" i="2"/>
  <c r="K3226" i="2"/>
  <c r="J3226" i="2"/>
  <c r="I3226" i="2"/>
  <c r="H3226" i="2"/>
  <c r="G3226" i="2"/>
  <c r="L3223" i="2"/>
  <c r="K3223" i="2"/>
  <c r="J3223" i="2"/>
  <c r="I3223" i="2"/>
  <c r="H3223" i="2"/>
  <c r="G3223" i="2"/>
  <c r="L3220" i="2"/>
  <c r="K3220" i="2"/>
  <c r="J3220" i="2"/>
  <c r="I3220" i="2"/>
  <c r="H3220" i="2"/>
  <c r="G3220" i="2"/>
  <c r="L3217" i="2"/>
  <c r="K3217" i="2"/>
  <c r="J3217" i="2"/>
  <c r="I3217" i="2"/>
  <c r="H3217" i="2"/>
  <c r="G3217" i="2"/>
  <c r="L3214" i="2"/>
  <c r="K3214" i="2"/>
  <c r="J3214" i="2"/>
  <c r="I3214" i="2"/>
  <c r="H3214" i="2"/>
  <c r="G3214" i="2"/>
  <c r="L3211" i="2"/>
  <c r="K3211" i="2"/>
  <c r="J3211" i="2"/>
  <c r="I3211" i="2"/>
  <c r="H3211" i="2"/>
  <c r="G3211" i="2"/>
  <c r="L3207" i="2"/>
  <c r="K3207" i="2"/>
  <c r="J3207" i="2"/>
  <c r="I3207" i="2"/>
  <c r="H3207" i="2"/>
  <c r="G3207" i="2"/>
  <c r="L3204" i="2"/>
  <c r="K3204" i="2"/>
  <c r="J3204" i="2"/>
  <c r="I3204" i="2"/>
  <c r="H3204" i="2"/>
  <c r="G3204" i="2"/>
  <c r="N3201" i="2"/>
  <c r="L3201" i="2"/>
  <c r="K3201" i="2"/>
  <c r="J3201" i="2"/>
  <c r="I3201" i="2"/>
  <c r="H3201" i="2"/>
  <c r="G3201" i="2"/>
  <c r="L3197" i="2"/>
  <c r="K3197" i="2"/>
  <c r="J3197" i="2"/>
  <c r="I3197" i="2"/>
  <c r="H3197" i="2"/>
  <c r="G3197" i="2"/>
  <c r="L3194" i="2"/>
  <c r="K3194" i="2"/>
  <c r="J3194" i="2"/>
  <c r="I3194" i="2"/>
  <c r="H3194" i="2"/>
  <c r="G3194" i="2"/>
  <c r="L3189" i="2"/>
  <c r="K3189" i="2"/>
  <c r="J3189" i="2"/>
  <c r="I3189" i="2"/>
  <c r="H3189" i="2"/>
  <c r="G3189" i="2"/>
  <c r="L3186" i="2"/>
  <c r="K3186" i="2"/>
  <c r="J3186" i="2"/>
  <c r="I3186" i="2"/>
  <c r="H3186" i="2"/>
  <c r="G3186" i="2"/>
  <c r="L3183" i="2"/>
  <c r="K3183" i="2"/>
  <c r="J3183" i="2"/>
  <c r="I3183" i="2"/>
  <c r="H3183" i="2"/>
  <c r="G3183" i="2"/>
  <c r="L3180" i="2"/>
  <c r="K3180" i="2"/>
  <c r="J3180" i="2"/>
  <c r="I3180" i="2"/>
  <c r="H3180" i="2"/>
  <c r="G3180" i="2"/>
  <c r="L3176" i="2"/>
  <c r="K3176" i="2"/>
  <c r="J3176" i="2"/>
  <c r="I3176" i="2"/>
  <c r="H3176" i="2"/>
  <c r="G3176" i="2"/>
  <c r="L3172" i="2"/>
  <c r="K3172" i="2"/>
  <c r="J3172" i="2"/>
  <c r="I3172" i="2"/>
  <c r="H3172" i="2"/>
  <c r="G3172" i="2"/>
  <c r="L3169" i="2"/>
  <c r="K3169" i="2"/>
  <c r="J3169" i="2"/>
  <c r="I3169" i="2"/>
  <c r="H3169" i="2"/>
  <c r="G3169" i="2"/>
  <c r="L3165" i="2"/>
  <c r="K3165" i="2"/>
  <c r="J3165" i="2"/>
  <c r="I3165" i="2"/>
  <c r="H3165" i="2"/>
  <c r="G3165" i="2"/>
  <c r="L3161" i="2"/>
  <c r="K3161" i="2"/>
  <c r="J3161" i="2"/>
  <c r="I3161" i="2"/>
  <c r="H3161" i="2"/>
  <c r="G3161" i="2"/>
  <c r="L3158" i="2"/>
  <c r="K3158" i="2"/>
  <c r="J3158" i="2"/>
  <c r="I3158" i="2"/>
  <c r="H3158" i="2"/>
  <c r="G3158" i="2"/>
  <c r="L3155" i="2"/>
  <c r="K3155" i="2"/>
  <c r="J3155" i="2"/>
  <c r="I3155" i="2"/>
  <c r="H3155" i="2"/>
  <c r="G3155" i="2"/>
  <c r="L3152" i="2"/>
  <c r="K3152" i="2"/>
  <c r="J3152" i="2"/>
  <c r="I3152" i="2"/>
  <c r="H3152" i="2"/>
  <c r="G3152" i="2"/>
  <c r="L3146" i="2"/>
  <c r="K3146" i="2"/>
  <c r="J3146" i="2"/>
  <c r="I3146" i="2"/>
  <c r="H3146" i="2"/>
  <c r="G3146" i="2"/>
  <c r="L3140" i="2"/>
  <c r="K3140" i="2"/>
  <c r="J3140" i="2"/>
  <c r="I3140" i="2"/>
  <c r="H3140" i="2"/>
  <c r="G3140" i="2"/>
  <c r="L3137" i="2"/>
  <c r="K3137" i="2"/>
  <c r="J3137" i="2"/>
  <c r="I3137" i="2"/>
  <c r="H3137" i="2"/>
  <c r="G3137" i="2"/>
  <c r="L3134" i="2"/>
  <c r="K3134" i="2"/>
  <c r="J3134" i="2"/>
  <c r="I3134" i="2"/>
  <c r="H3134" i="2"/>
  <c r="G3134" i="2"/>
  <c r="L3131" i="2"/>
  <c r="K3131" i="2"/>
  <c r="J3131" i="2"/>
  <c r="I3131" i="2"/>
  <c r="H3131" i="2"/>
  <c r="G3131" i="2"/>
  <c r="L3127" i="2"/>
  <c r="K3127" i="2"/>
  <c r="J3127" i="2"/>
  <c r="I3127" i="2"/>
  <c r="H3127" i="2"/>
  <c r="G3127" i="2"/>
  <c r="L3124" i="2"/>
  <c r="K3124" i="2"/>
  <c r="J3124" i="2"/>
  <c r="I3124" i="2"/>
  <c r="H3124" i="2"/>
  <c r="G3124" i="2"/>
  <c r="L3120" i="2"/>
  <c r="K3120" i="2"/>
  <c r="J3120" i="2"/>
  <c r="I3120" i="2"/>
  <c r="H3120" i="2"/>
  <c r="G3120" i="2"/>
  <c r="L3117" i="2"/>
  <c r="K3117" i="2"/>
  <c r="J3117" i="2"/>
  <c r="I3117" i="2"/>
  <c r="H3117" i="2"/>
  <c r="G3117" i="2"/>
  <c r="L3114" i="2"/>
  <c r="K3114" i="2"/>
  <c r="J3114" i="2"/>
  <c r="I3114" i="2"/>
  <c r="H3114" i="2"/>
  <c r="G3114" i="2"/>
  <c r="L3111" i="2"/>
  <c r="K3111" i="2"/>
  <c r="J3111" i="2"/>
  <c r="I3111" i="2"/>
  <c r="H3111" i="2"/>
  <c r="G3111" i="2"/>
  <c r="L3098" i="2"/>
  <c r="K3098" i="2"/>
  <c r="J3098" i="2"/>
  <c r="I3098" i="2"/>
  <c r="H3098" i="2"/>
  <c r="G3098" i="2"/>
  <c r="L3085" i="2"/>
  <c r="K3085" i="2"/>
  <c r="J3085" i="2"/>
  <c r="I3085" i="2"/>
  <c r="H3085" i="2"/>
  <c r="G3085" i="2"/>
  <c r="L3080" i="2"/>
  <c r="K3080" i="2"/>
  <c r="J3080" i="2"/>
  <c r="I3080" i="2"/>
  <c r="H3080" i="2"/>
  <c r="G3080" i="2"/>
  <c r="L3077" i="2"/>
  <c r="K3077" i="2"/>
  <c r="J3077" i="2"/>
  <c r="I3077" i="2"/>
  <c r="H3077" i="2"/>
  <c r="G3077" i="2"/>
  <c r="L3070" i="2"/>
  <c r="K3070" i="2"/>
  <c r="J3070" i="2"/>
  <c r="I3070" i="2"/>
  <c r="H3070" i="2"/>
  <c r="G3070" i="2"/>
  <c r="L3066" i="2"/>
  <c r="K3066" i="2"/>
  <c r="J3066" i="2"/>
  <c r="I3066" i="2"/>
  <c r="H3066" i="2"/>
  <c r="G3066" i="2"/>
  <c r="L3062" i="2"/>
  <c r="K3062" i="2"/>
  <c r="J3062" i="2"/>
  <c r="I3062" i="2"/>
  <c r="H3062" i="2"/>
  <c r="G3062" i="2"/>
  <c r="L3059" i="2"/>
  <c r="K3059" i="2"/>
  <c r="J3059" i="2"/>
  <c r="I3059" i="2"/>
  <c r="H3059" i="2"/>
  <c r="G3059" i="2"/>
  <c r="L3055" i="2"/>
  <c r="K3055" i="2"/>
  <c r="J3055" i="2"/>
  <c r="I3055" i="2"/>
  <c r="H3055" i="2"/>
  <c r="G3055" i="2"/>
  <c r="L3051" i="2"/>
  <c r="K3051" i="2"/>
  <c r="J3051" i="2"/>
  <c r="I3051" i="2"/>
  <c r="H3051" i="2"/>
  <c r="G3051" i="2"/>
  <c r="L3046" i="2"/>
  <c r="K3046" i="2"/>
  <c r="J3046" i="2"/>
  <c r="I3046" i="2"/>
  <c r="H3046" i="2"/>
  <c r="G3046" i="2"/>
  <c r="L3040" i="2"/>
  <c r="K3040" i="2"/>
  <c r="J3040" i="2"/>
  <c r="I3040" i="2"/>
  <c r="H3040" i="2"/>
  <c r="G3040" i="2"/>
  <c r="L3034" i="2"/>
  <c r="K3034" i="2"/>
  <c r="J3034" i="2"/>
  <c r="I3034" i="2"/>
  <c r="H3034" i="2"/>
  <c r="G3034" i="2"/>
  <c r="L3031" i="2"/>
  <c r="K3031" i="2"/>
  <c r="J3031" i="2"/>
  <c r="I3031" i="2"/>
  <c r="H3031" i="2"/>
  <c r="G3031" i="2"/>
  <c r="L3025" i="2"/>
  <c r="K3025" i="2"/>
  <c r="J3025" i="2"/>
  <c r="I3025" i="2"/>
  <c r="H3025" i="2"/>
  <c r="G3025" i="2"/>
  <c r="L3019" i="2"/>
  <c r="K3019" i="2"/>
  <c r="J3019" i="2"/>
  <c r="I3019" i="2"/>
  <c r="H3019" i="2"/>
  <c r="G3019" i="2"/>
  <c r="L3015" i="2"/>
  <c r="K3015" i="2"/>
  <c r="J3015" i="2"/>
  <c r="I3015" i="2"/>
  <c r="H3015" i="2"/>
  <c r="G3015" i="2"/>
  <c r="L3011" i="2"/>
  <c r="K3011" i="2"/>
  <c r="J3011" i="2"/>
  <c r="I3011" i="2"/>
  <c r="H3011" i="2"/>
  <c r="G3011" i="2"/>
  <c r="L3008" i="2"/>
  <c r="K3008" i="2"/>
  <c r="J3008" i="2"/>
  <c r="I3008" i="2"/>
  <c r="H3008" i="2"/>
  <c r="G3008" i="2"/>
  <c r="L3004" i="2"/>
  <c r="K3004" i="2"/>
  <c r="J3004" i="2"/>
  <c r="I3004" i="2"/>
  <c r="H3004" i="2"/>
  <c r="G3004" i="2"/>
  <c r="L3000" i="2"/>
  <c r="K3000" i="2"/>
  <c r="J3000" i="2"/>
  <c r="I3000" i="2"/>
  <c r="H3000" i="2"/>
  <c r="G3000" i="2"/>
  <c r="L2996" i="2"/>
  <c r="K2996" i="2"/>
  <c r="J2996" i="2"/>
  <c r="I2996" i="2"/>
  <c r="H2996" i="2"/>
  <c r="G2996" i="2"/>
  <c r="L2992" i="2"/>
  <c r="K2992" i="2"/>
  <c r="J2992" i="2"/>
  <c r="I2992" i="2"/>
  <c r="H2992" i="2"/>
  <c r="G2992" i="2"/>
  <c r="L2988" i="2"/>
  <c r="K2988" i="2"/>
  <c r="J2988" i="2"/>
  <c r="I2988" i="2"/>
  <c r="H2988" i="2"/>
  <c r="G2988" i="2"/>
  <c r="L2985" i="2"/>
  <c r="K2985" i="2"/>
  <c r="J2985" i="2"/>
  <c r="I2985" i="2"/>
  <c r="H2985" i="2"/>
  <c r="G2985" i="2"/>
  <c r="L2982" i="2"/>
  <c r="K2982" i="2"/>
  <c r="J2982" i="2"/>
  <c r="I2982" i="2"/>
  <c r="H2982" i="2"/>
  <c r="G2982" i="2"/>
  <c r="L2978" i="2"/>
  <c r="K2978" i="2"/>
  <c r="J2978" i="2"/>
  <c r="I2978" i="2"/>
  <c r="H2978" i="2"/>
  <c r="G2978" i="2"/>
  <c r="L2975" i="2"/>
  <c r="K2975" i="2"/>
  <c r="J2975" i="2"/>
  <c r="I2975" i="2"/>
  <c r="H2975" i="2"/>
  <c r="G2975" i="2"/>
  <c r="L2971" i="2"/>
  <c r="K2971" i="2"/>
  <c r="J2971" i="2"/>
  <c r="I2971" i="2"/>
  <c r="H2971" i="2"/>
  <c r="G2971" i="2"/>
  <c r="L2967" i="2"/>
  <c r="K2967" i="2"/>
  <c r="J2967" i="2"/>
  <c r="I2967" i="2"/>
  <c r="H2967" i="2"/>
  <c r="G2967" i="2"/>
  <c r="L2963" i="2"/>
  <c r="K2963" i="2"/>
  <c r="J2963" i="2"/>
  <c r="I2963" i="2"/>
  <c r="H2963" i="2"/>
  <c r="G2963" i="2"/>
  <c r="L2959" i="2"/>
  <c r="K2959" i="2"/>
  <c r="J2959" i="2"/>
  <c r="I2959" i="2"/>
  <c r="H2959" i="2"/>
  <c r="G2959" i="2"/>
  <c r="L2956" i="2"/>
  <c r="K2956" i="2"/>
  <c r="J2956" i="2"/>
  <c r="I2956" i="2"/>
  <c r="H2956" i="2"/>
  <c r="G2956" i="2"/>
  <c r="L2953" i="2"/>
  <c r="K2953" i="2"/>
  <c r="J2953" i="2"/>
  <c r="I2953" i="2"/>
  <c r="H2953" i="2"/>
  <c r="G2953" i="2"/>
  <c r="L2950" i="2"/>
  <c r="K2950" i="2"/>
  <c r="J2950" i="2"/>
  <c r="I2950" i="2"/>
  <c r="H2950" i="2"/>
  <c r="G2950" i="2"/>
  <c r="L2946" i="2"/>
  <c r="K2946" i="2"/>
  <c r="J2946" i="2"/>
  <c r="I2946" i="2"/>
  <c r="H2946" i="2"/>
  <c r="G2946" i="2"/>
  <c r="L2942" i="2"/>
  <c r="K2942" i="2"/>
  <c r="J2942" i="2"/>
  <c r="I2942" i="2"/>
  <c r="H2942" i="2"/>
  <c r="G2942" i="2"/>
  <c r="L2939" i="2"/>
  <c r="K2939" i="2"/>
  <c r="J2939" i="2"/>
  <c r="I2939" i="2"/>
  <c r="H2939" i="2"/>
  <c r="G2939" i="2"/>
  <c r="L2936" i="2"/>
  <c r="K2936" i="2"/>
  <c r="J2936" i="2"/>
  <c r="I2936" i="2"/>
  <c r="H2936" i="2"/>
  <c r="G2936" i="2"/>
  <c r="L2933" i="2"/>
  <c r="K2933" i="2"/>
  <c r="J2933" i="2"/>
  <c r="I2933" i="2"/>
  <c r="H2933" i="2"/>
  <c r="G2933" i="2"/>
  <c r="L2930" i="2"/>
  <c r="K2930" i="2"/>
  <c r="J2930" i="2"/>
  <c r="I2930" i="2"/>
  <c r="H2930" i="2"/>
  <c r="G2930" i="2"/>
  <c r="L2926" i="2"/>
  <c r="K2926" i="2"/>
  <c r="J2926" i="2"/>
  <c r="I2926" i="2"/>
  <c r="H2926" i="2"/>
  <c r="G2926" i="2"/>
  <c r="L2922" i="2"/>
  <c r="K2922" i="2"/>
  <c r="J2922" i="2"/>
  <c r="I2922" i="2"/>
  <c r="H2922" i="2"/>
  <c r="G2922" i="2"/>
  <c r="L2918" i="2"/>
  <c r="K2918" i="2"/>
  <c r="J2918" i="2"/>
  <c r="I2918" i="2"/>
  <c r="H2918" i="2"/>
  <c r="G2918" i="2"/>
  <c r="L2914" i="2"/>
  <c r="K2914" i="2"/>
  <c r="J2914" i="2"/>
  <c r="I2914" i="2"/>
  <c r="H2914" i="2"/>
  <c r="G2914" i="2"/>
  <c r="L2910" i="2"/>
  <c r="K2910" i="2"/>
  <c r="J2910" i="2"/>
  <c r="I2910" i="2"/>
  <c r="H2910" i="2"/>
  <c r="G2910" i="2"/>
  <c r="L2904" i="2"/>
  <c r="K2904" i="2"/>
  <c r="J2904" i="2"/>
  <c r="I2904" i="2"/>
  <c r="H2904" i="2"/>
  <c r="G2904" i="2"/>
  <c r="L2898" i="2"/>
  <c r="K2898" i="2"/>
  <c r="J2898" i="2"/>
  <c r="I2898" i="2"/>
  <c r="H2898" i="2"/>
  <c r="G2898" i="2"/>
  <c r="L2895" i="2"/>
  <c r="K2895" i="2"/>
  <c r="J2895" i="2"/>
  <c r="I2895" i="2"/>
  <c r="H2895" i="2"/>
  <c r="G2895" i="2"/>
  <c r="L2892" i="2"/>
  <c r="K2892" i="2"/>
  <c r="J2892" i="2"/>
  <c r="I2892" i="2"/>
  <c r="H2892" i="2"/>
  <c r="G2892" i="2"/>
  <c r="L2889" i="2"/>
  <c r="K2889" i="2"/>
  <c r="J2889" i="2"/>
  <c r="I2889" i="2"/>
  <c r="H2889" i="2"/>
  <c r="G2889" i="2"/>
  <c r="L2886" i="2"/>
  <c r="K2886" i="2"/>
  <c r="J2886" i="2"/>
  <c r="I2886" i="2"/>
  <c r="H2886" i="2"/>
  <c r="G2886" i="2"/>
  <c r="L2883" i="2"/>
  <c r="K2883" i="2"/>
  <c r="J2883" i="2"/>
  <c r="I2883" i="2"/>
  <c r="H2883" i="2"/>
  <c r="G2883" i="2"/>
  <c r="L2879" i="2"/>
  <c r="K2879" i="2"/>
  <c r="J2879" i="2"/>
  <c r="I2879" i="2"/>
  <c r="H2879" i="2"/>
  <c r="G2879" i="2"/>
  <c r="L2875" i="2"/>
  <c r="K2875" i="2"/>
  <c r="J2875" i="2"/>
  <c r="I2875" i="2"/>
  <c r="H2875" i="2"/>
  <c r="G2875" i="2"/>
  <c r="L2872" i="2"/>
  <c r="K2872" i="2"/>
  <c r="J2872" i="2"/>
  <c r="I2872" i="2"/>
  <c r="H2872" i="2"/>
  <c r="G2872" i="2"/>
  <c r="L2866" i="2"/>
  <c r="K2866" i="2"/>
  <c r="J2866" i="2"/>
  <c r="I2866" i="2"/>
  <c r="H2866" i="2"/>
  <c r="G2866" i="2"/>
  <c r="L2860" i="2"/>
  <c r="K2860" i="2"/>
  <c r="J2860" i="2"/>
  <c r="I2860" i="2"/>
  <c r="H2860" i="2"/>
  <c r="G2860" i="2"/>
  <c r="L2857" i="2"/>
  <c r="K2857" i="2"/>
  <c r="J2857" i="2"/>
  <c r="I2857" i="2"/>
  <c r="H2857" i="2"/>
  <c r="G2857" i="2"/>
  <c r="L2854" i="2"/>
  <c r="K2854" i="2"/>
  <c r="J2854" i="2"/>
  <c r="I2854" i="2"/>
  <c r="H2854" i="2"/>
  <c r="G2854" i="2"/>
  <c r="L2851" i="2"/>
  <c r="K2851" i="2"/>
  <c r="J2851" i="2"/>
  <c r="I2851" i="2"/>
  <c r="H2851" i="2"/>
  <c r="G2851" i="2"/>
  <c r="L2845" i="2"/>
  <c r="K2845" i="2"/>
  <c r="J2845" i="2"/>
  <c r="I2845" i="2"/>
  <c r="H2845" i="2"/>
  <c r="G2845" i="2"/>
  <c r="L2839" i="2"/>
  <c r="K2839" i="2"/>
  <c r="J2839" i="2"/>
  <c r="I2839" i="2"/>
  <c r="H2839" i="2"/>
  <c r="G2839" i="2"/>
  <c r="L2836" i="2"/>
  <c r="K2836" i="2"/>
  <c r="J2836" i="2"/>
  <c r="I2836" i="2"/>
  <c r="H2836" i="2"/>
  <c r="G2836" i="2"/>
  <c r="L2832" i="2"/>
  <c r="K2832" i="2"/>
  <c r="J2832" i="2"/>
  <c r="I2832" i="2"/>
  <c r="H2832" i="2"/>
  <c r="G2832" i="2"/>
  <c r="L2828" i="2"/>
  <c r="K2828" i="2"/>
  <c r="J2828" i="2"/>
  <c r="I2828" i="2"/>
  <c r="H2828" i="2"/>
  <c r="G2828" i="2"/>
  <c r="L2825" i="2"/>
  <c r="K2825" i="2"/>
  <c r="J2825" i="2"/>
  <c r="I2825" i="2"/>
  <c r="H2825" i="2"/>
  <c r="G2825" i="2"/>
  <c r="L2821" i="2"/>
  <c r="K2821" i="2"/>
  <c r="J2821" i="2"/>
  <c r="I2821" i="2"/>
  <c r="H2821" i="2"/>
  <c r="G2821" i="2"/>
  <c r="L2818" i="2"/>
  <c r="K2818" i="2"/>
  <c r="J2818" i="2"/>
  <c r="I2818" i="2"/>
  <c r="H2818" i="2"/>
  <c r="G2818" i="2"/>
  <c r="L2814" i="2"/>
  <c r="K2814" i="2"/>
  <c r="J2814" i="2"/>
  <c r="I2814" i="2"/>
  <c r="H2814" i="2"/>
  <c r="G2814" i="2"/>
  <c r="N2811" i="2"/>
  <c r="L2811" i="2"/>
  <c r="K2811" i="2"/>
  <c r="J2811" i="2"/>
  <c r="I2811" i="2"/>
  <c r="H2811" i="2"/>
  <c r="G2811" i="2"/>
  <c r="N2806" i="2"/>
  <c r="L2806" i="2"/>
  <c r="K2806" i="2"/>
  <c r="J2806" i="2"/>
  <c r="I2806" i="2"/>
  <c r="H2806" i="2"/>
  <c r="G2806" i="2"/>
  <c r="L2802" i="2"/>
  <c r="K2802" i="2"/>
  <c r="J2802" i="2"/>
  <c r="I2802" i="2"/>
  <c r="H2802" i="2"/>
  <c r="G2802" i="2"/>
  <c r="L2798" i="2"/>
  <c r="K2798" i="2"/>
  <c r="J2798" i="2"/>
  <c r="I2798" i="2"/>
  <c r="H2798" i="2"/>
  <c r="G2798" i="2"/>
  <c r="L2795" i="2"/>
  <c r="K2795" i="2"/>
  <c r="J2795" i="2"/>
  <c r="I2795" i="2"/>
  <c r="H2795" i="2"/>
  <c r="G2795" i="2"/>
  <c r="L2792" i="2"/>
  <c r="K2792" i="2"/>
  <c r="J2792" i="2"/>
  <c r="I2792" i="2"/>
  <c r="H2792" i="2"/>
  <c r="G2792" i="2"/>
  <c r="L2788" i="2"/>
  <c r="K2788" i="2"/>
  <c r="J2788" i="2"/>
  <c r="I2788" i="2"/>
  <c r="H2788" i="2"/>
  <c r="G2788" i="2"/>
  <c r="L2782" i="2"/>
  <c r="K2782" i="2"/>
  <c r="J2782" i="2"/>
  <c r="I2782" i="2"/>
  <c r="H2782" i="2"/>
  <c r="G2782" i="2"/>
  <c r="L2779" i="2"/>
  <c r="K2779" i="2"/>
  <c r="J2779" i="2"/>
  <c r="I2779" i="2"/>
  <c r="H2779" i="2"/>
  <c r="G2779" i="2"/>
  <c r="L2775" i="2"/>
  <c r="K2775" i="2"/>
  <c r="J2775" i="2"/>
  <c r="I2775" i="2"/>
  <c r="H2775" i="2"/>
  <c r="G2775" i="2"/>
  <c r="L2771" i="2"/>
  <c r="K2771" i="2"/>
  <c r="J2771" i="2"/>
  <c r="I2771" i="2"/>
  <c r="H2771" i="2"/>
  <c r="G2771" i="2"/>
  <c r="L2767" i="2"/>
  <c r="K2767" i="2"/>
  <c r="J2767" i="2"/>
  <c r="I2767" i="2"/>
  <c r="H2767" i="2"/>
  <c r="G2767" i="2"/>
  <c r="N2763" i="2"/>
  <c r="L2763" i="2"/>
  <c r="K2763" i="2"/>
  <c r="J2763" i="2"/>
  <c r="I2763" i="2"/>
  <c r="H2763" i="2"/>
  <c r="G2763" i="2"/>
  <c r="N2758" i="2"/>
  <c r="L2758" i="2"/>
  <c r="K2758" i="2"/>
  <c r="J2758" i="2"/>
  <c r="I2758" i="2"/>
  <c r="H2758" i="2"/>
  <c r="G2758" i="2"/>
  <c r="L2754" i="2"/>
  <c r="K2754" i="2"/>
  <c r="J2754" i="2"/>
  <c r="I2754" i="2"/>
  <c r="H2754" i="2"/>
  <c r="G2754" i="2"/>
  <c r="L2751" i="2"/>
  <c r="K2751" i="2"/>
  <c r="J2751" i="2"/>
  <c r="I2751" i="2"/>
  <c r="H2751" i="2"/>
  <c r="G2751" i="2"/>
  <c r="L2748" i="2"/>
  <c r="K2748" i="2"/>
  <c r="J2748" i="2"/>
  <c r="I2748" i="2"/>
  <c r="H2748" i="2"/>
  <c r="G2748" i="2"/>
  <c r="L2745" i="2"/>
  <c r="K2745" i="2"/>
  <c r="J2745" i="2"/>
  <c r="I2745" i="2"/>
  <c r="H2745" i="2"/>
  <c r="G2745" i="2"/>
  <c r="L2741" i="2"/>
  <c r="K2741" i="2"/>
  <c r="J2741" i="2"/>
  <c r="I2741" i="2"/>
  <c r="H2741" i="2"/>
  <c r="G2741" i="2"/>
  <c r="L2737" i="2"/>
  <c r="K2737" i="2"/>
  <c r="J2737" i="2"/>
  <c r="I2737" i="2"/>
  <c r="H2737" i="2"/>
  <c r="G2737" i="2"/>
  <c r="L2733" i="2"/>
  <c r="K2733" i="2"/>
  <c r="J2733" i="2"/>
  <c r="I2733" i="2"/>
  <c r="H2733" i="2"/>
  <c r="G2733" i="2"/>
  <c r="L2729" i="2"/>
  <c r="K2729" i="2"/>
  <c r="J2729" i="2"/>
  <c r="I2729" i="2"/>
  <c r="H2729" i="2"/>
  <c r="G2729" i="2"/>
  <c r="L2725" i="2"/>
  <c r="K2725" i="2"/>
  <c r="J2725" i="2"/>
  <c r="I2725" i="2"/>
  <c r="H2725" i="2"/>
  <c r="G2725" i="2"/>
  <c r="L2721" i="2"/>
  <c r="K2721" i="2"/>
  <c r="J2721" i="2"/>
  <c r="I2721" i="2"/>
  <c r="H2721" i="2"/>
  <c r="G2721" i="2"/>
  <c r="L2718" i="2"/>
  <c r="K2718" i="2"/>
  <c r="J2718" i="2"/>
  <c r="I2718" i="2"/>
  <c r="H2718" i="2"/>
  <c r="G2718" i="2"/>
  <c r="L2714" i="2"/>
  <c r="K2714" i="2"/>
  <c r="J2714" i="2"/>
  <c r="I2714" i="2"/>
  <c r="H2714" i="2"/>
  <c r="G2714" i="2"/>
  <c r="L2710" i="2"/>
  <c r="K2710" i="2"/>
  <c r="J2710" i="2"/>
  <c r="I2710" i="2"/>
  <c r="H2710" i="2"/>
  <c r="G2710" i="2"/>
  <c r="L2706" i="2"/>
  <c r="K2706" i="2"/>
  <c r="J2706" i="2"/>
  <c r="I2706" i="2"/>
  <c r="H2706" i="2"/>
  <c r="G2706" i="2"/>
  <c r="L2702" i="2"/>
  <c r="K2702" i="2"/>
  <c r="J2702" i="2"/>
  <c r="I2702" i="2"/>
  <c r="H2702" i="2"/>
  <c r="G2702" i="2"/>
  <c r="L2699" i="2"/>
  <c r="K2699" i="2"/>
  <c r="J2699" i="2"/>
  <c r="I2699" i="2"/>
  <c r="H2699" i="2"/>
  <c r="G2699" i="2"/>
  <c r="N2695" i="2"/>
  <c r="L2695" i="2"/>
  <c r="K2695" i="2"/>
  <c r="J2695" i="2"/>
  <c r="I2695" i="2"/>
  <c r="H2695" i="2"/>
  <c r="G2695" i="2"/>
  <c r="L2690" i="2"/>
  <c r="K2690" i="2"/>
  <c r="J2690" i="2"/>
  <c r="I2690" i="2"/>
  <c r="H2690" i="2"/>
  <c r="G2690" i="2"/>
  <c r="L2686" i="2"/>
  <c r="K2686" i="2"/>
  <c r="J2686" i="2"/>
  <c r="I2686" i="2"/>
  <c r="H2686" i="2"/>
  <c r="G2686" i="2"/>
  <c r="L2682" i="2"/>
  <c r="K2682" i="2"/>
  <c r="J2682" i="2"/>
  <c r="I2682" i="2"/>
  <c r="H2682" i="2"/>
  <c r="G2682" i="2"/>
  <c r="L2678" i="2"/>
  <c r="K2678" i="2"/>
  <c r="J2678" i="2"/>
  <c r="I2678" i="2"/>
  <c r="H2678" i="2"/>
  <c r="G2678" i="2"/>
  <c r="L2674" i="2"/>
  <c r="K2674" i="2"/>
  <c r="J2674" i="2"/>
  <c r="I2674" i="2"/>
  <c r="H2674" i="2"/>
  <c r="G2674" i="2"/>
  <c r="L2671" i="2"/>
  <c r="K2671" i="2"/>
  <c r="J2671" i="2"/>
  <c r="I2671" i="2"/>
  <c r="H2671" i="2"/>
  <c r="G2671" i="2"/>
  <c r="L2668" i="2"/>
  <c r="K2668" i="2"/>
  <c r="J2668" i="2"/>
  <c r="I2668" i="2"/>
  <c r="H2668" i="2"/>
  <c r="G2668" i="2"/>
  <c r="L2664" i="2"/>
  <c r="K2664" i="2"/>
  <c r="J2664" i="2"/>
  <c r="I2664" i="2"/>
  <c r="H2664" i="2"/>
  <c r="G2664" i="2"/>
  <c r="L2660" i="2"/>
  <c r="K2660" i="2"/>
  <c r="J2660" i="2"/>
  <c r="I2660" i="2"/>
  <c r="H2660" i="2"/>
  <c r="G2660" i="2"/>
  <c r="L2656" i="2"/>
  <c r="K2656" i="2"/>
  <c r="J2656" i="2"/>
  <c r="I2656" i="2"/>
  <c r="H2656" i="2"/>
  <c r="G2656" i="2"/>
  <c r="L2652" i="2"/>
  <c r="K2652" i="2"/>
  <c r="J2652" i="2"/>
  <c r="I2652" i="2"/>
  <c r="H2652" i="2"/>
  <c r="G2652" i="2"/>
  <c r="L2649" i="2"/>
  <c r="K2649" i="2"/>
  <c r="J2649" i="2"/>
  <c r="I2649" i="2"/>
  <c r="H2649" i="2"/>
  <c r="G2649" i="2"/>
  <c r="L2645" i="2"/>
  <c r="K2645" i="2"/>
  <c r="J2645" i="2"/>
  <c r="I2645" i="2"/>
  <c r="H2645" i="2"/>
  <c r="G2645" i="2"/>
  <c r="L2641" i="2"/>
  <c r="K2641" i="2"/>
  <c r="J2641" i="2"/>
  <c r="I2641" i="2"/>
  <c r="H2641" i="2"/>
  <c r="G2641" i="2"/>
  <c r="L2638" i="2"/>
  <c r="K2638" i="2"/>
  <c r="J2638" i="2"/>
  <c r="I2638" i="2"/>
  <c r="H2638" i="2"/>
  <c r="G2638" i="2"/>
  <c r="L2635" i="2"/>
  <c r="K2635" i="2"/>
  <c r="J2635" i="2"/>
  <c r="I2635" i="2"/>
  <c r="H2635" i="2"/>
  <c r="G2635" i="2"/>
  <c r="L2632" i="2"/>
  <c r="K2632" i="2"/>
  <c r="J2632" i="2"/>
  <c r="I2632" i="2"/>
  <c r="H2632" i="2"/>
  <c r="G2632" i="2"/>
  <c r="L2629" i="2"/>
  <c r="K2629" i="2"/>
  <c r="J2629" i="2"/>
  <c r="I2629" i="2"/>
  <c r="H2629" i="2"/>
  <c r="G2629" i="2"/>
  <c r="L2626" i="2"/>
  <c r="K2626" i="2"/>
  <c r="J2626" i="2"/>
  <c r="I2626" i="2"/>
  <c r="H2626" i="2"/>
  <c r="G2626" i="2"/>
  <c r="L2622" i="2"/>
  <c r="K2622" i="2"/>
  <c r="J2622" i="2"/>
  <c r="I2622" i="2"/>
  <c r="H2622" i="2"/>
  <c r="G2622" i="2"/>
  <c r="L2618" i="2"/>
  <c r="K2618" i="2"/>
  <c r="J2618" i="2"/>
  <c r="I2618" i="2"/>
  <c r="H2618" i="2"/>
  <c r="G2618" i="2"/>
  <c r="L2615" i="2"/>
  <c r="K2615" i="2"/>
  <c r="J2615" i="2"/>
  <c r="I2615" i="2"/>
  <c r="H2615" i="2"/>
  <c r="G2615" i="2"/>
  <c r="L2612" i="2"/>
  <c r="K2612" i="2"/>
  <c r="J2612" i="2"/>
  <c r="I2612" i="2"/>
  <c r="H2612" i="2"/>
  <c r="G2612" i="2"/>
  <c r="L2608" i="2"/>
  <c r="K2608" i="2"/>
  <c r="J2608" i="2"/>
  <c r="I2608" i="2"/>
  <c r="H2608" i="2"/>
  <c r="G2608" i="2"/>
  <c r="L2604" i="2"/>
  <c r="K2604" i="2"/>
  <c r="J2604" i="2"/>
  <c r="I2604" i="2"/>
  <c r="H2604" i="2"/>
  <c r="G2604" i="2"/>
  <c r="L2600" i="2"/>
  <c r="K2600" i="2"/>
  <c r="J2600" i="2"/>
  <c r="I2600" i="2"/>
  <c r="H2600" i="2"/>
  <c r="G2600" i="2"/>
  <c r="L2596" i="2"/>
  <c r="K2596" i="2"/>
  <c r="J2596" i="2"/>
  <c r="I2596" i="2"/>
  <c r="H2596" i="2"/>
  <c r="G2596" i="2"/>
  <c r="L2593" i="2"/>
  <c r="K2593" i="2"/>
  <c r="J2593" i="2"/>
  <c r="I2593" i="2"/>
  <c r="H2593" i="2"/>
  <c r="G2593" i="2"/>
  <c r="L2590" i="2"/>
  <c r="K2590" i="2"/>
  <c r="J2590" i="2"/>
  <c r="I2590" i="2"/>
  <c r="H2590" i="2"/>
  <c r="G2590" i="2"/>
  <c r="N2587" i="2"/>
  <c r="L2587" i="2"/>
  <c r="K2587" i="2"/>
  <c r="J2587" i="2"/>
  <c r="I2587" i="2"/>
  <c r="H2587" i="2"/>
  <c r="G2587" i="2"/>
  <c r="L2583" i="2"/>
  <c r="K2583" i="2"/>
  <c r="J2583" i="2"/>
  <c r="I2583" i="2"/>
  <c r="H2583" i="2"/>
  <c r="G2583" i="2"/>
  <c r="L2580" i="2"/>
  <c r="K2580" i="2"/>
  <c r="J2580" i="2"/>
  <c r="I2580" i="2"/>
  <c r="H2580" i="2"/>
  <c r="G2580" i="2"/>
  <c r="L2577" i="2"/>
  <c r="K2577" i="2"/>
  <c r="J2577" i="2"/>
  <c r="I2577" i="2"/>
  <c r="H2577" i="2"/>
  <c r="G2577" i="2"/>
  <c r="L2574" i="2"/>
  <c r="K2574" i="2"/>
  <c r="J2574" i="2"/>
  <c r="I2574" i="2"/>
  <c r="H2574" i="2"/>
  <c r="G2574" i="2"/>
  <c r="L2570" i="2"/>
  <c r="K2570" i="2"/>
  <c r="J2570" i="2"/>
  <c r="I2570" i="2"/>
  <c r="H2570" i="2"/>
  <c r="G2570" i="2"/>
  <c r="L2566" i="2"/>
  <c r="K2566" i="2"/>
  <c r="J2566" i="2"/>
  <c r="I2566" i="2"/>
  <c r="H2566" i="2"/>
  <c r="G2566" i="2"/>
  <c r="L2563" i="2"/>
  <c r="K2563" i="2"/>
  <c r="J2563" i="2"/>
  <c r="I2563" i="2"/>
  <c r="H2563" i="2"/>
  <c r="G2563" i="2"/>
  <c r="L2560" i="2"/>
  <c r="K2560" i="2"/>
  <c r="J2560" i="2"/>
  <c r="I2560" i="2"/>
  <c r="H2560" i="2"/>
  <c r="G2560" i="2"/>
  <c r="N2557" i="2"/>
  <c r="L2557" i="2"/>
  <c r="K2557" i="2"/>
  <c r="J2557" i="2"/>
  <c r="I2557" i="2"/>
  <c r="H2557" i="2"/>
  <c r="G2557" i="2"/>
  <c r="L2553" i="2"/>
  <c r="K2553" i="2"/>
  <c r="J2553" i="2"/>
  <c r="I2553" i="2"/>
  <c r="H2553" i="2"/>
  <c r="G2553" i="2"/>
  <c r="L2550" i="2"/>
  <c r="K2550" i="2"/>
  <c r="J2550" i="2"/>
  <c r="I2550" i="2"/>
  <c r="H2550" i="2"/>
  <c r="G2550" i="2"/>
  <c r="L2546" i="2"/>
  <c r="K2546" i="2"/>
  <c r="J2546" i="2"/>
  <c r="I2546" i="2"/>
  <c r="H2546" i="2"/>
  <c r="G2546" i="2"/>
  <c r="L2542" i="2"/>
  <c r="K2542" i="2"/>
  <c r="J2542" i="2"/>
  <c r="I2542" i="2"/>
  <c r="H2542" i="2"/>
  <c r="G2542" i="2"/>
  <c r="L2539" i="2"/>
  <c r="K2539" i="2"/>
  <c r="J2539" i="2"/>
  <c r="I2539" i="2"/>
  <c r="H2539" i="2"/>
  <c r="G2539" i="2"/>
  <c r="L2536" i="2"/>
  <c r="K2536" i="2"/>
  <c r="J2536" i="2"/>
  <c r="I2536" i="2"/>
  <c r="H2536" i="2"/>
  <c r="G2536" i="2"/>
  <c r="L2532" i="2"/>
  <c r="K2532" i="2"/>
  <c r="J2532" i="2"/>
  <c r="I2532" i="2"/>
  <c r="H2532" i="2"/>
  <c r="G2532" i="2"/>
  <c r="L2528" i="2"/>
  <c r="K2528" i="2"/>
  <c r="J2528" i="2"/>
  <c r="I2528" i="2"/>
  <c r="H2528" i="2"/>
  <c r="G2528" i="2"/>
  <c r="L2524" i="2"/>
  <c r="K2524" i="2"/>
  <c r="J2524" i="2"/>
  <c r="I2524" i="2"/>
  <c r="H2524" i="2"/>
  <c r="G2524" i="2"/>
  <c r="L2521" i="2"/>
  <c r="K2521" i="2"/>
  <c r="J2521" i="2"/>
  <c r="I2521" i="2"/>
  <c r="H2521" i="2"/>
  <c r="G2521" i="2"/>
  <c r="L2518" i="2"/>
  <c r="K2518" i="2"/>
  <c r="J2518" i="2"/>
  <c r="I2518" i="2"/>
  <c r="H2518" i="2"/>
  <c r="G2518" i="2"/>
  <c r="L2514" i="2"/>
  <c r="K2514" i="2"/>
  <c r="J2514" i="2"/>
  <c r="I2514" i="2"/>
  <c r="H2514" i="2"/>
  <c r="G2514" i="2"/>
  <c r="L2510" i="2"/>
  <c r="K2510" i="2"/>
  <c r="J2510" i="2"/>
  <c r="I2510" i="2"/>
  <c r="H2510" i="2"/>
  <c r="G2510" i="2"/>
  <c r="L2507" i="2"/>
  <c r="K2507" i="2"/>
  <c r="J2507" i="2"/>
  <c r="I2507" i="2"/>
  <c r="H2507" i="2"/>
  <c r="G2507" i="2"/>
  <c r="L2501" i="2"/>
  <c r="K2501" i="2"/>
  <c r="J2501" i="2"/>
  <c r="I2501" i="2"/>
  <c r="H2501" i="2"/>
  <c r="G2501" i="2"/>
  <c r="L2495" i="2"/>
  <c r="K2495" i="2"/>
  <c r="J2495" i="2"/>
  <c r="I2495" i="2"/>
  <c r="H2495" i="2"/>
  <c r="G2495" i="2"/>
  <c r="L2491" i="2"/>
  <c r="K2491" i="2"/>
  <c r="J2491" i="2"/>
  <c r="I2491" i="2"/>
  <c r="H2491" i="2"/>
  <c r="G2491" i="2"/>
  <c r="L2487" i="2"/>
  <c r="K2487" i="2"/>
  <c r="J2487" i="2"/>
  <c r="I2487" i="2"/>
  <c r="H2487" i="2"/>
  <c r="G2487" i="2"/>
  <c r="L2483" i="2"/>
  <c r="K2483" i="2"/>
  <c r="J2483" i="2"/>
  <c r="I2483" i="2"/>
  <c r="H2483" i="2"/>
  <c r="G2483" i="2"/>
  <c r="L2479" i="2"/>
  <c r="K2479" i="2"/>
  <c r="J2479" i="2"/>
  <c r="I2479" i="2"/>
  <c r="H2479" i="2"/>
  <c r="G2479" i="2"/>
  <c r="L2475" i="2"/>
  <c r="K2475" i="2"/>
  <c r="J2475" i="2"/>
  <c r="I2475" i="2"/>
  <c r="H2475" i="2"/>
  <c r="G2475" i="2"/>
  <c r="L2471" i="2"/>
  <c r="K2471" i="2"/>
  <c r="J2471" i="2"/>
  <c r="I2471" i="2"/>
  <c r="H2471" i="2"/>
  <c r="G2471" i="2"/>
  <c r="L2467" i="2"/>
  <c r="K2467" i="2"/>
  <c r="J2467" i="2"/>
  <c r="I2467" i="2"/>
  <c r="H2467" i="2"/>
  <c r="G2467" i="2"/>
  <c r="L2463" i="2"/>
  <c r="K2463" i="2"/>
  <c r="J2463" i="2"/>
  <c r="I2463" i="2"/>
  <c r="H2463" i="2"/>
  <c r="G2463" i="2"/>
  <c r="L2459" i="2"/>
  <c r="K2459" i="2"/>
  <c r="J2459" i="2"/>
  <c r="I2459" i="2"/>
  <c r="H2459" i="2"/>
  <c r="G2459" i="2"/>
  <c r="L2455" i="2"/>
  <c r="K2455" i="2"/>
  <c r="J2455" i="2"/>
  <c r="I2455" i="2"/>
  <c r="H2455" i="2"/>
  <c r="G2455" i="2"/>
  <c r="L2451" i="2"/>
  <c r="K2451" i="2"/>
  <c r="J2451" i="2"/>
  <c r="I2451" i="2"/>
  <c r="H2451" i="2"/>
  <c r="G2451" i="2"/>
  <c r="L2447" i="2"/>
  <c r="K2447" i="2"/>
  <c r="J2447" i="2"/>
  <c r="I2447" i="2"/>
  <c r="H2447" i="2"/>
  <c r="G2447" i="2"/>
  <c r="L2443" i="2"/>
  <c r="K2443" i="2"/>
  <c r="J2443" i="2"/>
  <c r="I2443" i="2"/>
  <c r="H2443" i="2"/>
  <c r="G2443" i="2"/>
  <c r="L2440" i="2"/>
  <c r="K2440" i="2"/>
  <c r="J2440" i="2"/>
  <c r="I2440" i="2"/>
  <c r="H2440" i="2"/>
  <c r="G2440" i="2"/>
  <c r="L2436" i="2"/>
  <c r="K2436" i="2"/>
  <c r="J2436" i="2"/>
  <c r="I2436" i="2"/>
  <c r="H2436" i="2"/>
  <c r="G2436" i="2"/>
  <c r="L2432" i="2"/>
  <c r="K2432" i="2"/>
  <c r="J2432" i="2"/>
  <c r="I2432" i="2"/>
  <c r="H2432" i="2"/>
  <c r="G2432" i="2"/>
  <c r="L2428" i="2"/>
  <c r="K2428" i="2"/>
  <c r="J2428" i="2"/>
  <c r="I2428" i="2"/>
  <c r="H2428" i="2"/>
  <c r="G2428" i="2"/>
  <c r="L2424" i="2"/>
  <c r="K2424" i="2"/>
  <c r="J2424" i="2"/>
  <c r="I2424" i="2"/>
  <c r="H2424" i="2"/>
  <c r="G2424" i="2"/>
  <c r="L2421" i="2"/>
  <c r="K2421" i="2"/>
  <c r="J2421" i="2"/>
  <c r="I2421" i="2"/>
  <c r="H2421" i="2"/>
  <c r="G2421" i="2"/>
  <c r="L2417" i="2"/>
  <c r="K2417" i="2"/>
  <c r="J2417" i="2"/>
  <c r="I2417" i="2"/>
  <c r="H2417" i="2"/>
  <c r="G2417" i="2"/>
  <c r="L2413" i="2"/>
  <c r="K2413" i="2"/>
  <c r="J2413" i="2"/>
  <c r="I2413" i="2"/>
  <c r="H2413" i="2"/>
  <c r="G2413" i="2"/>
  <c r="L2410" i="2"/>
  <c r="K2410" i="2"/>
  <c r="J2410" i="2"/>
  <c r="I2410" i="2"/>
  <c r="H2410" i="2"/>
  <c r="G2410" i="2"/>
  <c r="L2388" i="2"/>
  <c r="K2388" i="2"/>
  <c r="J2388" i="2"/>
  <c r="I2388" i="2"/>
  <c r="H2388" i="2"/>
  <c r="G2388" i="2"/>
  <c r="L2366" i="2"/>
  <c r="K2366" i="2"/>
  <c r="J2366" i="2"/>
  <c r="I2366" i="2"/>
  <c r="H2366" i="2"/>
  <c r="G2366" i="2"/>
  <c r="L2355" i="2"/>
  <c r="K2355" i="2"/>
  <c r="J2355" i="2"/>
  <c r="I2355" i="2"/>
  <c r="H2355" i="2"/>
  <c r="G2355" i="2"/>
  <c r="L2351" i="2"/>
  <c r="K2351" i="2"/>
  <c r="J2351" i="2"/>
  <c r="I2351" i="2"/>
  <c r="H2351" i="2"/>
  <c r="G2351" i="2"/>
  <c r="L2347" i="2"/>
  <c r="K2347" i="2"/>
  <c r="J2347" i="2"/>
  <c r="I2347" i="2"/>
  <c r="H2347" i="2"/>
  <c r="G2347" i="2"/>
  <c r="L2343" i="2"/>
  <c r="K2343" i="2"/>
  <c r="J2343" i="2"/>
  <c r="I2343" i="2"/>
  <c r="H2343" i="2"/>
  <c r="G2343" i="2"/>
  <c r="L2340" i="2"/>
  <c r="K2340" i="2"/>
  <c r="J2340" i="2"/>
  <c r="I2340" i="2"/>
  <c r="H2340" i="2"/>
  <c r="G2340" i="2"/>
  <c r="L2337" i="2"/>
  <c r="K2337" i="2"/>
  <c r="J2337" i="2"/>
  <c r="I2337" i="2"/>
  <c r="H2337" i="2"/>
  <c r="G2337" i="2"/>
  <c r="L2334" i="2"/>
  <c r="K2334" i="2"/>
  <c r="J2334" i="2"/>
  <c r="I2334" i="2"/>
  <c r="H2334" i="2"/>
  <c r="G2334" i="2"/>
  <c r="L2331" i="2"/>
  <c r="K2331" i="2"/>
  <c r="J2331" i="2"/>
  <c r="I2331" i="2"/>
  <c r="H2331" i="2"/>
  <c r="G2331" i="2"/>
  <c r="L2328" i="2"/>
  <c r="K2328" i="2"/>
  <c r="J2328" i="2"/>
  <c r="I2328" i="2"/>
  <c r="H2328" i="2"/>
  <c r="G2328" i="2"/>
  <c r="L2325" i="2"/>
  <c r="K2325" i="2"/>
  <c r="J2325" i="2"/>
  <c r="I2325" i="2"/>
  <c r="H2325" i="2"/>
  <c r="G2325" i="2"/>
  <c r="L2322" i="2"/>
  <c r="K2322" i="2"/>
  <c r="J2322" i="2"/>
  <c r="I2322" i="2"/>
  <c r="H2322" i="2"/>
  <c r="G2322" i="2"/>
  <c r="L2319" i="2"/>
  <c r="K2319" i="2"/>
  <c r="J2319" i="2"/>
  <c r="I2319" i="2"/>
  <c r="H2319" i="2"/>
  <c r="G2319" i="2"/>
  <c r="L2316" i="2"/>
  <c r="K2316" i="2"/>
  <c r="J2316" i="2"/>
  <c r="I2316" i="2"/>
  <c r="H2316" i="2"/>
  <c r="G2316" i="2"/>
  <c r="L2312" i="2"/>
  <c r="K2312" i="2"/>
  <c r="J2312" i="2"/>
  <c r="I2312" i="2"/>
  <c r="H2312" i="2"/>
  <c r="G2312" i="2"/>
  <c r="L2308" i="2"/>
  <c r="K2308" i="2"/>
  <c r="J2308" i="2"/>
  <c r="I2308" i="2"/>
  <c r="H2308" i="2"/>
  <c r="G2308" i="2"/>
  <c r="L2305" i="2"/>
  <c r="K2305" i="2"/>
  <c r="J2305" i="2"/>
  <c r="I2305" i="2"/>
  <c r="H2305" i="2"/>
  <c r="G2305" i="2"/>
  <c r="L2302" i="2"/>
  <c r="K2302" i="2"/>
  <c r="J2302" i="2"/>
  <c r="I2302" i="2"/>
  <c r="H2302" i="2"/>
  <c r="G2302" i="2"/>
  <c r="L2299" i="2"/>
  <c r="K2299" i="2"/>
  <c r="J2299" i="2"/>
  <c r="I2299" i="2"/>
  <c r="H2299" i="2"/>
  <c r="G2299" i="2"/>
  <c r="L2295" i="2"/>
  <c r="K2295" i="2"/>
  <c r="J2295" i="2"/>
  <c r="I2295" i="2"/>
  <c r="H2295" i="2"/>
  <c r="G2295" i="2"/>
  <c r="N2291" i="2"/>
  <c r="L2291" i="2"/>
  <c r="K2291" i="2"/>
  <c r="J2291" i="2"/>
  <c r="I2291" i="2"/>
  <c r="H2291" i="2"/>
  <c r="G2291" i="2"/>
  <c r="L2286" i="2"/>
  <c r="K2286" i="2"/>
  <c r="J2286" i="2"/>
  <c r="I2286" i="2"/>
  <c r="H2286" i="2"/>
  <c r="G2286" i="2"/>
  <c r="L2283" i="2"/>
  <c r="K2283" i="2"/>
  <c r="J2283" i="2"/>
  <c r="I2283" i="2"/>
  <c r="H2283" i="2"/>
  <c r="G2283" i="2"/>
  <c r="L2280" i="2"/>
  <c r="K2280" i="2"/>
  <c r="J2280" i="2"/>
  <c r="I2280" i="2"/>
  <c r="H2280" i="2"/>
  <c r="G2280" i="2"/>
  <c r="L2277" i="2"/>
  <c r="K2277" i="2"/>
  <c r="J2277" i="2"/>
  <c r="I2277" i="2"/>
  <c r="H2277" i="2"/>
  <c r="G2277" i="2"/>
  <c r="L2274" i="2"/>
  <c r="K2274" i="2"/>
  <c r="J2274" i="2"/>
  <c r="I2274" i="2"/>
  <c r="H2274" i="2"/>
  <c r="G2274" i="2"/>
  <c r="L2271" i="2"/>
  <c r="K2271" i="2"/>
  <c r="J2271" i="2"/>
  <c r="I2271" i="2"/>
  <c r="H2271" i="2"/>
  <c r="G2271" i="2"/>
  <c r="L2268" i="2"/>
  <c r="K2268" i="2"/>
  <c r="J2268" i="2"/>
  <c r="I2268" i="2"/>
  <c r="H2268" i="2"/>
  <c r="G2268" i="2"/>
  <c r="L2265" i="2"/>
  <c r="K2265" i="2"/>
  <c r="J2265" i="2"/>
  <c r="I2265" i="2"/>
  <c r="H2265" i="2"/>
  <c r="G2265" i="2"/>
  <c r="L2262" i="2"/>
  <c r="K2262" i="2"/>
  <c r="J2262" i="2"/>
  <c r="I2262" i="2"/>
  <c r="H2262" i="2"/>
  <c r="G2262" i="2"/>
  <c r="L2259" i="2"/>
  <c r="K2259" i="2"/>
  <c r="J2259" i="2"/>
  <c r="I2259" i="2"/>
  <c r="H2259" i="2"/>
  <c r="G2259" i="2"/>
  <c r="L2256" i="2"/>
  <c r="K2256" i="2"/>
  <c r="J2256" i="2"/>
  <c r="I2256" i="2"/>
  <c r="H2256" i="2"/>
  <c r="G2256" i="2"/>
  <c r="L2253" i="2"/>
  <c r="K2253" i="2"/>
  <c r="J2253" i="2"/>
  <c r="I2253" i="2"/>
  <c r="H2253" i="2"/>
  <c r="G2253" i="2"/>
  <c r="L2250" i="2"/>
  <c r="K2250" i="2"/>
  <c r="J2250" i="2"/>
  <c r="I2250" i="2"/>
  <c r="H2250" i="2"/>
  <c r="G2250" i="2"/>
  <c r="L2247" i="2"/>
  <c r="K2247" i="2"/>
  <c r="J2247" i="2"/>
  <c r="I2247" i="2"/>
  <c r="H2247" i="2"/>
  <c r="G2247" i="2"/>
  <c r="L2244" i="2"/>
  <c r="K2244" i="2"/>
  <c r="J2244" i="2"/>
  <c r="I2244" i="2"/>
  <c r="H2244" i="2"/>
  <c r="G2244" i="2"/>
  <c r="L2240" i="2"/>
  <c r="K2240" i="2"/>
  <c r="J2240" i="2"/>
  <c r="I2240" i="2"/>
  <c r="H2240" i="2"/>
  <c r="G2240" i="2"/>
  <c r="L2236" i="2"/>
  <c r="K2236" i="2"/>
  <c r="J2236" i="2"/>
  <c r="I2236" i="2"/>
  <c r="H2236" i="2"/>
  <c r="G2236" i="2"/>
  <c r="L2233" i="2"/>
  <c r="K2233" i="2"/>
  <c r="J2233" i="2"/>
  <c r="I2233" i="2"/>
  <c r="H2233" i="2"/>
  <c r="G2233" i="2"/>
  <c r="L2229" i="2"/>
  <c r="K2229" i="2"/>
  <c r="J2229" i="2"/>
  <c r="I2229" i="2"/>
  <c r="H2229" i="2"/>
  <c r="G2229" i="2"/>
  <c r="L2225" i="2"/>
  <c r="K2225" i="2"/>
  <c r="J2225" i="2"/>
  <c r="I2225" i="2"/>
  <c r="H2225" i="2"/>
  <c r="G2225" i="2"/>
  <c r="L2221" i="2"/>
  <c r="K2221" i="2"/>
  <c r="J2221" i="2"/>
  <c r="I2221" i="2"/>
  <c r="H2221" i="2"/>
  <c r="G2221" i="2"/>
  <c r="L2218" i="2"/>
  <c r="K2218" i="2"/>
  <c r="J2218" i="2"/>
  <c r="I2218" i="2"/>
  <c r="H2218" i="2"/>
  <c r="G2218" i="2"/>
  <c r="N2213" i="2"/>
  <c r="L2213" i="2"/>
  <c r="K2213" i="2"/>
  <c r="J2213" i="2"/>
  <c r="I2213" i="2"/>
  <c r="H2213" i="2"/>
  <c r="G2213" i="2"/>
  <c r="N2206" i="2"/>
  <c r="L2206" i="2"/>
  <c r="K2206" i="2"/>
  <c r="J2206" i="2"/>
  <c r="I2206" i="2"/>
  <c r="H2206" i="2"/>
  <c r="G2206" i="2"/>
  <c r="N2199" i="2"/>
  <c r="L2199" i="2"/>
  <c r="K2199" i="2"/>
  <c r="J2199" i="2"/>
  <c r="I2199" i="2"/>
  <c r="H2199" i="2"/>
  <c r="G2199" i="2"/>
  <c r="L2192" i="2"/>
  <c r="K2192" i="2"/>
  <c r="J2192" i="2"/>
  <c r="I2192" i="2"/>
  <c r="H2192" i="2"/>
  <c r="G2192" i="2"/>
  <c r="N2189" i="2"/>
  <c r="L2189" i="2"/>
  <c r="K2189" i="2"/>
  <c r="J2189" i="2"/>
  <c r="I2189" i="2"/>
  <c r="H2189" i="2"/>
  <c r="G2189" i="2"/>
  <c r="L2184" i="2"/>
  <c r="K2184" i="2"/>
  <c r="J2184" i="2"/>
  <c r="I2184" i="2"/>
  <c r="H2184" i="2"/>
  <c r="G2184" i="2"/>
  <c r="L2180" i="2"/>
  <c r="K2180" i="2"/>
  <c r="J2180" i="2"/>
  <c r="I2180" i="2"/>
  <c r="H2180" i="2"/>
  <c r="G2180" i="2"/>
  <c r="L2176" i="2"/>
  <c r="K2176" i="2"/>
  <c r="J2176" i="2"/>
  <c r="I2176" i="2"/>
  <c r="H2176" i="2"/>
  <c r="G2176" i="2"/>
  <c r="L2173" i="2"/>
  <c r="K2173" i="2"/>
  <c r="J2173" i="2"/>
  <c r="I2173" i="2"/>
  <c r="H2173" i="2"/>
  <c r="G2173" i="2"/>
  <c r="L2169" i="2"/>
  <c r="K2169" i="2"/>
  <c r="J2169" i="2"/>
  <c r="I2169" i="2"/>
  <c r="H2169" i="2"/>
  <c r="G2169" i="2"/>
  <c r="L2165" i="2"/>
  <c r="K2165" i="2"/>
  <c r="J2165" i="2"/>
  <c r="I2165" i="2"/>
  <c r="H2165" i="2"/>
  <c r="G2165" i="2"/>
  <c r="L2162" i="2"/>
  <c r="K2162" i="2"/>
  <c r="J2162" i="2"/>
  <c r="I2162" i="2"/>
  <c r="H2162" i="2"/>
  <c r="G2162" i="2"/>
  <c r="L2159" i="2"/>
  <c r="K2159" i="2"/>
  <c r="J2159" i="2"/>
  <c r="I2159" i="2"/>
  <c r="H2159" i="2"/>
  <c r="G2159" i="2"/>
  <c r="N2154" i="2"/>
  <c r="L2154" i="2"/>
  <c r="K2154" i="2"/>
  <c r="J2154" i="2"/>
  <c r="I2154" i="2"/>
  <c r="H2154" i="2"/>
  <c r="G2154" i="2"/>
  <c r="L2148" i="2"/>
  <c r="K2148" i="2"/>
  <c r="J2148" i="2"/>
  <c r="I2148" i="2"/>
  <c r="H2148" i="2"/>
  <c r="G2148" i="2"/>
  <c r="L2144" i="2"/>
  <c r="K2144" i="2"/>
  <c r="J2144" i="2"/>
  <c r="I2144" i="2"/>
  <c r="H2144" i="2"/>
  <c r="G2144" i="2"/>
  <c r="N2141" i="2"/>
  <c r="L2141" i="2"/>
  <c r="K2141" i="2"/>
  <c r="J2141" i="2"/>
  <c r="I2141" i="2"/>
  <c r="H2141" i="2"/>
  <c r="G2141" i="2"/>
  <c r="L2137" i="2"/>
  <c r="K2137" i="2"/>
  <c r="J2137" i="2"/>
  <c r="I2137" i="2"/>
  <c r="H2137" i="2"/>
  <c r="G2137" i="2"/>
  <c r="L2133" i="2"/>
  <c r="K2133" i="2"/>
  <c r="J2133" i="2"/>
  <c r="I2133" i="2"/>
  <c r="H2133" i="2"/>
  <c r="G2133" i="2"/>
  <c r="L2127" i="2"/>
  <c r="K2127" i="2"/>
  <c r="J2127" i="2"/>
  <c r="I2127" i="2"/>
  <c r="H2127" i="2"/>
  <c r="G2127" i="2"/>
  <c r="L2123" i="2"/>
  <c r="K2123" i="2"/>
  <c r="J2123" i="2"/>
  <c r="I2123" i="2"/>
  <c r="H2123" i="2"/>
  <c r="G2123" i="2"/>
  <c r="L2119" i="2"/>
  <c r="K2119" i="2"/>
  <c r="J2119" i="2"/>
  <c r="I2119" i="2"/>
  <c r="H2119" i="2"/>
  <c r="G2119" i="2"/>
  <c r="L2115" i="2"/>
  <c r="K2115" i="2"/>
  <c r="J2115" i="2"/>
  <c r="I2115" i="2"/>
  <c r="H2115" i="2"/>
  <c r="G2115" i="2"/>
  <c r="L2112" i="2"/>
  <c r="K2112" i="2"/>
  <c r="J2112" i="2"/>
  <c r="I2112" i="2"/>
  <c r="H2112" i="2"/>
  <c r="G2112" i="2"/>
  <c r="L2109" i="2"/>
  <c r="K2109" i="2"/>
  <c r="J2109" i="2"/>
  <c r="I2109" i="2"/>
  <c r="H2109" i="2"/>
  <c r="G2109" i="2"/>
  <c r="L2105" i="2"/>
  <c r="K2105" i="2"/>
  <c r="J2105" i="2"/>
  <c r="I2105" i="2"/>
  <c r="H2105" i="2"/>
  <c r="G2105" i="2"/>
  <c r="L2102" i="2"/>
  <c r="K2102" i="2"/>
  <c r="J2102" i="2"/>
  <c r="I2102" i="2"/>
  <c r="H2102" i="2"/>
  <c r="G2102" i="2"/>
  <c r="L2099" i="2"/>
  <c r="K2099" i="2"/>
  <c r="J2099" i="2"/>
  <c r="I2099" i="2"/>
  <c r="H2099" i="2"/>
  <c r="G2099" i="2"/>
  <c r="L2096" i="2"/>
  <c r="K2096" i="2"/>
  <c r="J2096" i="2"/>
  <c r="I2096" i="2"/>
  <c r="H2096" i="2"/>
  <c r="G2096" i="2"/>
  <c r="L2092" i="2"/>
  <c r="K2092" i="2"/>
  <c r="J2092" i="2"/>
  <c r="I2092" i="2"/>
  <c r="H2092" i="2"/>
  <c r="G2092" i="2"/>
  <c r="L2089" i="2"/>
  <c r="K2089" i="2"/>
  <c r="J2089" i="2"/>
  <c r="I2089" i="2"/>
  <c r="H2089" i="2"/>
  <c r="G2089" i="2"/>
  <c r="L2085" i="2"/>
  <c r="K2085" i="2"/>
  <c r="J2085" i="2"/>
  <c r="I2085" i="2"/>
  <c r="H2085" i="2"/>
  <c r="G2085" i="2"/>
  <c r="L2081" i="2"/>
  <c r="K2081" i="2"/>
  <c r="J2081" i="2"/>
  <c r="I2081" i="2"/>
  <c r="H2081" i="2"/>
  <c r="G2081" i="2"/>
  <c r="L2078" i="2"/>
  <c r="K2078" i="2"/>
  <c r="J2078" i="2"/>
  <c r="I2078" i="2"/>
  <c r="H2078" i="2"/>
  <c r="G2078" i="2"/>
  <c r="L2074" i="2"/>
  <c r="K2074" i="2"/>
  <c r="J2074" i="2"/>
  <c r="I2074" i="2"/>
  <c r="H2074" i="2"/>
  <c r="G2074" i="2"/>
  <c r="L2071" i="2"/>
  <c r="K2071" i="2"/>
  <c r="J2071" i="2"/>
  <c r="I2071" i="2"/>
  <c r="H2071" i="2"/>
  <c r="G2071" i="2"/>
  <c r="L2068" i="2"/>
  <c r="K2068" i="2"/>
  <c r="J2068" i="2"/>
  <c r="I2068" i="2"/>
  <c r="H2068" i="2"/>
  <c r="G2068" i="2"/>
  <c r="L2065" i="2"/>
  <c r="K2065" i="2"/>
  <c r="J2065" i="2"/>
  <c r="I2065" i="2"/>
  <c r="H2065" i="2"/>
  <c r="G2065" i="2"/>
  <c r="L2062" i="2"/>
  <c r="K2062" i="2"/>
  <c r="J2062" i="2"/>
  <c r="I2062" i="2"/>
  <c r="H2062" i="2"/>
  <c r="G2062" i="2"/>
  <c r="L2059" i="2"/>
  <c r="K2059" i="2"/>
  <c r="J2059" i="2"/>
  <c r="I2059" i="2"/>
  <c r="H2059" i="2"/>
  <c r="G2059" i="2"/>
  <c r="L2056" i="2"/>
  <c r="K2056" i="2"/>
  <c r="J2056" i="2"/>
  <c r="I2056" i="2"/>
  <c r="H2056" i="2"/>
  <c r="G2056" i="2"/>
  <c r="L2052" i="2"/>
  <c r="K2052" i="2"/>
  <c r="J2052" i="2"/>
  <c r="I2052" i="2"/>
  <c r="H2052" i="2"/>
  <c r="G2052" i="2"/>
  <c r="L2048" i="2"/>
  <c r="K2048" i="2"/>
  <c r="J2048" i="2"/>
  <c r="I2048" i="2"/>
  <c r="H2048" i="2"/>
  <c r="G2048" i="2"/>
  <c r="L2044" i="2"/>
  <c r="K2044" i="2"/>
  <c r="J2044" i="2"/>
  <c r="I2044" i="2"/>
  <c r="H2044" i="2"/>
  <c r="G2044" i="2"/>
  <c r="L2041" i="2"/>
  <c r="K2041" i="2"/>
  <c r="J2041" i="2"/>
  <c r="I2041" i="2"/>
  <c r="H2041" i="2"/>
  <c r="G2041" i="2"/>
  <c r="L2037" i="2"/>
  <c r="K2037" i="2"/>
  <c r="J2037" i="2"/>
  <c r="I2037" i="2"/>
  <c r="H2037" i="2"/>
  <c r="G2037" i="2"/>
  <c r="L2033" i="2"/>
  <c r="K2033" i="2"/>
  <c r="J2033" i="2"/>
  <c r="I2033" i="2"/>
  <c r="H2033" i="2"/>
  <c r="G2033" i="2"/>
  <c r="L2029" i="2"/>
  <c r="K2029" i="2"/>
  <c r="J2029" i="2"/>
  <c r="I2029" i="2"/>
  <c r="H2029" i="2"/>
  <c r="G2029" i="2"/>
  <c r="L2025" i="2"/>
  <c r="K2025" i="2"/>
  <c r="J2025" i="2"/>
  <c r="I2025" i="2"/>
  <c r="H2025" i="2"/>
  <c r="G2025" i="2"/>
  <c r="L2022" i="2"/>
  <c r="K2022" i="2"/>
  <c r="J2022" i="2"/>
  <c r="I2022" i="2"/>
  <c r="H2022" i="2"/>
  <c r="G2022" i="2"/>
  <c r="L2019" i="2"/>
  <c r="K2019" i="2"/>
  <c r="J2019" i="2"/>
  <c r="I2019" i="2"/>
  <c r="H2019" i="2"/>
  <c r="G2019" i="2"/>
  <c r="L2016" i="2"/>
  <c r="K2016" i="2"/>
  <c r="J2016" i="2"/>
  <c r="I2016" i="2"/>
  <c r="H2016" i="2"/>
  <c r="G2016" i="2"/>
  <c r="L2012" i="2"/>
  <c r="K2012" i="2"/>
  <c r="J2012" i="2"/>
  <c r="I2012" i="2"/>
  <c r="H2012" i="2"/>
  <c r="G2012" i="2"/>
  <c r="L2008" i="2"/>
  <c r="K2008" i="2"/>
  <c r="J2008" i="2"/>
  <c r="I2008" i="2"/>
  <c r="H2008" i="2"/>
  <c r="G2008" i="2"/>
  <c r="L2005" i="2"/>
  <c r="K2005" i="2"/>
  <c r="J2005" i="2"/>
  <c r="I2005" i="2"/>
  <c r="H2005" i="2"/>
  <c r="G2005" i="2"/>
  <c r="L2001" i="2"/>
  <c r="K2001" i="2"/>
  <c r="J2001" i="2"/>
  <c r="I2001" i="2"/>
  <c r="H2001" i="2"/>
  <c r="G2001" i="2"/>
  <c r="L1997" i="2"/>
  <c r="K1997" i="2"/>
  <c r="J1997" i="2"/>
  <c r="I1997" i="2"/>
  <c r="H1997" i="2"/>
  <c r="G1997" i="2"/>
  <c r="L1993" i="2"/>
  <c r="K1993" i="2"/>
  <c r="J1993" i="2"/>
  <c r="I1993" i="2"/>
  <c r="H1993" i="2"/>
  <c r="G1993" i="2"/>
  <c r="L1989" i="2"/>
  <c r="K1989" i="2"/>
  <c r="J1989" i="2"/>
  <c r="I1989" i="2"/>
  <c r="H1989" i="2"/>
  <c r="G1989" i="2"/>
  <c r="L1986" i="2"/>
  <c r="K1986" i="2"/>
  <c r="J1986" i="2"/>
  <c r="I1986" i="2"/>
  <c r="H1986" i="2"/>
  <c r="G1986" i="2"/>
  <c r="L1982" i="2"/>
  <c r="K1982" i="2"/>
  <c r="J1982" i="2"/>
  <c r="I1982" i="2"/>
  <c r="H1982" i="2"/>
  <c r="G1982" i="2"/>
  <c r="L1979" i="2"/>
  <c r="K1979" i="2"/>
  <c r="J1979" i="2"/>
  <c r="I1979" i="2"/>
  <c r="H1979" i="2"/>
  <c r="G1979" i="2"/>
  <c r="L1976" i="2"/>
  <c r="K1976" i="2"/>
  <c r="J1976" i="2"/>
  <c r="I1976" i="2"/>
  <c r="H1976" i="2"/>
  <c r="G1976" i="2"/>
  <c r="L1972" i="2"/>
  <c r="K1972" i="2"/>
  <c r="J1972" i="2"/>
  <c r="I1972" i="2"/>
  <c r="H1972" i="2"/>
  <c r="G1972" i="2"/>
  <c r="L1968" i="2"/>
  <c r="K1968" i="2"/>
  <c r="J1968" i="2"/>
  <c r="I1968" i="2"/>
  <c r="H1968" i="2"/>
  <c r="G1968" i="2"/>
  <c r="L1964" i="2"/>
  <c r="K1964" i="2"/>
  <c r="J1964" i="2"/>
  <c r="I1964" i="2"/>
  <c r="H1964" i="2"/>
  <c r="G1964" i="2"/>
  <c r="L1960" i="2"/>
  <c r="K1960" i="2"/>
  <c r="J1960" i="2"/>
  <c r="I1960" i="2"/>
  <c r="H1960" i="2"/>
  <c r="G1960" i="2"/>
  <c r="L1957" i="2"/>
  <c r="K1957" i="2"/>
  <c r="J1957" i="2"/>
  <c r="I1957" i="2"/>
  <c r="H1957" i="2"/>
  <c r="G1957" i="2"/>
  <c r="L1953" i="2"/>
  <c r="K1953" i="2"/>
  <c r="J1953" i="2"/>
  <c r="I1953" i="2"/>
  <c r="H1953" i="2"/>
  <c r="G1953" i="2"/>
  <c r="L1949" i="2"/>
  <c r="K1949" i="2"/>
  <c r="J1949" i="2"/>
  <c r="I1949" i="2"/>
  <c r="H1949" i="2"/>
  <c r="G1949" i="2"/>
  <c r="L1945" i="2"/>
  <c r="K1945" i="2"/>
  <c r="J1945" i="2"/>
  <c r="I1945" i="2"/>
  <c r="H1945" i="2"/>
  <c r="G1945" i="2"/>
  <c r="L1941" i="2"/>
  <c r="K1941" i="2"/>
  <c r="J1941" i="2"/>
  <c r="I1941" i="2"/>
  <c r="H1941" i="2"/>
  <c r="G1941" i="2"/>
  <c r="L1938" i="2"/>
  <c r="K1938" i="2"/>
  <c r="J1938" i="2"/>
  <c r="I1938" i="2"/>
  <c r="H1938" i="2"/>
  <c r="G1938" i="2"/>
  <c r="L1932" i="2"/>
  <c r="K1932" i="2"/>
  <c r="J1932" i="2"/>
  <c r="I1932" i="2"/>
  <c r="H1932" i="2"/>
  <c r="G1932" i="2"/>
  <c r="L1926" i="2"/>
  <c r="K1926" i="2"/>
  <c r="J1926" i="2"/>
  <c r="I1926" i="2"/>
  <c r="H1926" i="2"/>
  <c r="G1926" i="2"/>
  <c r="L1923" i="2"/>
  <c r="K1923" i="2"/>
  <c r="J1923" i="2"/>
  <c r="I1923" i="2"/>
  <c r="H1923" i="2"/>
  <c r="G1923" i="2"/>
  <c r="L1919" i="2"/>
  <c r="K1919" i="2"/>
  <c r="J1919" i="2"/>
  <c r="I1919" i="2"/>
  <c r="H1919" i="2"/>
  <c r="G1919" i="2"/>
  <c r="L1915" i="2"/>
  <c r="K1915" i="2"/>
  <c r="J1915" i="2"/>
  <c r="I1915" i="2"/>
  <c r="H1915" i="2"/>
  <c r="G1915" i="2"/>
  <c r="L1911" i="2"/>
  <c r="K1911" i="2"/>
  <c r="J1911" i="2"/>
  <c r="I1911" i="2"/>
  <c r="H1911" i="2"/>
  <c r="G1911" i="2"/>
  <c r="L1907" i="2"/>
  <c r="K1907" i="2"/>
  <c r="J1907" i="2"/>
  <c r="I1907" i="2"/>
  <c r="H1907" i="2"/>
  <c r="G1907" i="2"/>
  <c r="L1904" i="2"/>
  <c r="K1904" i="2"/>
  <c r="J1904" i="2"/>
  <c r="I1904" i="2"/>
  <c r="H1904" i="2"/>
  <c r="G1904" i="2"/>
  <c r="L1900" i="2"/>
  <c r="K1900" i="2"/>
  <c r="J1900" i="2"/>
  <c r="I1900" i="2"/>
  <c r="H1900" i="2"/>
  <c r="G1900" i="2"/>
  <c r="N1895" i="2"/>
  <c r="L1895" i="2"/>
  <c r="K1895" i="2"/>
  <c r="J1895" i="2"/>
  <c r="I1895" i="2"/>
  <c r="H1895" i="2"/>
  <c r="G1895" i="2"/>
  <c r="L1888" i="2"/>
  <c r="K1888" i="2"/>
  <c r="J1888" i="2"/>
  <c r="I1888" i="2"/>
  <c r="H1888" i="2"/>
  <c r="G1888" i="2"/>
  <c r="L1885" i="2"/>
  <c r="K1885" i="2"/>
  <c r="J1885" i="2"/>
  <c r="I1885" i="2"/>
  <c r="H1885" i="2"/>
  <c r="G1885" i="2"/>
  <c r="N1880" i="2"/>
  <c r="L1880" i="2"/>
  <c r="K1880" i="2"/>
  <c r="J1880" i="2"/>
  <c r="I1880" i="2"/>
  <c r="H1880" i="2"/>
  <c r="G1880" i="2"/>
  <c r="L1874" i="2"/>
  <c r="K1874" i="2"/>
  <c r="J1874" i="2"/>
  <c r="I1874" i="2"/>
  <c r="H1874" i="2"/>
  <c r="G1874" i="2"/>
  <c r="L1871" i="2"/>
  <c r="K1871" i="2"/>
  <c r="J1871" i="2"/>
  <c r="I1871" i="2"/>
  <c r="H1871" i="2"/>
  <c r="G1871" i="2"/>
  <c r="L1868" i="2"/>
  <c r="K1868" i="2"/>
  <c r="J1868" i="2"/>
  <c r="I1868" i="2"/>
  <c r="H1868" i="2"/>
  <c r="G1868" i="2"/>
  <c r="L1865" i="2"/>
  <c r="K1865" i="2"/>
  <c r="J1865" i="2"/>
  <c r="I1865" i="2"/>
  <c r="H1865" i="2"/>
  <c r="G1865" i="2"/>
  <c r="L1861" i="2"/>
  <c r="K1861" i="2"/>
  <c r="J1861" i="2"/>
  <c r="I1861" i="2"/>
  <c r="H1861" i="2"/>
  <c r="G1861" i="2"/>
  <c r="L1858" i="2"/>
  <c r="K1858" i="2"/>
  <c r="J1858" i="2"/>
  <c r="I1858" i="2"/>
  <c r="H1858" i="2"/>
  <c r="G1858" i="2"/>
  <c r="L1855" i="2"/>
  <c r="K1855" i="2"/>
  <c r="J1855" i="2"/>
  <c r="I1855" i="2"/>
  <c r="H1855" i="2"/>
  <c r="G1855" i="2"/>
  <c r="L1851" i="2"/>
  <c r="K1851" i="2"/>
  <c r="J1851" i="2"/>
  <c r="I1851" i="2"/>
  <c r="H1851" i="2"/>
  <c r="G1851" i="2"/>
  <c r="L1847" i="2"/>
  <c r="K1847" i="2"/>
  <c r="J1847" i="2"/>
  <c r="I1847" i="2"/>
  <c r="H1847" i="2"/>
  <c r="G1847" i="2"/>
  <c r="L1844" i="2"/>
  <c r="K1844" i="2"/>
  <c r="J1844" i="2"/>
  <c r="I1844" i="2"/>
  <c r="H1844" i="2"/>
  <c r="G1844" i="2"/>
  <c r="L1840" i="2"/>
  <c r="K1840" i="2"/>
  <c r="J1840" i="2"/>
  <c r="I1840" i="2"/>
  <c r="H1840" i="2"/>
  <c r="G1840" i="2"/>
  <c r="L1837" i="2"/>
  <c r="K1837" i="2"/>
  <c r="J1837" i="2"/>
  <c r="I1837" i="2"/>
  <c r="H1837" i="2"/>
  <c r="G1837" i="2"/>
  <c r="L1833" i="2"/>
  <c r="K1833" i="2"/>
  <c r="J1833" i="2"/>
  <c r="I1833" i="2"/>
  <c r="H1833" i="2"/>
  <c r="G1833" i="2"/>
  <c r="L1829" i="2"/>
  <c r="K1829" i="2"/>
  <c r="J1829" i="2"/>
  <c r="I1829" i="2"/>
  <c r="H1829" i="2"/>
  <c r="G1829" i="2"/>
  <c r="L1826" i="2"/>
  <c r="K1826" i="2"/>
  <c r="J1826" i="2"/>
  <c r="I1826" i="2"/>
  <c r="H1826" i="2"/>
  <c r="G1826" i="2"/>
  <c r="L1822" i="2"/>
  <c r="K1822" i="2"/>
  <c r="J1822" i="2"/>
  <c r="I1822" i="2"/>
  <c r="H1822" i="2"/>
  <c r="G1822" i="2"/>
  <c r="L1818" i="2"/>
  <c r="K1818" i="2"/>
  <c r="J1818" i="2"/>
  <c r="I1818" i="2"/>
  <c r="H1818" i="2"/>
  <c r="G1818" i="2"/>
  <c r="L1815" i="2"/>
  <c r="K1815" i="2"/>
  <c r="J1815" i="2"/>
  <c r="I1815" i="2"/>
  <c r="H1815" i="2"/>
  <c r="G1815" i="2"/>
  <c r="L1811" i="2"/>
  <c r="K1811" i="2"/>
  <c r="J1811" i="2"/>
  <c r="I1811" i="2"/>
  <c r="H1811" i="2"/>
  <c r="G1811" i="2"/>
  <c r="L1807" i="2"/>
  <c r="K1807" i="2"/>
  <c r="J1807" i="2"/>
  <c r="I1807" i="2"/>
  <c r="H1807" i="2"/>
  <c r="G1807" i="2"/>
  <c r="L1803" i="2"/>
  <c r="K1803" i="2"/>
  <c r="J1803" i="2"/>
  <c r="I1803" i="2"/>
  <c r="H1803" i="2"/>
  <c r="G1803" i="2"/>
  <c r="L1797" i="2"/>
  <c r="K1797" i="2"/>
  <c r="J1797" i="2"/>
  <c r="I1797" i="2"/>
  <c r="H1797" i="2"/>
  <c r="G1797" i="2"/>
  <c r="L1794" i="2"/>
  <c r="K1794" i="2"/>
  <c r="J1794" i="2"/>
  <c r="I1794" i="2"/>
  <c r="H1794" i="2"/>
  <c r="G1794" i="2"/>
  <c r="L1790" i="2"/>
  <c r="K1790" i="2"/>
  <c r="J1790" i="2"/>
  <c r="I1790" i="2"/>
  <c r="H1790" i="2"/>
  <c r="G1790" i="2"/>
  <c r="L1786" i="2"/>
  <c r="K1786" i="2"/>
  <c r="J1786" i="2"/>
  <c r="I1786" i="2"/>
  <c r="H1786" i="2"/>
  <c r="G1786" i="2"/>
  <c r="L1782" i="2"/>
  <c r="K1782" i="2"/>
  <c r="J1782" i="2"/>
  <c r="I1782" i="2"/>
  <c r="H1782" i="2"/>
  <c r="G1782" i="2"/>
  <c r="L1779" i="2"/>
  <c r="K1779" i="2"/>
  <c r="J1779" i="2"/>
  <c r="I1779" i="2"/>
  <c r="H1779" i="2"/>
  <c r="G1779" i="2"/>
  <c r="L1775" i="2"/>
  <c r="K1775" i="2"/>
  <c r="J1775" i="2"/>
  <c r="I1775" i="2"/>
  <c r="H1775" i="2"/>
  <c r="G1775" i="2"/>
  <c r="L1771" i="2"/>
  <c r="K1771" i="2"/>
  <c r="J1771" i="2"/>
  <c r="I1771" i="2"/>
  <c r="H1771" i="2"/>
  <c r="G1771" i="2"/>
  <c r="L1768" i="2"/>
  <c r="K1768" i="2"/>
  <c r="J1768" i="2"/>
  <c r="I1768" i="2"/>
  <c r="H1768" i="2"/>
  <c r="G1768" i="2"/>
  <c r="L1764" i="2"/>
  <c r="K1764" i="2"/>
  <c r="J1764" i="2"/>
  <c r="I1764" i="2"/>
  <c r="H1764" i="2"/>
  <c r="G1764" i="2"/>
  <c r="L1760" i="2"/>
  <c r="K1760" i="2"/>
  <c r="J1760" i="2"/>
  <c r="I1760" i="2"/>
  <c r="H1760" i="2"/>
  <c r="G1760" i="2"/>
  <c r="L1756" i="2"/>
  <c r="K1756" i="2"/>
  <c r="J1756" i="2"/>
  <c r="I1756" i="2"/>
  <c r="H1756" i="2"/>
  <c r="G1756" i="2"/>
  <c r="L1752" i="2"/>
  <c r="K1752" i="2"/>
  <c r="J1752" i="2"/>
  <c r="I1752" i="2"/>
  <c r="H1752" i="2"/>
  <c r="G1752" i="2"/>
  <c r="L1748" i="2"/>
  <c r="K1748" i="2"/>
  <c r="J1748" i="2"/>
  <c r="I1748" i="2"/>
  <c r="H1748" i="2"/>
  <c r="G1748" i="2"/>
  <c r="L1745" i="2"/>
  <c r="K1745" i="2"/>
  <c r="J1745" i="2"/>
  <c r="I1745" i="2"/>
  <c r="H1745" i="2"/>
  <c r="G1745" i="2"/>
  <c r="L1741" i="2"/>
  <c r="K1741" i="2"/>
  <c r="J1741" i="2"/>
  <c r="I1741" i="2"/>
  <c r="H1741" i="2"/>
  <c r="G1741" i="2"/>
  <c r="L1737" i="2"/>
  <c r="K1737" i="2"/>
  <c r="J1737" i="2"/>
  <c r="I1737" i="2"/>
  <c r="H1737" i="2"/>
  <c r="G1737" i="2"/>
  <c r="L1733" i="2"/>
  <c r="K1733" i="2"/>
  <c r="J1733" i="2"/>
  <c r="I1733" i="2"/>
  <c r="H1733" i="2"/>
  <c r="G1733" i="2"/>
  <c r="L1729" i="2"/>
  <c r="K1729" i="2"/>
  <c r="J1729" i="2"/>
  <c r="I1729" i="2"/>
  <c r="H1729" i="2"/>
  <c r="G1729" i="2"/>
  <c r="L1726" i="2"/>
  <c r="K1726" i="2"/>
  <c r="J1726" i="2"/>
  <c r="I1726" i="2"/>
  <c r="H1726" i="2"/>
  <c r="G1726" i="2"/>
  <c r="L1722" i="2"/>
  <c r="K1722" i="2"/>
  <c r="J1722" i="2"/>
  <c r="I1722" i="2"/>
  <c r="H1722" i="2"/>
  <c r="G1722" i="2"/>
  <c r="L1718" i="2"/>
  <c r="K1718" i="2"/>
  <c r="J1718" i="2"/>
  <c r="I1718" i="2"/>
  <c r="H1718" i="2"/>
  <c r="G1718" i="2"/>
  <c r="L1713" i="2"/>
  <c r="K1713" i="2"/>
  <c r="J1713" i="2"/>
  <c r="I1713" i="2"/>
  <c r="H1713" i="2"/>
  <c r="G1713" i="2"/>
  <c r="L1710" i="2"/>
  <c r="K1710" i="2"/>
  <c r="J1710" i="2"/>
  <c r="I1710" i="2"/>
  <c r="H1710" i="2"/>
  <c r="G1710" i="2"/>
  <c r="L1707" i="2"/>
  <c r="K1707" i="2"/>
  <c r="J1707" i="2"/>
  <c r="I1707" i="2"/>
  <c r="H1707" i="2"/>
  <c r="G1707" i="2"/>
  <c r="L1704" i="2"/>
  <c r="K1704" i="2"/>
  <c r="J1704" i="2"/>
  <c r="I1704" i="2"/>
  <c r="H1704" i="2"/>
  <c r="G1704" i="2"/>
  <c r="L1700" i="2"/>
  <c r="K1700" i="2"/>
  <c r="J1700" i="2"/>
  <c r="I1700" i="2"/>
  <c r="H1700" i="2"/>
  <c r="G1700" i="2"/>
  <c r="L1697" i="2"/>
  <c r="K1697" i="2"/>
  <c r="J1697" i="2"/>
  <c r="I1697" i="2"/>
  <c r="H1697" i="2"/>
  <c r="G1697" i="2"/>
  <c r="N1692" i="2"/>
  <c r="L1692" i="2"/>
  <c r="K1692" i="2"/>
  <c r="J1692" i="2"/>
  <c r="I1692" i="2"/>
  <c r="H1692" i="2"/>
  <c r="G1692" i="2"/>
  <c r="L1686" i="2"/>
  <c r="K1686" i="2"/>
  <c r="J1686" i="2"/>
  <c r="I1686" i="2"/>
  <c r="H1686" i="2"/>
  <c r="G1686" i="2"/>
  <c r="L1682" i="2"/>
  <c r="K1682" i="2"/>
  <c r="J1682" i="2"/>
  <c r="I1682" i="2"/>
  <c r="H1682" i="2"/>
  <c r="G1682" i="2"/>
  <c r="L1678" i="2"/>
  <c r="K1678" i="2"/>
  <c r="J1678" i="2"/>
  <c r="I1678" i="2"/>
  <c r="H1678" i="2"/>
  <c r="G1678" i="2"/>
  <c r="L1675" i="2"/>
  <c r="K1675" i="2"/>
  <c r="J1675" i="2"/>
  <c r="I1675" i="2"/>
  <c r="H1675" i="2"/>
  <c r="G1675" i="2"/>
  <c r="L1671" i="2"/>
  <c r="K1671" i="2"/>
  <c r="J1671" i="2"/>
  <c r="I1671" i="2"/>
  <c r="H1671" i="2"/>
  <c r="G1671" i="2"/>
  <c r="L1665" i="2"/>
  <c r="K1665" i="2"/>
  <c r="J1665" i="2"/>
  <c r="I1665" i="2"/>
  <c r="H1665" i="2"/>
  <c r="G1665" i="2"/>
  <c r="L1662" i="2"/>
  <c r="K1662" i="2"/>
  <c r="J1662" i="2"/>
  <c r="I1662" i="2"/>
  <c r="H1662" i="2"/>
  <c r="G1662" i="2"/>
  <c r="L1658" i="2"/>
  <c r="K1658" i="2"/>
  <c r="J1658" i="2"/>
  <c r="I1658" i="2"/>
  <c r="H1658" i="2"/>
  <c r="G1658" i="2"/>
  <c r="L1654" i="2"/>
  <c r="K1654" i="2"/>
  <c r="J1654" i="2"/>
  <c r="I1654" i="2"/>
  <c r="H1654" i="2"/>
  <c r="G1654" i="2"/>
  <c r="L1651" i="2"/>
  <c r="K1651" i="2"/>
  <c r="J1651" i="2"/>
  <c r="I1651" i="2"/>
  <c r="H1651" i="2"/>
  <c r="G1651" i="2"/>
  <c r="L1648" i="2"/>
  <c r="K1648" i="2"/>
  <c r="J1648" i="2"/>
  <c r="I1648" i="2"/>
  <c r="H1648" i="2"/>
  <c r="G1648" i="2"/>
  <c r="L1645" i="2"/>
  <c r="K1645" i="2"/>
  <c r="J1645" i="2"/>
  <c r="I1645" i="2"/>
  <c r="H1645" i="2"/>
  <c r="G1645" i="2"/>
  <c r="L1642" i="2"/>
  <c r="K1642" i="2"/>
  <c r="J1642" i="2"/>
  <c r="I1642" i="2"/>
  <c r="H1642" i="2"/>
  <c r="G1642" i="2"/>
  <c r="L1638" i="2"/>
  <c r="K1638" i="2"/>
  <c r="J1638" i="2"/>
  <c r="I1638" i="2"/>
  <c r="H1638" i="2"/>
  <c r="G1638" i="2"/>
  <c r="L1635" i="2"/>
  <c r="K1635" i="2"/>
  <c r="J1635" i="2"/>
  <c r="I1635" i="2"/>
  <c r="H1635" i="2"/>
  <c r="G1635" i="2"/>
  <c r="L1629" i="2"/>
  <c r="K1629" i="2"/>
  <c r="J1629" i="2"/>
  <c r="I1629" i="2"/>
  <c r="H1629" i="2"/>
  <c r="G1629" i="2"/>
  <c r="L1623" i="2"/>
  <c r="K1623" i="2"/>
  <c r="J1623" i="2"/>
  <c r="I1623" i="2"/>
  <c r="H1623" i="2"/>
  <c r="G1623" i="2"/>
  <c r="L1619" i="2"/>
  <c r="K1619" i="2"/>
  <c r="J1619" i="2"/>
  <c r="I1619" i="2"/>
  <c r="H1619" i="2"/>
  <c r="G1619" i="2"/>
  <c r="L1615" i="2"/>
  <c r="K1615" i="2"/>
  <c r="J1615" i="2"/>
  <c r="I1615" i="2"/>
  <c r="H1615" i="2"/>
  <c r="G1615" i="2"/>
  <c r="L1612" i="2"/>
  <c r="K1612" i="2"/>
  <c r="J1612" i="2"/>
  <c r="I1612" i="2"/>
  <c r="H1612" i="2"/>
  <c r="G1612" i="2"/>
  <c r="L1608" i="2"/>
  <c r="K1608" i="2"/>
  <c r="J1608" i="2"/>
  <c r="I1608" i="2"/>
  <c r="H1608" i="2"/>
  <c r="G1608" i="2"/>
  <c r="L1604" i="2"/>
  <c r="K1604" i="2"/>
  <c r="J1604" i="2"/>
  <c r="I1604" i="2"/>
  <c r="H1604" i="2"/>
  <c r="G1604" i="2"/>
  <c r="N1599" i="2"/>
  <c r="L1599" i="2"/>
  <c r="K1599" i="2"/>
  <c r="J1599" i="2"/>
  <c r="I1599" i="2"/>
  <c r="H1599" i="2"/>
  <c r="G1599" i="2"/>
  <c r="L1591" i="2"/>
  <c r="K1591" i="2"/>
  <c r="J1591" i="2"/>
  <c r="I1591" i="2"/>
  <c r="H1591" i="2"/>
  <c r="G1591" i="2"/>
  <c r="N1587" i="2"/>
  <c r="L1587" i="2"/>
  <c r="K1587" i="2"/>
  <c r="J1587" i="2"/>
  <c r="I1587" i="2"/>
  <c r="H1587" i="2"/>
  <c r="G1587" i="2"/>
  <c r="L1581" i="2"/>
  <c r="K1581" i="2"/>
  <c r="J1581" i="2"/>
  <c r="I1581" i="2"/>
  <c r="H1581" i="2"/>
  <c r="G1581" i="2"/>
  <c r="L1578" i="2"/>
  <c r="K1578" i="2"/>
  <c r="J1578" i="2"/>
  <c r="I1578" i="2"/>
  <c r="H1578" i="2"/>
  <c r="G1578" i="2"/>
  <c r="L1574" i="2"/>
  <c r="K1574" i="2"/>
  <c r="J1574" i="2"/>
  <c r="I1574" i="2"/>
  <c r="H1574" i="2"/>
  <c r="G1574" i="2"/>
  <c r="L1570" i="2"/>
  <c r="K1570" i="2"/>
  <c r="J1570" i="2"/>
  <c r="I1570" i="2"/>
  <c r="H1570" i="2"/>
  <c r="G1570" i="2"/>
  <c r="L1564" i="2"/>
  <c r="K1564" i="2"/>
  <c r="J1564" i="2"/>
  <c r="I1564" i="2"/>
  <c r="H1564" i="2"/>
  <c r="G1564" i="2"/>
  <c r="L1558" i="2"/>
  <c r="K1558" i="2"/>
  <c r="J1558" i="2"/>
  <c r="I1558" i="2"/>
  <c r="H1558" i="2"/>
  <c r="G1558" i="2"/>
  <c r="L1554" i="2"/>
  <c r="K1554" i="2"/>
  <c r="J1554" i="2"/>
  <c r="I1554" i="2"/>
  <c r="H1554" i="2"/>
  <c r="G1554" i="2"/>
  <c r="L1550" i="2"/>
  <c r="K1550" i="2"/>
  <c r="J1550" i="2"/>
  <c r="I1550" i="2"/>
  <c r="H1550" i="2"/>
  <c r="G1550" i="2"/>
  <c r="L1546" i="2"/>
  <c r="K1546" i="2"/>
  <c r="J1546" i="2"/>
  <c r="I1546" i="2"/>
  <c r="H1546" i="2"/>
  <c r="G1546" i="2"/>
  <c r="L1543" i="2"/>
  <c r="K1543" i="2"/>
  <c r="J1543" i="2"/>
  <c r="I1543" i="2"/>
  <c r="H1543" i="2"/>
  <c r="G1543" i="2"/>
  <c r="L1540" i="2"/>
  <c r="K1540" i="2"/>
  <c r="J1540" i="2"/>
  <c r="I1540" i="2"/>
  <c r="H1540" i="2"/>
  <c r="G1540" i="2"/>
  <c r="L1536" i="2"/>
  <c r="K1536" i="2"/>
  <c r="J1536" i="2"/>
  <c r="I1536" i="2"/>
  <c r="H1536" i="2"/>
  <c r="G1536" i="2"/>
  <c r="L1532" i="2"/>
  <c r="K1532" i="2"/>
  <c r="J1532" i="2"/>
  <c r="I1532" i="2"/>
  <c r="H1532" i="2"/>
  <c r="G1532" i="2"/>
  <c r="L1529" i="2"/>
  <c r="K1529" i="2"/>
  <c r="J1529" i="2"/>
  <c r="I1529" i="2"/>
  <c r="H1529" i="2"/>
  <c r="G1529" i="2"/>
  <c r="L1525" i="2"/>
  <c r="K1525" i="2"/>
  <c r="J1525" i="2"/>
  <c r="I1525" i="2"/>
  <c r="H1525" i="2"/>
  <c r="G1525" i="2"/>
  <c r="N1521" i="2"/>
  <c r="L1521" i="2"/>
  <c r="K1521" i="2"/>
  <c r="J1521" i="2"/>
  <c r="I1521" i="2"/>
  <c r="H1521" i="2"/>
  <c r="G1521" i="2"/>
  <c r="L1515" i="2"/>
  <c r="K1515" i="2"/>
  <c r="J1515" i="2"/>
  <c r="I1515" i="2"/>
  <c r="H1515" i="2"/>
  <c r="G1515" i="2"/>
  <c r="L1512" i="2"/>
  <c r="K1512" i="2"/>
  <c r="J1512" i="2"/>
  <c r="I1512" i="2"/>
  <c r="H1512" i="2"/>
  <c r="G1512" i="2"/>
  <c r="L1508" i="2"/>
  <c r="K1508" i="2"/>
  <c r="J1508" i="2"/>
  <c r="I1508" i="2"/>
  <c r="H1508" i="2"/>
  <c r="G1508" i="2"/>
  <c r="L1505" i="2"/>
  <c r="K1505" i="2"/>
  <c r="J1505" i="2"/>
  <c r="I1505" i="2"/>
  <c r="H1505" i="2"/>
  <c r="G1505" i="2"/>
  <c r="L1502" i="2"/>
  <c r="K1502" i="2"/>
  <c r="J1502" i="2"/>
  <c r="I1502" i="2"/>
  <c r="H1502" i="2"/>
  <c r="G1502" i="2"/>
  <c r="L1499" i="2"/>
  <c r="K1499" i="2"/>
  <c r="J1499" i="2"/>
  <c r="I1499" i="2"/>
  <c r="H1499" i="2"/>
  <c r="G1499" i="2"/>
  <c r="L1496" i="2"/>
  <c r="K1496" i="2"/>
  <c r="J1496" i="2"/>
  <c r="I1496" i="2"/>
  <c r="H1496" i="2"/>
  <c r="G1496" i="2"/>
  <c r="L1492" i="2"/>
  <c r="K1492" i="2"/>
  <c r="J1492" i="2"/>
  <c r="I1492" i="2"/>
  <c r="H1492" i="2"/>
  <c r="G1492" i="2"/>
  <c r="L1489" i="2"/>
  <c r="K1489" i="2"/>
  <c r="J1489" i="2"/>
  <c r="I1489" i="2"/>
  <c r="H1489" i="2"/>
  <c r="G1489" i="2"/>
  <c r="L1484" i="2"/>
  <c r="K1484" i="2"/>
  <c r="J1484" i="2"/>
  <c r="I1484" i="2"/>
  <c r="H1484" i="2"/>
  <c r="G1484" i="2"/>
  <c r="L1481" i="2"/>
  <c r="K1481" i="2"/>
  <c r="J1481" i="2"/>
  <c r="I1481" i="2"/>
  <c r="H1481" i="2"/>
  <c r="G1481" i="2"/>
  <c r="L1477" i="2"/>
  <c r="K1477" i="2"/>
  <c r="J1477" i="2"/>
  <c r="I1477" i="2"/>
  <c r="H1477" i="2"/>
  <c r="G1477" i="2"/>
  <c r="L1473" i="2"/>
  <c r="K1473" i="2"/>
  <c r="J1473" i="2"/>
  <c r="I1473" i="2"/>
  <c r="H1473" i="2"/>
  <c r="G1473" i="2"/>
  <c r="L1470" i="2"/>
  <c r="K1470" i="2"/>
  <c r="J1470" i="2"/>
  <c r="I1470" i="2"/>
  <c r="H1470" i="2"/>
  <c r="G1470" i="2"/>
  <c r="L1466" i="2"/>
  <c r="K1466" i="2"/>
  <c r="J1466" i="2"/>
  <c r="I1466" i="2"/>
  <c r="H1466" i="2"/>
  <c r="G1466" i="2"/>
  <c r="L1462" i="2"/>
  <c r="K1462" i="2"/>
  <c r="J1462" i="2"/>
  <c r="I1462" i="2"/>
  <c r="H1462" i="2"/>
  <c r="G1462" i="2"/>
  <c r="L1454" i="2"/>
  <c r="K1454" i="2"/>
  <c r="J1454" i="2"/>
  <c r="I1454" i="2"/>
  <c r="H1454" i="2"/>
  <c r="G1454" i="2"/>
  <c r="L1444" i="2"/>
  <c r="K1444" i="2"/>
  <c r="J1444" i="2"/>
  <c r="I1444" i="2"/>
  <c r="H1444" i="2"/>
  <c r="G1444" i="2"/>
  <c r="L1439" i="2"/>
  <c r="K1439" i="2"/>
  <c r="J1439" i="2"/>
  <c r="I1439" i="2"/>
  <c r="H1439" i="2"/>
  <c r="G1439" i="2"/>
  <c r="L1433" i="2"/>
  <c r="K1433" i="2"/>
  <c r="J1433" i="2"/>
  <c r="I1433" i="2"/>
  <c r="H1433" i="2"/>
  <c r="G1433" i="2"/>
  <c r="L1427" i="2"/>
  <c r="K1427" i="2"/>
  <c r="J1427" i="2"/>
  <c r="I1427" i="2"/>
  <c r="H1427" i="2"/>
  <c r="G1427" i="2"/>
  <c r="L1423" i="2"/>
  <c r="K1423" i="2"/>
  <c r="J1423" i="2"/>
  <c r="I1423" i="2"/>
  <c r="H1423" i="2"/>
  <c r="G1423" i="2"/>
  <c r="L1419" i="2"/>
  <c r="K1419" i="2"/>
  <c r="J1419" i="2"/>
  <c r="I1419" i="2"/>
  <c r="H1419" i="2"/>
  <c r="G1419" i="2"/>
  <c r="L1416" i="2"/>
  <c r="K1416" i="2"/>
  <c r="J1416" i="2"/>
  <c r="I1416" i="2"/>
  <c r="H1416" i="2"/>
  <c r="G1416" i="2"/>
  <c r="L1412" i="2"/>
  <c r="K1412" i="2"/>
  <c r="J1412" i="2"/>
  <c r="I1412" i="2"/>
  <c r="H1412" i="2"/>
  <c r="G1412" i="2"/>
  <c r="L1409" i="2"/>
  <c r="K1409" i="2"/>
  <c r="J1409" i="2"/>
  <c r="I1409" i="2"/>
  <c r="H1409" i="2"/>
  <c r="G1409" i="2"/>
  <c r="L1406" i="2"/>
  <c r="K1406" i="2"/>
  <c r="J1406" i="2"/>
  <c r="I1406" i="2"/>
  <c r="H1406" i="2"/>
  <c r="G1406" i="2"/>
  <c r="L1402" i="2"/>
  <c r="K1402" i="2"/>
  <c r="J1402" i="2"/>
  <c r="I1402" i="2"/>
  <c r="H1402" i="2"/>
  <c r="G1402" i="2"/>
  <c r="L1398" i="2"/>
  <c r="K1398" i="2"/>
  <c r="J1398" i="2"/>
  <c r="I1398" i="2"/>
  <c r="H1398" i="2"/>
  <c r="G1398" i="2"/>
  <c r="L1395" i="2"/>
  <c r="K1395" i="2"/>
  <c r="J1395" i="2"/>
  <c r="I1395" i="2"/>
  <c r="H1395" i="2"/>
  <c r="G1395" i="2"/>
  <c r="L1391" i="2"/>
  <c r="K1391" i="2"/>
  <c r="J1391" i="2"/>
  <c r="I1391" i="2"/>
  <c r="H1391" i="2"/>
  <c r="G1391" i="2"/>
  <c r="L1388" i="2"/>
  <c r="K1388" i="2"/>
  <c r="J1388" i="2"/>
  <c r="I1388" i="2"/>
  <c r="H1388" i="2"/>
  <c r="G1388" i="2"/>
  <c r="L1384" i="2"/>
  <c r="K1384" i="2"/>
  <c r="J1384" i="2"/>
  <c r="I1384" i="2"/>
  <c r="H1384" i="2"/>
  <c r="G1384" i="2"/>
  <c r="L1381" i="2"/>
  <c r="K1381" i="2"/>
  <c r="J1381" i="2"/>
  <c r="I1381" i="2"/>
  <c r="H1381" i="2"/>
  <c r="G1381" i="2"/>
  <c r="L1378" i="2"/>
  <c r="K1378" i="2"/>
  <c r="J1378" i="2"/>
  <c r="I1378" i="2"/>
  <c r="H1378" i="2"/>
  <c r="G1378" i="2"/>
  <c r="L1375" i="2"/>
  <c r="K1375" i="2"/>
  <c r="J1375" i="2"/>
  <c r="I1375" i="2"/>
  <c r="H1375" i="2"/>
  <c r="G1375" i="2"/>
  <c r="N1372" i="2"/>
  <c r="L1372" i="2"/>
  <c r="K1372" i="2"/>
  <c r="J1372" i="2"/>
  <c r="I1372" i="2"/>
  <c r="H1372" i="2"/>
  <c r="G1372" i="2"/>
  <c r="L1368" i="2"/>
  <c r="K1368" i="2"/>
  <c r="J1368" i="2"/>
  <c r="I1368" i="2"/>
  <c r="H1368" i="2"/>
  <c r="G1368" i="2"/>
  <c r="L1365" i="2"/>
  <c r="K1365" i="2"/>
  <c r="J1365" i="2"/>
  <c r="I1365" i="2"/>
  <c r="H1365" i="2"/>
  <c r="G1365" i="2"/>
  <c r="L1359" i="2"/>
  <c r="K1359" i="2"/>
  <c r="J1359" i="2"/>
  <c r="I1359" i="2"/>
  <c r="H1359" i="2"/>
  <c r="G1359" i="2"/>
  <c r="L1353" i="2"/>
  <c r="K1353" i="2"/>
  <c r="J1353" i="2"/>
  <c r="I1353" i="2"/>
  <c r="H1353" i="2"/>
  <c r="G1353" i="2"/>
  <c r="L1349" i="2"/>
  <c r="K1349" i="2"/>
  <c r="J1349" i="2"/>
  <c r="I1349" i="2"/>
  <c r="H1349" i="2"/>
  <c r="G1349" i="2"/>
  <c r="L1345" i="2"/>
  <c r="K1345" i="2"/>
  <c r="J1345" i="2"/>
  <c r="I1345" i="2"/>
  <c r="H1345" i="2"/>
  <c r="G1345" i="2"/>
  <c r="L1341" i="2"/>
  <c r="K1341" i="2"/>
  <c r="J1341" i="2"/>
  <c r="I1341" i="2"/>
  <c r="H1341" i="2"/>
  <c r="G1341" i="2"/>
  <c r="L1337" i="2"/>
  <c r="K1337" i="2"/>
  <c r="J1337" i="2"/>
  <c r="I1337" i="2"/>
  <c r="H1337" i="2"/>
  <c r="G1337" i="2"/>
  <c r="L1334" i="2"/>
  <c r="K1334" i="2"/>
  <c r="J1334" i="2"/>
  <c r="I1334" i="2"/>
  <c r="H1334" i="2"/>
  <c r="G1334" i="2"/>
  <c r="L1330" i="2"/>
  <c r="K1330" i="2"/>
  <c r="J1330" i="2"/>
  <c r="I1330" i="2"/>
  <c r="H1330" i="2"/>
  <c r="G1330" i="2"/>
  <c r="L1327" i="2"/>
  <c r="K1327" i="2"/>
  <c r="J1327" i="2"/>
  <c r="I1327" i="2"/>
  <c r="H1327" i="2"/>
  <c r="G1327" i="2"/>
  <c r="L1323" i="2"/>
  <c r="K1323" i="2"/>
  <c r="J1323" i="2"/>
  <c r="I1323" i="2"/>
  <c r="H1323" i="2"/>
  <c r="G1323" i="2"/>
  <c r="L1317" i="2"/>
  <c r="K1317" i="2"/>
  <c r="J1317" i="2"/>
  <c r="I1317" i="2"/>
  <c r="H1317" i="2"/>
  <c r="G1317" i="2"/>
  <c r="L1311" i="2"/>
  <c r="K1311" i="2"/>
  <c r="J1311" i="2"/>
  <c r="I1311" i="2"/>
  <c r="H1311" i="2"/>
  <c r="G1311" i="2"/>
  <c r="L1308" i="2"/>
  <c r="K1308" i="2"/>
  <c r="J1308" i="2"/>
  <c r="I1308" i="2"/>
  <c r="H1308" i="2"/>
  <c r="G1308" i="2"/>
  <c r="L1302" i="2"/>
  <c r="K1302" i="2"/>
  <c r="J1302" i="2"/>
  <c r="I1302" i="2"/>
  <c r="H1302" i="2"/>
  <c r="G1302" i="2"/>
  <c r="L1299" i="2"/>
  <c r="K1299" i="2"/>
  <c r="J1299" i="2"/>
  <c r="I1299" i="2"/>
  <c r="H1299" i="2"/>
  <c r="G1299" i="2"/>
  <c r="L1293" i="2"/>
  <c r="K1293" i="2"/>
  <c r="J1293" i="2"/>
  <c r="I1293" i="2"/>
  <c r="H1293" i="2"/>
  <c r="G1293" i="2"/>
  <c r="L1285" i="2"/>
  <c r="K1285" i="2"/>
  <c r="J1285" i="2"/>
  <c r="I1285" i="2"/>
  <c r="H1285" i="2"/>
  <c r="G1285" i="2"/>
  <c r="L1279" i="2"/>
  <c r="K1279" i="2"/>
  <c r="J1279" i="2"/>
  <c r="I1279" i="2"/>
  <c r="H1279" i="2"/>
  <c r="G1279" i="2"/>
  <c r="L1276" i="2"/>
  <c r="K1276" i="2"/>
  <c r="J1276" i="2"/>
  <c r="I1276" i="2"/>
  <c r="H1276" i="2"/>
  <c r="G1276" i="2"/>
  <c r="L1272" i="2"/>
  <c r="K1272" i="2"/>
  <c r="J1272" i="2"/>
  <c r="I1272" i="2"/>
  <c r="H1272" i="2"/>
  <c r="G1272" i="2"/>
  <c r="L1268" i="2"/>
  <c r="K1268" i="2"/>
  <c r="J1268" i="2"/>
  <c r="I1268" i="2"/>
  <c r="H1268" i="2"/>
  <c r="G1268" i="2"/>
  <c r="L1261" i="2"/>
  <c r="K1261" i="2"/>
  <c r="J1261" i="2"/>
  <c r="I1261" i="2"/>
  <c r="H1261" i="2"/>
  <c r="G1261" i="2"/>
  <c r="L1254" i="2"/>
  <c r="K1254" i="2"/>
  <c r="J1254" i="2"/>
  <c r="I1254" i="2"/>
  <c r="H1254" i="2"/>
  <c r="G1254" i="2"/>
  <c r="L1251" i="2"/>
  <c r="K1251" i="2"/>
  <c r="J1251" i="2"/>
  <c r="I1251" i="2"/>
  <c r="H1251" i="2"/>
  <c r="G1251" i="2"/>
  <c r="L1247" i="2"/>
  <c r="K1247" i="2"/>
  <c r="J1247" i="2"/>
  <c r="I1247" i="2"/>
  <c r="H1247" i="2"/>
  <c r="G1247" i="2"/>
  <c r="L1244" i="2"/>
  <c r="K1244" i="2"/>
  <c r="J1244" i="2"/>
  <c r="I1244" i="2"/>
  <c r="H1244" i="2"/>
  <c r="G1244" i="2"/>
  <c r="L1241" i="2"/>
  <c r="K1241" i="2"/>
  <c r="J1241" i="2"/>
  <c r="I1241" i="2"/>
  <c r="H1241" i="2"/>
  <c r="G1241" i="2"/>
  <c r="L1238" i="2"/>
  <c r="K1238" i="2"/>
  <c r="J1238" i="2"/>
  <c r="I1238" i="2"/>
  <c r="H1238" i="2"/>
  <c r="G1238" i="2"/>
  <c r="L1234" i="2"/>
  <c r="K1234" i="2"/>
  <c r="J1234" i="2"/>
  <c r="I1234" i="2"/>
  <c r="H1234" i="2"/>
  <c r="G1234" i="2"/>
  <c r="L1230" i="2"/>
  <c r="K1230" i="2"/>
  <c r="J1230" i="2"/>
  <c r="I1230" i="2"/>
  <c r="H1230" i="2"/>
  <c r="G1230" i="2"/>
  <c r="L1227" i="2"/>
  <c r="K1227" i="2"/>
  <c r="J1227" i="2"/>
  <c r="I1227" i="2"/>
  <c r="H1227" i="2"/>
  <c r="G1227" i="2"/>
  <c r="L1224" i="2"/>
  <c r="K1224" i="2"/>
  <c r="J1224" i="2"/>
  <c r="I1224" i="2"/>
  <c r="H1224" i="2"/>
  <c r="G1224" i="2"/>
  <c r="L1221" i="2"/>
  <c r="K1221" i="2"/>
  <c r="J1221" i="2"/>
  <c r="I1221" i="2"/>
  <c r="H1221" i="2"/>
  <c r="G1221" i="2"/>
  <c r="L1218" i="2"/>
  <c r="K1218" i="2"/>
  <c r="J1218" i="2"/>
  <c r="I1218" i="2"/>
  <c r="H1218" i="2"/>
  <c r="G1218" i="2"/>
  <c r="L1215" i="2"/>
  <c r="K1215" i="2"/>
  <c r="J1215" i="2"/>
  <c r="I1215" i="2"/>
  <c r="H1215" i="2"/>
  <c r="G1215" i="2"/>
  <c r="L1212" i="2"/>
  <c r="K1212" i="2"/>
  <c r="J1212" i="2"/>
  <c r="I1212" i="2"/>
  <c r="H1212" i="2"/>
  <c r="G1212" i="2"/>
  <c r="L1208" i="2"/>
  <c r="K1208" i="2"/>
  <c r="J1208" i="2"/>
  <c r="I1208" i="2"/>
  <c r="H1208" i="2"/>
  <c r="G1208" i="2"/>
  <c r="L1204" i="2"/>
  <c r="K1204" i="2"/>
  <c r="J1204" i="2"/>
  <c r="I1204" i="2"/>
  <c r="H1204" i="2"/>
  <c r="G1204" i="2"/>
  <c r="L1200" i="2"/>
  <c r="K1200" i="2"/>
  <c r="J1200" i="2"/>
  <c r="I1200" i="2"/>
  <c r="H1200" i="2"/>
  <c r="G1200" i="2"/>
  <c r="L1196" i="2"/>
  <c r="K1196" i="2"/>
  <c r="J1196" i="2"/>
  <c r="I1196" i="2"/>
  <c r="H1196" i="2"/>
  <c r="G1196" i="2"/>
  <c r="N1193" i="2"/>
  <c r="L1193" i="2"/>
  <c r="K1193" i="2"/>
  <c r="J1193" i="2"/>
  <c r="I1193" i="2"/>
  <c r="H1193" i="2"/>
  <c r="G1193" i="2"/>
  <c r="N1189" i="2"/>
  <c r="L1189" i="2"/>
  <c r="K1189" i="2"/>
  <c r="J1189" i="2"/>
  <c r="I1189" i="2"/>
  <c r="H1189" i="2"/>
  <c r="G1189" i="2"/>
  <c r="L1185" i="2"/>
  <c r="K1185" i="2"/>
  <c r="J1185" i="2"/>
  <c r="I1185" i="2"/>
  <c r="H1185" i="2"/>
  <c r="G1185" i="2"/>
  <c r="L1182" i="2"/>
  <c r="K1182" i="2"/>
  <c r="J1182" i="2"/>
  <c r="I1182" i="2"/>
  <c r="H1182" i="2"/>
  <c r="G1182" i="2"/>
  <c r="L1179" i="2"/>
  <c r="K1179" i="2"/>
  <c r="J1179" i="2"/>
  <c r="I1179" i="2"/>
  <c r="H1179" i="2"/>
  <c r="G1179" i="2"/>
  <c r="L1176" i="2"/>
  <c r="K1176" i="2"/>
  <c r="J1176" i="2"/>
  <c r="I1176" i="2"/>
  <c r="H1176" i="2"/>
  <c r="G1176" i="2"/>
  <c r="L1173" i="2"/>
  <c r="K1173" i="2"/>
  <c r="J1173" i="2"/>
  <c r="I1173" i="2"/>
  <c r="H1173" i="2"/>
  <c r="G1173" i="2"/>
  <c r="N1170" i="2"/>
  <c r="L1170" i="2"/>
  <c r="K1170" i="2"/>
  <c r="J1170" i="2"/>
  <c r="I1170" i="2"/>
  <c r="H1170" i="2"/>
  <c r="G1170" i="2"/>
  <c r="N1165" i="2"/>
  <c r="L1165" i="2"/>
  <c r="K1165" i="2"/>
  <c r="J1165" i="2"/>
  <c r="I1165" i="2"/>
  <c r="H1165" i="2"/>
  <c r="G1165" i="2"/>
  <c r="L1160" i="2"/>
  <c r="K1160" i="2"/>
  <c r="J1160" i="2"/>
  <c r="I1160" i="2"/>
  <c r="H1160" i="2"/>
  <c r="G1160" i="2"/>
  <c r="L1157" i="2"/>
  <c r="K1157" i="2"/>
  <c r="J1157" i="2"/>
  <c r="I1157" i="2"/>
  <c r="H1157" i="2"/>
  <c r="G1157" i="2"/>
  <c r="L1153" i="2"/>
  <c r="K1153" i="2"/>
  <c r="J1153" i="2"/>
  <c r="I1153" i="2"/>
  <c r="H1153" i="2"/>
  <c r="G1153" i="2"/>
  <c r="L1148" i="2"/>
  <c r="K1148" i="2"/>
  <c r="J1148" i="2"/>
  <c r="I1148" i="2"/>
  <c r="H1148" i="2"/>
  <c r="G1148" i="2"/>
  <c r="L1143" i="2"/>
  <c r="K1143" i="2"/>
  <c r="J1143" i="2"/>
  <c r="I1143" i="2"/>
  <c r="H1143" i="2"/>
  <c r="G1143" i="2"/>
  <c r="L1139" i="2"/>
  <c r="K1139" i="2"/>
  <c r="J1139" i="2"/>
  <c r="I1139" i="2"/>
  <c r="H1139" i="2"/>
  <c r="G1139" i="2"/>
  <c r="L1135" i="2"/>
  <c r="K1135" i="2"/>
  <c r="J1135" i="2"/>
  <c r="I1135" i="2"/>
  <c r="H1135" i="2"/>
  <c r="G1135" i="2"/>
  <c r="L1131" i="2"/>
  <c r="K1131" i="2"/>
  <c r="J1131" i="2"/>
  <c r="I1131" i="2"/>
  <c r="H1131" i="2"/>
  <c r="G1131" i="2"/>
  <c r="L1127" i="2"/>
  <c r="K1127" i="2"/>
  <c r="J1127" i="2"/>
  <c r="I1127" i="2"/>
  <c r="H1127" i="2"/>
  <c r="G1127" i="2"/>
  <c r="L1123" i="2"/>
  <c r="K1123" i="2"/>
  <c r="J1123" i="2"/>
  <c r="I1123" i="2"/>
  <c r="H1123" i="2"/>
  <c r="G1123" i="2"/>
  <c r="L1120" i="2"/>
  <c r="K1120" i="2"/>
  <c r="J1120" i="2"/>
  <c r="I1120" i="2"/>
  <c r="H1120" i="2"/>
  <c r="G1120" i="2"/>
  <c r="L1117" i="2"/>
  <c r="K1117" i="2"/>
  <c r="J1117" i="2"/>
  <c r="I1117" i="2"/>
  <c r="H1117" i="2"/>
  <c r="G1117" i="2"/>
  <c r="L1113" i="2"/>
  <c r="K1113" i="2"/>
  <c r="J1113" i="2"/>
  <c r="I1113" i="2"/>
  <c r="H1113" i="2"/>
  <c r="G1113" i="2"/>
  <c r="L1109" i="2"/>
  <c r="K1109" i="2"/>
  <c r="J1109" i="2"/>
  <c r="I1109" i="2"/>
  <c r="H1109" i="2"/>
  <c r="G1109" i="2"/>
  <c r="L1106" i="2"/>
  <c r="K1106" i="2"/>
  <c r="J1106" i="2"/>
  <c r="I1106" i="2"/>
  <c r="H1106" i="2"/>
  <c r="G1106" i="2"/>
  <c r="L1103" i="2"/>
  <c r="K1103" i="2"/>
  <c r="J1103" i="2"/>
  <c r="I1103" i="2"/>
  <c r="H1103" i="2"/>
  <c r="G1103" i="2"/>
  <c r="L1099" i="2"/>
  <c r="K1099" i="2"/>
  <c r="J1099" i="2"/>
  <c r="I1099" i="2"/>
  <c r="H1099" i="2"/>
  <c r="G1099" i="2"/>
  <c r="L1095" i="2"/>
  <c r="K1095" i="2"/>
  <c r="J1095" i="2"/>
  <c r="I1095" i="2"/>
  <c r="H1095" i="2"/>
  <c r="G1095" i="2"/>
  <c r="L1092" i="2"/>
  <c r="K1092" i="2"/>
  <c r="J1092" i="2"/>
  <c r="I1092" i="2"/>
  <c r="H1092" i="2"/>
  <c r="G1092" i="2"/>
  <c r="L1089" i="2"/>
  <c r="K1089" i="2"/>
  <c r="J1089" i="2"/>
  <c r="I1089" i="2"/>
  <c r="H1089" i="2"/>
  <c r="G1089" i="2"/>
  <c r="L1086" i="2"/>
  <c r="K1086" i="2"/>
  <c r="J1086" i="2"/>
  <c r="I1086" i="2"/>
  <c r="H1086" i="2"/>
  <c r="G1086" i="2"/>
  <c r="L1083" i="2"/>
  <c r="K1083" i="2"/>
  <c r="J1083" i="2"/>
  <c r="I1083" i="2"/>
  <c r="H1083" i="2"/>
  <c r="G1083" i="2"/>
  <c r="L1080" i="2"/>
  <c r="K1080" i="2"/>
  <c r="J1080" i="2"/>
  <c r="I1080" i="2"/>
  <c r="H1080" i="2"/>
  <c r="G1080" i="2"/>
  <c r="L1077" i="2"/>
  <c r="K1077" i="2"/>
  <c r="J1077" i="2"/>
  <c r="I1077" i="2"/>
  <c r="H1077" i="2"/>
  <c r="G1077" i="2"/>
  <c r="L1074" i="2"/>
  <c r="K1074" i="2"/>
  <c r="J1074" i="2"/>
  <c r="I1074" i="2"/>
  <c r="H1074" i="2"/>
  <c r="G1074" i="2"/>
  <c r="L1068" i="2"/>
  <c r="K1068" i="2"/>
  <c r="J1068" i="2"/>
  <c r="I1068" i="2"/>
  <c r="H1068" i="2"/>
  <c r="G1068" i="2"/>
  <c r="L1062" i="2"/>
  <c r="K1062" i="2"/>
  <c r="J1062" i="2"/>
  <c r="I1062" i="2"/>
  <c r="H1062" i="2"/>
  <c r="G1062" i="2"/>
  <c r="L1058" i="2"/>
  <c r="K1058" i="2"/>
  <c r="J1058" i="2"/>
  <c r="I1058" i="2"/>
  <c r="H1058" i="2"/>
  <c r="G1058" i="2"/>
  <c r="L1054" i="2"/>
  <c r="K1054" i="2"/>
  <c r="J1054" i="2"/>
  <c r="I1054" i="2"/>
  <c r="H1054" i="2"/>
  <c r="G1054" i="2"/>
  <c r="L1050" i="2"/>
  <c r="K1050" i="2"/>
  <c r="J1050" i="2"/>
  <c r="I1050" i="2"/>
  <c r="H1050" i="2"/>
  <c r="G1050" i="2"/>
  <c r="L1046" i="2"/>
  <c r="K1046" i="2"/>
  <c r="J1046" i="2"/>
  <c r="I1046" i="2"/>
  <c r="H1046" i="2"/>
  <c r="G1046" i="2"/>
  <c r="L1042" i="2"/>
  <c r="K1042" i="2"/>
  <c r="J1042" i="2"/>
  <c r="I1042" i="2"/>
  <c r="H1042" i="2"/>
  <c r="G1042" i="2"/>
  <c r="L1038" i="2"/>
  <c r="K1038" i="2"/>
  <c r="J1038" i="2"/>
  <c r="I1038" i="2"/>
  <c r="H1038" i="2"/>
  <c r="G1038" i="2"/>
  <c r="L1035" i="2"/>
  <c r="K1035" i="2"/>
  <c r="J1035" i="2"/>
  <c r="I1035" i="2"/>
  <c r="H1035" i="2"/>
  <c r="G1035" i="2"/>
  <c r="L1031" i="2"/>
  <c r="K1031" i="2"/>
  <c r="J1031" i="2"/>
  <c r="I1031" i="2"/>
  <c r="H1031" i="2"/>
  <c r="G1031" i="2"/>
  <c r="L1027" i="2"/>
  <c r="K1027" i="2"/>
  <c r="J1027" i="2"/>
  <c r="I1027" i="2"/>
  <c r="H1027" i="2"/>
  <c r="G1027" i="2"/>
  <c r="L1024" i="2"/>
  <c r="K1024" i="2"/>
  <c r="J1024" i="2"/>
  <c r="I1024" i="2"/>
  <c r="H1024" i="2"/>
  <c r="G1024" i="2"/>
  <c r="L1020" i="2"/>
  <c r="K1020" i="2"/>
  <c r="J1020" i="2"/>
  <c r="I1020" i="2"/>
  <c r="H1020" i="2"/>
  <c r="G1020" i="2"/>
  <c r="L1013" i="2"/>
  <c r="K1013" i="2"/>
  <c r="J1013" i="2"/>
  <c r="I1013" i="2"/>
  <c r="H1013" i="2"/>
  <c r="G1013" i="2"/>
  <c r="L1006" i="2"/>
  <c r="K1006" i="2"/>
  <c r="J1006" i="2"/>
  <c r="I1006" i="2"/>
  <c r="H1006" i="2"/>
  <c r="G1006" i="2"/>
  <c r="L1002" i="2"/>
  <c r="K1002" i="2"/>
  <c r="J1002" i="2"/>
  <c r="I1002" i="2"/>
  <c r="H1002" i="2"/>
  <c r="G1002" i="2"/>
  <c r="L998" i="2"/>
  <c r="K998" i="2"/>
  <c r="J998" i="2"/>
  <c r="I998" i="2"/>
  <c r="H998" i="2"/>
  <c r="G998" i="2"/>
  <c r="L994" i="2"/>
  <c r="K994" i="2"/>
  <c r="J994" i="2"/>
  <c r="I994" i="2"/>
  <c r="H994" i="2"/>
  <c r="G994" i="2"/>
  <c r="L990" i="2"/>
  <c r="K990" i="2"/>
  <c r="J990" i="2"/>
  <c r="I990" i="2"/>
  <c r="H990" i="2"/>
  <c r="G990" i="2"/>
  <c r="L984" i="2"/>
  <c r="K984" i="2"/>
  <c r="J984" i="2"/>
  <c r="I984" i="2"/>
  <c r="H984" i="2"/>
  <c r="G984" i="2"/>
  <c r="L978" i="2"/>
  <c r="K978" i="2"/>
  <c r="J978" i="2"/>
  <c r="I978" i="2"/>
  <c r="H978" i="2"/>
  <c r="G978" i="2"/>
  <c r="L975" i="2"/>
  <c r="K975" i="2"/>
  <c r="J975" i="2"/>
  <c r="I975" i="2"/>
  <c r="H975" i="2"/>
  <c r="G975" i="2"/>
  <c r="L969" i="2"/>
  <c r="K969" i="2"/>
  <c r="J969" i="2"/>
  <c r="I969" i="2"/>
  <c r="H969" i="2"/>
  <c r="G969" i="2"/>
  <c r="L963" i="2"/>
  <c r="K963" i="2"/>
  <c r="J963" i="2"/>
  <c r="I963" i="2"/>
  <c r="H963" i="2"/>
  <c r="G963" i="2"/>
  <c r="L959" i="2"/>
  <c r="K959" i="2"/>
  <c r="J959" i="2"/>
  <c r="I959" i="2"/>
  <c r="H959" i="2"/>
  <c r="G959" i="2"/>
  <c r="L955" i="2"/>
  <c r="K955" i="2"/>
  <c r="J955" i="2"/>
  <c r="I955" i="2"/>
  <c r="H955" i="2"/>
  <c r="G955" i="2"/>
  <c r="L950" i="2"/>
  <c r="K950" i="2"/>
  <c r="J950" i="2"/>
  <c r="I950" i="2"/>
  <c r="H950" i="2"/>
  <c r="G950" i="2"/>
  <c r="L945" i="2"/>
  <c r="K945" i="2"/>
  <c r="J945" i="2"/>
  <c r="I945" i="2"/>
  <c r="H945" i="2"/>
  <c r="G945" i="2"/>
  <c r="N941" i="2"/>
  <c r="L941" i="2"/>
  <c r="K941" i="2"/>
  <c r="J941" i="2"/>
  <c r="I941" i="2"/>
  <c r="H941" i="2"/>
  <c r="G941" i="2"/>
  <c r="L935" i="2"/>
  <c r="K935" i="2"/>
  <c r="J935" i="2"/>
  <c r="I935" i="2"/>
  <c r="H935" i="2"/>
  <c r="G935" i="2"/>
  <c r="L932" i="2"/>
  <c r="K932" i="2"/>
  <c r="J932" i="2"/>
  <c r="I932" i="2"/>
  <c r="H932" i="2"/>
  <c r="G932" i="2"/>
  <c r="L928" i="2"/>
  <c r="K928" i="2"/>
  <c r="J928" i="2"/>
  <c r="I928" i="2"/>
  <c r="H928" i="2"/>
  <c r="G928" i="2"/>
  <c r="L924" i="2"/>
  <c r="K924" i="2"/>
  <c r="J924" i="2"/>
  <c r="I924" i="2"/>
  <c r="H924" i="2"/>
  <c r="G924" i="2"/>
  <c r="L920" i="2"/>
  <c r="K920" i="2"/>
  <c r="J920" i="2"/>
  <c r="I920" i="2"/>
  <c r="H920" i="2"/>
  <c r="G920" i="2"/>
  <c r="L916" i="2"/>
  <c r="K916" i="2"/>
  <c r="J916" i="2"/>
  <c r="I916" i="2"/>
  <c r="H916" i="2"/>
  <c r="G916" i="2"/>
  <c r="L912" i="2"/>
  <c r="K912" i="2"/>
  <c r="J912" i="2"/>
  <c r="I912" i="2"/>
  <c r="H912" i="2"/>
  <c r="G912" i="2"/>
  <c r="L909" i="2"/>
  <c r="K909" i="2"/>
  <c r="J909" i="2"/>
  <c r="I909" i="2"/>
  <c r="H909" i="2"/>
  <c r="G909" i="2"/>
  <c r="L905" i="2"/>
  <c r="K905" i="2"/>
  <c r="J905" i="2"/>
  <c r="I905" i="2"/>
  <c r="H905" i="2"/>
  <c r="G905" i="2"/>
  <c r="L901" i="2"/>
  <c r="K901" i="2"/>
  <c r="J901" i="2"/>
  <c r="I901" i="2"/>
  <c r="H901" i="2"/>
  <c r="G901" i="2"/>
  <c r="L897" i="2"/>
  <c r="K897" i="2"/>
  <c r="J897" i="2"/>
  <c r="I897" i="2"/>
  <c r="H897" i="2"/>
  <c r="G897" i="2"/>
  <c r="L893" i="2"/>
  <c r="K893" i="2"/>
  <c r="J893" i="2"/>
  <c r="I893" i="2"/>
  <c r="H893" i="2"/>
  <c r="G893" i="2"/>
  <c r="L889" i="2"/>
  <c r="K889" i="2"/>
  <c r="J889" i="2"/>
  <c r="I889" i="2"/>
  <c r="H889" i="2"/>
  <c r="G889" i="2"/>
  <c r="L886" i="2"/>
  <c r="K886" i="2"/>
  <c r="J886" i="2"/>
  <c r="I886" i="2"/>
  <c r="H886" i="2"/>
  <c r="G886" i="2"/>
  <c r="L883" i="2"/>
  <c r="K883" i="2"/>
  <c r="J883" i="2"/>
  <c r="I883" i="2"/>
  <c r="H883" i="2"/>
  <c r="G883" i="2"/>
  <c r="L880" i="2"/>
  <c r="K880" i="2"/>
  <c r="J880" i="2"/>
  <c r="I880" i="2"/>
  <c r="H880" i="2"/>
  <c r="G880" i="2"/>
  <c r="L877" i="2"/>
  <c r="K877" i="2"/>
  <c r="J877" i="2"/>
  <c r="I877" i="2"/>
  <c r="H877" i="2"/>
  <c r="G877" i="2"/>
  <c r="L874" i="2"/>
  <c r="K874" i="2"/>
  <c r="J874" i="2"/>
  <c r="I874" i="2"/>
  <c r="H874" i="2"/>
  <c r="G874" i="2"/>
  <c r="L871" i="2"/>
  <c r="K871" i="2"/>
  <c r="J871" i="2"/>
  <c r="I871" i="2"/>
  <c r="H871" i="2"/>
  <c r="G871" i="2"/>
  <c r="L868" i="2"/>
  <c r="K868" i="2"/>
  <c r="J868" i="2"/>
  <c r="I868" i="2"/>
  <c r="H868" i="2"/>
  <c r="G868" i="2"/>
  <c r="L865" i="2"/>
  <c r="K865" i="2"/>
  <c r="J865" i="2"/>
  <c r="I865" i="2"/>
  <c r="H865" i="2"/>
  <c r="G865" i="2"/>
  <c r="L862" i="2"/>
  <c r="K862" i="2"/>
  <c r="J862" i="2"/>
  <c r="I862" i="2"/>
  <c r="H862" i="2"/>
  <c r="G862" i="2"/>
  <c r="L859" i="2"/>
  <c r="K859" i="2"/>
  <c r="J859" i="2"/>
  <c r="I859" i="2"/>
  <c r="H859" i="2"/>
  <c r="G859" i="2"/>
  <c r="N855" i="2"/>
  <c r="L855" i="2"/>
  <c r="K855" i="2"/>
  <c r="J855" i="2"/>
  <c r="I855" i="2"/>
  <c r="H855" i="2"/>
  <c r="G855" i="2"/>
  <c r="L851" i="2"/>
  <c r="K851" i="2"/>
  <c r="J851" i="2"/>
  <c r="I851" i="2"/>
  <c r="H851" i="2"/>
  <c r="G851" i="2"/>
  <c r="L845" i="2"/>
  <c r="K845" i="2"/>
  <c r="J845" i="2"/>
  <c r="I845" i="2"/>
  <c r="H845" i="2"/>
  <c r="G845" i="2"/>
  <c r="L839" i="2"/>
  <c r="K839" i="2"/>
  <c r="J839" i="2"/>
  <c r="I839" i="2"/>
  <c r="H839" i="2"/>
  <c r="G839" i="2"/>
  <c r="L836" i="2"/>
  <c r="K836" i="2"/>
  <c r="J836" i="2"/>
  <c r="I836" i="2"/>
  <c r="H836" i="2"/>
  <c r="G836" i="2"/>
  <c r="L832" i="2"/>
  <c r="K832" i="2"/>
  <c r="J832" i="2"/>
  <c r="I832" i="2"/>
  <c r="H832" i="2"/>
  <c r="G832" i="2"/>
  <c r="L828" i="2"/>
  <c r="K828" i="2"/>
  <c r="J828" i="2"/>
  <c r="I828" i="2"/>
  <c r="H828" i="2"/>
  <c r="G828" i="2"/>
  <c r="L824" i="2"/>
  <c r="K824" i="2"/>
  <c r="J824" i="2"/>
  <c r="I824" i="2"/>
  <c r="H824" i="2"/>
  <c r="G824" i="2"/>
  <c r="L820" i="2"/>
  <c r="K820" i="2"/>
  <c r="J820" i="2"/>
  <c r="I820" i="2"/>
  <c r="H820" i="2"/>
  <c r="G820" i="2"/>
  <c r="L817" i="2"/>
  <c r="K817" i="2"/>
  <c r="J817" i="2"/>
  <c r="I817" i="2"/>
  <c r="H817" i="2"/>
  <c r="G817" i="2"/>
  <c r="L813" i="2"/>
  <c r="K813" i="2"/>
  <c r="J813" i="2"/>
  <c r="I813" i="2"/>
  <c r="H813" i="2"/>
  <c r="G813" i="2"/>
  <c r="L809" i="2"/>
  <c r="K809" i="2"/>
  <c r="J809" i="2"/>
  <c r="I809" i="2"/>
  <c r="H809" i="2"/>
  <c r="G809" i="2"/>
  <c r="L805" i="2"/>
  <c r="K805" i="2"/>
  <c r="J805" i="2"/>
  <c r="I805" i="2"/>
  <c r="H805" i="2"/>
  <c r="G805" i="2"/>
  <c r="L801" i="2"/>
  <c r="K801" i="2"/>
  <c r="J801" i="2"/>
  <c r="I801" i="2"/>
  <c r="H801" i="2"/>
  <c r="G801" i="2"/>
  <c r="L798" i="2"/>
  <c r="K798" i="2"/>
  <c r="J798" i="2"/>
  <c r="I798" i="2"/>
  <c r="H798" i="2"/>
  <c r="G798" i="2"/>
  <c r="L794" i="2"/>
  <c r="K794" i="2"/>
  <c r="J794" i="2"/>
  <c r="I794" i="2"/>
  <c r="H794" i="2"/>
  <c r="G794" i="2"/>
  <c r="L790" i="2"/>
  <c r="K790" i="2"/>
  <c r="J790" i="2"/>
  <c r="I790" i="2"/>
  <c r="H790" i="2"/>
  <c r="G790" i="2"/>
  <c r="L786" i="2"/>
  <c r="K786" i="2"/>
  <c r="J786" i="2"/>
  <c r="I786" i="2"/>
  <c r="H786" i="2"/>
  <c r="G786" i="2"/>
  <c r="L782" i="2"/>
  <c r="K782" i="2"/>
  <c r="J782" i="2"/>
  <c r="I782" i="2"/>
  <c r="H782" i="2"/>
  <c r="G782" i="2"/>
  <c r="L779" i="2"/>
  <c r="K779" i="2"/>
  <c r="J779" i="2"/>
  <c r="I779" i="2"/>
  <c r="H779" i="2"/>
  <c r="G779" i="2"/>
  <c r="L776" i="2"/>
  <c r="K776" i="2"/>
  <c r="J776" i="2"/>
  <c r="I776" i="2"/>
  <c r="H776" i="2"/>
  <c r="G776" i="2"/>
  <c r="L773" i="2"/>
  <c r="K773" i="2"/>
  <c r="J773" i="2"/>
  <c r="I773" i="2"/>
  <c r="H773" i="2"/>
  <c r="G773" i="2"/>
  <c r="L770" i="2"/>
  <c r="K770" i="2"/>
  <c r="J770" i="2"/>
  <c r="I770" i="2"/>
  <c r="H770" i="2"/>
  <c r="G770" i="2"/>
  <c r="L767" i="2"/>
  <c r="K767" i="2"/>
  <c r="J767" i="2"/>
  <c r="I767" i="2"/>
  <c r="H767" i="2"/>
  <c r="G767" i="2"/>
  <c r="L764" i="2"/>
  <c r="K764" i="2"/>
  <c r="J764" i="2"/>
  <c r="I764" i="2"/>
  <c r="H764" i="2"/>
  <c r="G764" i="2"/>
  <c r="L761" i="2"/>
  <c r="K761" i="2"/>
  <c r="J761" i="2"/>
  <c r="I761" i="2"/>
  <c r="H761" i="2"/>
  <c r="G761" i="2"/>
  <c r="L757" i="2"/>
  <c r="K757" i="2"/>
  <c r="J757" i="2"/>
  <c r="I757" i="2"/>
  <c r="H757" i="2"/>
  <c r="G757" i="2"/>
  <c r="L754" i="2"/>
  <c r="K754" i="2"/>
  <c r="J754" i="2"/>
  <c r="I754" i="2"/>
  <c r="H754" i="2"/>
  <c r="G754" i="2"/>
  <c r="L750" i="2"/>
  <c r="K750" i="2"/>
  <c r="J750" i="2"/>
  <c r="I750" i="2"/>
  <c r="H750" i="2"/>
  <c r="G750" i="2"/>
  <c r="L746" i="2"/>
  <c r="K746" i="2"/>
  <c r="J746" i="2"/>
  <c r="I746" i="2"/>
  <c r="H746" i="2"/>
  <c r="G746" i="2"/>
  <c r="L743" i="2"/>
  <c r="K743" i="2"/>
  <c r="J743" i="2"/>
  <c r="I743" i="2"/>
  <c r="H743" i="2"/>
  <c r="G743" i="2"/>
  <c r="L739" i="2"/>
  <c r="K739" i="2"/>
  <c r="J739" i="2"/>
  <c r="I739" i="2"/>
  <c r="H739" i="2"/>
  <c r="G739" i="2"/>
  <c r="L735" i="2"/>
  <c r="K735" i="2"/>
  <c r="J735" i="2"/>
  <c r="I735" i="2"/>
  <c r="H735" i="2"/>
  <c r="G735" i="2"/>
  <c r="L732" i="2"/>
  <c r="K732" i="2"/>
  <c r="J732" i="2"/>
  <c r="I732" i="2"/>
  <c r="H732" i="2"/>
  <c r="G732" i="2"/>
  <c r="L729" i="2"/>
  <c r="K729" i="2"/>
  <c r="J729" i="2"/>
  <c r="I729" i="2"/>
  <c r="H729" i="2"/>
  <c r="G729" i="2"/>
  <c r="L726" i="2"/>
  <c r="K726" i="2"/>
  <c r="J726" i="2"/>
  <c r="I726" i="2"/>
  <c r="H726" i="2"/>
  <c r="G726" i="2"/>
  <c r="N722" i="2"/>
  <c r="L722" i="2"/>
  <c r="K722" i="2"/>
  <c r="J722" i="2"/>
  <c r="I722" i="2"/>
  <c r="H722" i="2"/>
  <c r="G722" i="2"/>
  <c r="L717" i="2"/>
  <c r="K717" i="2"/>
  <c r="J717" i="2"/>
  <c r="I717" i="2"/>
  <c r="H717" i="2"/>
  <c r="G717" i="2"/>
  <c r="L714" i="2"/>
  <c r="K714" i="2"/>
  <c r="J714" i="2"/>
  <c r="I714" i="2"/>
  <c r="H714" i="2"/>
  <c r="G714" i="2"/>
  <c r="L711" i="2"/>
  <c r="K711" i="2"/>
  <c r="J711" i="2"/>
  <c r="I711" i="2"/>
  <c r="H711" i="2"/>
  <c r="G711" i="2"/>
  <c r="L707" i="2"/>
  <c r="K707" i="2"/>
  <c r="J707" i="2"/>
  <c r="I707" i="2"/>
  <c r="H707" i="2"/>
  <c r="G707" i="2"/>
  <c r="L703" i="2"/>
  <c r="K703" i="2"/>
  <c r="J703" i="2"/>
  <c r="I703" i="2"/>
  <c r="H703" i="2"/>
  <c r="G703" i="2"/>
  <c r="L699" i="2"/>
  <c r="K699" i="2"/>
  <c r="J699" i="2"/>
  <c r="I699" i="2"/>
  <c r="H699" i="2"/>
  <c r="G699" i="2"/>
  <c r="L696" i="2"/>
  <c r="K696" i="2"/>
  <c r="J696" i="2"/>
  <c r="I696" i="2"/>
  <c r="H696" i="2"/>
  <c r="G696" i="2"/>
  <c r="L692" i="2"/>
  <c r="K692" i="2"/>
  <c r="J692" i="2"/>
  <c r="I692" i="2"/>
  <c r="H692" i="2"/>
  <c r="G692" i="2"/>
  <c r="L686" i="2"/>
  <c r="K686" i="2"/>
  <c r="J686" i="2"/>
  <c r="I686" i="2"/>
  <c r="H686" i="2"/>
  <c r="G686" i="2"/>
  <c r="L682" i="2"/>
  <c r="K682" i="2"/>
  <c r="J682" i="2"/>
  <c r="I682" i="2"/>
  <c r="H682" i="2"/>
  <c r="G682" i="2"/>
  <c r="L678" i="2"/>
  <c r="K678" i="2"/>
  <c r="J678" i="2"/>
  <c r="I678" i="2"/>
  <c r="H678" i="2"/>
  <c r="G678" i="2"/>
  <c r="L675" i="2"/>
  <c r="K675" i="2"/>
  <c r="J675" i="2"/>
  <c r="I675" i="2"/>
  <c r="H675" i="2"/>
  <c r="G675" i="2"/>
  <c r="L671" i="2"/>
  <c r="K671" i="2"/>
  <c r="J671" i="2"/>
  <c r="I671" i="2"/>
  <c r="H671" i="2"/>
  <c r="G671" i="2"/>
  <c r="L667" i="2"/>
  <c r="K667" i="2"/>
  <c r="J667" i="2"/>
  <c r="I667" i="2"/>
  <c r="H667" i="2"/>
  <c r="G667" i="2"/>
  <c r="L664" i="2"/>
  <c r="K664" i="2"/>
  <c r="J664" i="2"/>
  <c r="I664" i="2"/>
  <c r="H664" i="2"/>
  <c r="G664" i="2"/>
  <c r="L660" i="2"/>
  <c r="K660" i="2"/>
  <c r="J660" i="2"/>
  <c r="I660" i="2"/>
  <c r="H660" i="2"/>
  <c r="G660" i="2"/>
  <c r="L656" i="2"/>
  <c r="K656" i="2"/>
  <c r="J656" i="2"/>
  <c r="I656" i="2"/>
  <c r="H656" i="2"/>
  <c r="G656" i="2"/>
  <c r="L652" i="2"/>
  <c r="K652" i="2"/>
  <c r="J652" i="2"/>
  <c r="I652" i="2"/>
  <c r="H652" i="2"/>
  <c r="G652" i="2"/>
  <c r="L648" i="2"/>
  <c r="K648" i="2"/>
  <c r="J648" i="2"/>
  <c r="I648" i="2"/>
  <c r="H648" i="2"/>
  <c r="G648" i="2"/>
  <c r="L645" i="2"/>
  <c r="K645" i="2"/>
  <c r="J645" i="2"/>
  <c r="I645" i="2"/>
  <c r="H645" i="2"/>
  <c r="G645" i="2"/>
  <c r="L642" i="2"/>
  <c r="K642" i="2"/>
  <c r="J642" i="2"/>
  <c r="I642" i="2"/>
  <c r="H642" i="2"/>
  <c r="G642" i="2"/>
  <c r="L638" i="2"/>
  <c r="K638" i="2"/>
  <c r="J638" i="2"/>
  <c r="I638" i="2"/>
  <c r="H638" i="2"/>
  <c r="G638" i="2"/>
  <c r="L634" i="2"/>
  <c r="K634" i="2"/>
  <c r="J634" i="2"/>
  <c r="I634" i="2"/>
  <c r="H634" i="2"/>
  <c r="G634" i="2"/>
  <c r="L631" i="2"/>
  <c r="K631" i="2"/>
  <c r="J631" i="2"/>
  <c r="I631" i="2"/>
  <c r="H631" i="2"/>
  <c r="G631" i="2"/>
  <c r="L627" i="2"/>
  <c r="K627" i="2"/>
  <c r="J627" i="2"/>
  <c r="I627" i="2"/>
  <c r="H627" i="2"/>
  <c r="G627" i="2"/>
  <c r="L623" i="2"/>
  <c r="K623" i="2"/>
  <c r="J623" i="2"/>
  <c r="I623" i="2"/>
  <c r="H623" i="2"/>
  <c r="G623" i="2"/>
  <c r="L619" i="2"/>
  <c r="K619" i="2"/>
  <c r="J619" i="2"/>
  <c r="I619" i="2"/>
  <c r="H619" i="2"/>
  <c r="G619" i="2"/>
  <c r="L616" i="2"/>
  <c r="K616" i="2"/>
  <c r="J616" i="2"/>
  <c r="I616" i="2"/>
  <c r="H616" i="2"/>
  <c r="G616" i="2"/>
  <c r="L612" i="2"/>
  <c r="K612" i="2"/>
  <c r="J612" i="2"/>
  <c r="I612" i="2"/>
  <c r="H612" i="2"/>
  <c r="G612" i="2"/>
  <c r="L608" i="2"/>
  <c r="K608" i="2"/>
  <c r="J608" i="2"/>
  <c r="I608" i="2"/>
  <c r="H608" i="2"/>
  <c r="G608" i="2"/>
  <c r="L604" i="2"/>
  <c r="K604" i="2"/>
  <c r="J604" i="2"/>
  <c r="I604" i="2"/>
  <c r="H604" i="2"/>
  <c r="G604" i="2"/>
  <c r="L600" i="2"/>
  <c r="K600" i="2"/>
  <c r="J600" i="2"/>
  <c r="I600" i="2"/>
  <c r="H600" i="2"/>
  <c r="G600" i="2"/>
  <c r="L596" i="2"/>
  <c r="K596" i="2"/>
  <c r="J596" i="2"/>
  <c r="I596" i="2"/>
  <c r="H596" i="2"/>
  <c r="G596" i="2"/>
  <c r="L593" i="2"/>
  <c r="K593" i="2"/>
  <c r="J593" i="2"/>
  <c r="I593" i="2"/>
  <c r="H593" i="2"/>
  <c r="G593" i="2"/>
  <c r="L589" i="2"/>
  <c r="K589" i="2"/>
  <c r="J589" i="2"/>
  <c r="I589" i="2"/>
  <c r="H589" i="2"/>
  <c r="G589" i="2"/>
  <c r="L585" i="2"/>
  <c r="K585" i="2"/>
  <c r="J585" i="2"/>
  <c r="I585" i="2"/>
  <c r="H585" i="2"/>
  <c r="G585" i="2"/>
  <c r="L581" i="2"/>
  <c r="K581" i="2"/>
  <c r="J581" i="2"/>
  <c r="I581" i="2"/>
  <c r="H581" i="2"/>
  <c r="G581" i="2"/>
  <c r="L578" i="2"/>
  <c r="K578" i="2"/>
  <c r="J578" i="2"/>
  <c r="I578" i="2"/>
  <c r="H578" i="2"/>
  <c r="G578" i="2"/>
  <c r="L575" i="2"/>
  <c r="K575" i="2"/>
  <c r="J575" i="2"/>
  <c r="I575" i="2"/>
  <c r="H575" i="2"/>
  <c r="G575" i="2"/>
  <c r="L572" i="2"/>
  <c r="K572" i="2"/>
  <c r="J572" i="2"/>
  <c r="I572" i="2"/>
  <c r="H572" i="2"/>
  <c r="G572" i="2"/>
  <c r="L569" i="2"/>
  <c r="K569" i="2"/>
  <c r="J569" i="2"/>
  <c r="I569" i="2"/>
  <c r="H569" i="2"/>
  <c r="G569" i="2"/>
  <c r="L566" i="2"/>
  <c r="K566" i="2"/>
  <c r="J566" i="2"/>
  <c r="I566" i="2"/>
  <c r="H566" i="2"/>
  <c r="G566" i="2"/>
  <c r="L562" i="2"/>
  <c r="K562" i="2"/>
  <c r="J562" i="2"/>
  <c r="I562" i="2"/>
  <c r="H562" i="2"/>
  <c r="G562" i="2"/>
  <c r="L556" i="2"/>
  <c r="K556" i="2"/>
  <c r="J556" i="2"/>
  <c r="I556" i="2"/>
  <c r="H556" i="2"/>
  <c r="G556" i="2"/>
  <c r="L552" i="2"/>
  <c r="K552" i="2"/>
  <c r="J552" i="2"/>
  <c r="I552" i="2"/>
  <c r="H552" i="2"/>
  <c r="G552" i="2"/>
  <c r="L548" i="2"/>
  <c r="K548" i="2"/>
  <c r="J548" i="2"/>
  <c r="I548" i="2"/>
  <c r="H548" i="2"/>
  <c r="G548" i="2"/>
  <c r="L545" i="2"/>
  <c r="K545" i="2"/>
  <c r="J545" i="2"/>
  <c r="I545" i="2"/>
  <c r="H545" i="2"/>
  <c r="G545" i="2"/>
  <c r="L541" i="2"/>
  <c r="K541" i="2"/>
  <c r="J541" i="2"/>
  <c r="I541" i="2"/>
  <c r="H541" i="2"/>
  <c r="G541" i="2"/>
  <c r="L538" i="2"/>
  <c r="K538" i="2"/>
  <c r="J538" i="2"/>
  <c r="I538" i="2"/>
  <c r="H538" i="2"/>
  <c r="G538" i="2"/>
  <c r="L534" i="2"/>
  <c r="K534" i="2"/>
  <c r="J534" i="2"/>
  <c r="I534" i="2"/>
  <c r="H534" i="2"/>
  <c r="G534" i="2"/>
  <c r="L530" i="2"/>
  <c r="K530" i="2"/>
  <c r="J530" i="2"/>
  <c r="I530" i="2"/>
  <c r="H530" i="2"/>
  <c r="G530" i="2"/>
  <c r="L527" i="2"/>
  <c r="K527" i="2"/>
  <c r="J527" i="2"/>
  <c r="I527" i="2"/>
  <c r="H527" i="2"/>
  <c r="G527" i="2"/>
  <c r="L524" i="2"/>
  <c r="K524" i="2"/>
  <c r="J524" i="2"/>
  <c r="I524" i="2"/>
  <c r="H524" i="2"/>
  <c r="G524" i="2"/>
  <c r="L521" i="2"/>
  <c r="K521" i="2"/>
  <c r="J521" i="2"/>
  <c r="I521" i="2"/>
  <c r="H521" i="2"/>
  <c r="G521" i="2"/>
  <c r="L517" i="2"/>
  <c r="K517" i="2"/>
  <c r="J517" i="2"/>
  <c r="I517" i="2"/>
  <c r="H517" i="2"/>
  <c r="G517" i="2"/>
  <c r="L513" i="2"/>
  <c r="K513" i="2"/>
  <c r="J513" i="2"/>
  <c r="I513" i="2"/>
  <c r="H513" i="2"/>
  <c r="G513" i="2"/>
  <c r="L509" i="2"/>
  <c r="K509" i="2"/>
  <c r="J509" i="2"/>
  <c r="I509" i="2"/>
  <c r="H509" i="2"/>
  <c r="G509" i="2"/>
  <c r="L505" i="2"/>
  <c r="K505" i="2"/>
  <c r="J505" i="2"/>
  <c r="I505" i="2"/>
  <c r="H505" i="2"/>
  <c r="G505" i="2"/>
  <c r="L501" i="2"/>
  <c r="K501" i="2"/>
  <c r="J501" i="2"/>
  <c r="I501" i="2"/>
  <c r="H501" i="2"/>
  <c r="G501" i="2"/>
  <c r="L497" i="2"/>
  <c r="K497" i="2"/>
  <c r="J497" i="2"/>
  <c r="I497" i="2"/>
  <c r="H497" i="2"/>
  <c r="G497" i="2"/>
  <c r="L493" i="2"/>
  <c r="K493" i="2"/>
  <c r="J493" i="2"/>
  <c r="I493" i="2"/>
  <c r="H493" i="2"/>
  <c r="G493" i="2"/>
  <c r="L489" i="2"/>
  <c r="K489" i="2"/>
  <c r="J489" i="2"/>
  <c r="I489" i="2"/>
  <c r="H489" i="2"/>
  <c r="G489" i="2"/>
  <c r="L485" i="2"/>
  <c r="K485" i="2"/>
  <c r="J485" i="2"/>
  <c r="I485" i="2"/>
  <c r="H485" i="2"/>
  <c r="G485" i="2"/>
  <c r="L481" i="2"/>
  <c r="K481" i="2"/>
  <c r="J481" i="2"/>
  <c r="I481" i="2"/>
  <c r="H481" i="2"/>
  <c r="G481" i="2"/>
  <c r="L477" i="2"/>
  <c r="K477" i="2"/>
  <c r="J477" i="2"/>
  <c r="I477" i="2"/>
  <c r="H477" i="2"/>
  <c r="G477" i="2"/>
  <c r="L474" i="2"/>
  <c r="K474" i="2"/>
  <c r="J474" i="2"/>
  <c r="I474" i="2"/>
  <c r="H474" i="2"/>
  <c r="G474" i="2"/>
  <c r="L470" i="2"/>
  <c r="K470" i="2"/>
  <c r="J470" i="2"/>
  <c r="I470" i="2"/>
  <c r="H470" i="2"/>
  <c r="G470" i="2"/>
  <c r="L467" i="2"/>
  <c r="K467" i="2"/>
  <c r="J467" i="2"/>
  <c r="I467" i="2"/>
  <c r="H467" i="2"/>
  <c r="G467" i="2"/>
  <c r="L464" i="2"/>
  <c r="K464" i="2"/>
  <c r="J464" i="2"/>
  <c r="I464" i="2"/>
  <c r="H464" i="2"/>
  <c r="G464" i="2"/>
  <c r="L461" i="2"/>
  <c r="K461" i="2"/>
  <c r="J461" i="2"/>
  <c r="I461" i="2"/>
  <c r="H461" i="2"/>
  <c r="G461" i="2"/>
  <c r="L457" i="2"/>
  <c r="K457" i="2"/>
  <c r="J457" i="2"/>
  <c r="I457" i="2"/>
  <c r="H457" i="2"/>
  <c r="G457" i="2"/>
  <c r="L453" i="2"/>
  <c r="K453" i="2"/>
  <c r="J453" i="2"/>
  <c r="I453" i="2"/>
  <c r="H453" i="2"/>
  <c r="G453" i="2"/>
  <c r="L449" i="2"/>
  <c r="K449" i="2"/>
  <c r="J449" i="2"/>
  <c r="I449" i="2"/>
  <c r="H449" i="2"/>
  <c r="G449" i="2"/>
  <c r="L445" i="2"/>
  <c r="K445" i="2"/>
  <c r="J445" i="2"/>
  <c r="I445" i="2"/>
  <c r="H445" i="2"/>
  <c r="G445" i="2"/>
  <c r="L441" i="2"/>
  <c r="K441" i="2"/>
  <c r="J441" i="2"/>
  <c r="I441" i="2"/>
  <c r="H441" i="2"/>
  <c r="G441" i="2"/>
  <c r="L432" i="2"/>
  <c r="K432" i="2"/>
  <c r="J432" i="2"/>
  <c r="I432" i="2"/>
  <c r="H432" i="2"/>
  <c r="G432" i="2"/>
  <c r="L423" i="2"/>
  <c r="K423" i="2"/>
  <c r="J423" i="2"/>
  <c r="I423" i="2"/>
  <c r="H423" i="2"/>
  <c r="G423" i="2"/>
  <c r="L420" i="2"/>
  <c r="K420" i="2"/>
  <c r="J420" i="2"/>
  <c r="I420" i="2"/>
  <c r="H420" i="2"/>
  <c r="G420" i="2"/>
  <c r="L417" i="2"/>
  <c r="K417" i="2"/>
  <c r="J417" i="2"/>
  <c r="I417" i="2"/>
  <c r="H417" i="2"/>
  <c r="G417" i="2"/>
  <c r="L414" i="2"/>
  <c r="K414" i="2"/>
  <c r="J414" i="2"/>
  <c r="I414" i="2"/>
  <c r="H414" i="2"/>
  <c r="G414" i="2"/>
  <c r="L411" i="2"/>
  <c r="K411" i="2"/>
  <c r="J411" i="2"/>
  <c r="I411" i="2"/>
  <c r="H411" i="2"/>
  <c r="G411" i="2"/>
  <c r="L408" i="2"/>
  <c r="K408" i="2"/>
  <c r="J408" i="2"/>
  <c r="I408" i="2"/>
  <c r="H408" i="2"/>
  <c r="G408" i="2"/>
  <c r="L405" i="2"/>
  <c r="K405" i="2"/>
  <c r="J405" i="2"/>
  <c r="I405" i="2"/>
  <c r="H405" i="2"/>
  <c r="G405" i="2"/>
  <c r="N402" i="2"/>
  <c r="L402" i="2"/>
  <c r="K402" i="2"/>
  <c r="J402" i="2"/>
  <c r="I402" i="2"/>
  <c r="H402" i="2"/>
  <c r="G402" i="2"/>
  <c r="L398" i="2"/>
  <c r="K398" i="2"/>
  <c r="J398" i="2"/>
  <c r="I398" i="2"/>
  <c r="H398" i="2"/>
  <c r="G398" i="2"/>
  <c r="L395" i="2"/>
  <c r="K395" i="2"/>
  <c r="J395" i="2"/>
  <c r="I395" i="2"/>
  <c r="H395" i="2"/>
  <c r="G395" i="2"/>
  <c r="L391" i="2"/>
  <c r="K391" i="2"/>
  <c r="J391" i="2"/>
  <c r="I391" i="2"/>
  <c r="H391" i="2"/>
  <c r="G391" i="2"/>
  <c r="L387" i="2"/>
  <c r="K387" i="2"/>
  <c r="J387" i="2"/>
  <c r="I387" i="2"/>
  <c r="H387" i="2"/>
  <c r="G387" i="2"/>
  <c r="L384" i="2"/>
  <c r="K384" i="2"/>
  <c r="J384" i="2"/>
  <c r="I384" i="2"/>
  <c r="H384" i="2"/>
  <c r="G384" i="2"/>
  <c r="L380" i="2"/>
  <c r="K380" i="2"/>
  <c r="J380" i="2"/>
  <c r="I380" i="2"/>
  <c r="H380" i="2"/>
  <c r="G380" i="2"/>
  <c r="L376" i="2"/>
  <c r="K376" i="2"/>
  <c r="J376" i="2"/>
  <c r="I376" i="2"/>
  <c r="H376" i="2"/>
  <c r="G376" i="2"/>
  <c r="L372" i="2"/>
  <c r="K372" i="2"/>
  <c r="J372" i="2"/>
  <c r="I372" i="2"/>
  <c r="H372" i="2"/>
  <c r="G372" i="2"/>
  <c r="L368" i="2"/>
  <c r="K368" i="2"/>
  <c r="J368" i="2"/>
  <c r="I368" i="2"/>
  <c r="H368" i="2"/>
  <c r="G368" i="2"/>
  <c r="L365" i="2"/>
  <c r="K365" i="2"/>
  <c r="J365" i="2"/>
  <c r="I365" i="2"/>
  <c r="H365" i="2"/>
  <c r="G365" i="2"/>
  <c r="L362" i="2"/>
  <c r="K362" i="2"/>
  <c r="J362" i="2"/>
  <c r="I362" i="2"/>
  <c r="H362" i="2"/>
  <c r="G362" i="2"/>
  <c r="L358" i="2"/>
  <c r="K358" i="2"/>
  <c r="J358" i="2"/>
  <c r="I358" i="2"/>
  <c r="H358" i="2"/>
  <c r="G358" i="2"/>
  <c r="L355" i="2"/>
  <c r="K355" i="2"/>
  <c r="J355" i="2"/>
  <c r="I355" i="2"/>
  <c r="H355" i="2"/>
  <c r="G355" i="2"/>
  <c r="L345" i="2"/>
  <c r="K345" i="2"/>
  <c r="J345" i="2"/>
  <c r="I345" i="2"/>
  <c r="H345" i="2"/>
  <c r="G345" i="2"/>
  <c r="L332" i="2"/>
  <c r="K332" i="2"/>
  <c r="J332" i="2"/>
  <c r="I332" i="2"/>
  <c r="H332" i="2"/>
  <c r="G332" i="2"/>
  <c r="L323" i="2"/>
  <c r="K323" i="2"/>
  <c r="J323" i="2"/>
  <c r="I323" i="2"/>
  <c r="H323" i="2"/>
  <c r="G323" i="2"/>
  <c r="L319" i="2"/>
  <c r="K319" i="2"/>
  <c r="J319" i="2"/>
  <c r="I319" i="2"/>
  <c r="H319" i="2"/>
  <c r="G319" i="2"/>
  <c r="L315" i="2"/>
  <c r="K315" i="2"/>
  <c r="J315" i="2"/>
  <c r="I315" i="2"/>
  <c r="H315" i="2"/>
  <c r="G315" i="2"/>
  <c r="L311" i="2"/>
  <c r="K311" i="2"/>
  <c r="J311" i="2"/>
  <c r="I311" i="2"/>
  <c r="H311" i="2"/>
  <c r="G311" i="2"/>
  <c r="L308" i="2"/>
  <c r="K308" i="2"/>
  <c r="J308" i="2"/>
  <c r="I308" i="2"/>
  <c r="H308" i="2"/>
  <c r="G308" i="2"/>
  <c r="L305" i="2"/>
  <c r="K305" i="2"/>
  <c r="J305" i="2"/>
  <c r="I305" i="2"/>
  <c r="H305" i="2"/>
  <c r="G305" i="2"/>
  <c r="L302" i="2"/>
  <c r="K302" i="2"/>
  <c r="J302" i="2"/>
  <c r="I302" i="2"/>
  <c r="H302" i="2"/>
  <c r="G302" i="2"/>
  <c r="L298" i="2"/>
  <c r="K298" i="2"/>
  <c r="J298" i="2"/>
  <c r="I298" i="2"/>
  <c r="H298" i="2"/>
  <c r="G298" i="2"/>
  <c r="L294" i="2"/>
  <c r="K294" i="2"/>
  <c r="J294" i="2"/>
  <c r="I294" i="2"/>
  <c r="H294" i="2"/>
  <c r="G294" i="2"/>
  <c r="L291" i="2"/>
  <c r="K291" i="2"/>
  <c r="J291" i="2"/>
  <c r="I291" i="2"/>
  <c r="H291" i="2"/>
  <c r="G291" i="2"/>
  <c r="L287" i="2"/>
  <c r="K287" i="2"/>
  <c r="J287" i="2"/>
  <c r="I287" i="2"/>
  <c r="H287" i="2"/>
  <c r="G287" i="2"/>
  <c r="L283" i="2"/>
  <c r="K283" i="2"/>
  <c r="J283" i="2"/>
  <c r="I283" i="2"/>
  <c r="H283" i="2"/>
  <c r="G283" i="2"/>
  <c r="L280" i="2"/>
  <c r="K280" i="2"/>
  <c r="J280" i="2"/>
  <c r="I280" i="2"/>
  <c r="H280" i="2"/>
  <c r="G280" i="2"/>
  <c r="L277" i="2"/>
  <c r="K277" i="2"/>
  <c r="J277" i="2"/>
  <c r="I277" i="2"/>
  <c r="H277" i="2"/>
  <c r="G277" i="2"/>
  <c r="L274" i="2"/>
  <c r="K274" i="2"/>
  <c r="J274" i="2"/>
  <c r="I274" i="2"/>
  <c r="H274" i="2"/>
  <c r="G274" i="2"/>
  <c r="L271" i="2"/>
  <c r="K271" i="2"/>
  <c r="J271" i="2"/>
  <c r="I271" i="2"/>
  <c r="H271" i="2"/>
  <c r="G271" i="2"/>
  <c r="L267" i="2"/>
  <c r="K267" i="2"/>
  <c r="J267" i="2"/>
  <c r="I267" i="2"/>
  <c r="H267" i="2"/>
  <c r="G267" i="2"/>
  <c r="L264" i="2"/>
  <c r="K264" i="2"/>
  <c r="J264" i="2"/>
  <c r="I264" i="2"/>
  <c r="H264" i="2"/>
  <c r="G264" i="2"/>
  <c r="L261" i="2"/>
  <c r="K261" i="2"/>
  <c r="J261" i="2"/>
  <c r="I261" i="2"/>
  <c r="H261" i="2"/>
  <c r="G261" i="2"/>
  <c r="N256" i="2"/>
  <c r="L256" i="2"/>
  <c r="K256" i="2"/>
  <c r="J256" i="2"/>
  <c r="I256" i="2"/>
  <c r="H256" i="2"/>
  <c r="G256" i="2"/>
  <c r="L248" i="2"/>
  <c r="K248" i="2"/>
  <c r="J248" i="2"/>
  <c r="I248" i="2"/>
  <c r="H248" i="2"/>
  <c r="G248" i="2"/>
  <c r="L244" i="2"/>
  <c r="K244" i="2"/>
  <c r="J244" i="2"/>
  <c r="I244" i="2"/>
  <c r="H244" i="2"/>
  <c r="G244" i="2"/>
  <c r="L240" i="2"/>
  <c r="K240" i="2"/>
  <c r="J240" i="2"/>
  <c r="I240" i="2"/>
  <c r="H240" i="2"/>
  <c r="G240" i="2"/>
  <c r="L236" i="2"/>
  <c r="K236" i="2"/>
  <c r="J236" i="2"/>
  <c r="I236" i="2"/>
  <c r="H236" i="2"/>
  <c r="G236" i="2"/>
  <c r="L233" i="2"/>
  <c r="K233" i="2"/>
  <c r="J233" i="2"/>
  <c r="I233" i="2"/>
  <c r="H233" i="2"/>
  <c r="G233" i="2"/>
  <c r="L229" i="2"/>
  <c r="K229" i="2"/>
  <c r="J229" i="2"/>
  <c r="I229" i="2"/>
  <c r="H229" i="2"/>
  <c r="G229" i="2"/>
  <c r="L225" i="2"/>
  <c r="K225" i="2"/>
  <c r="J225" i="2"/>
  <c r="I225" i="2"/>
  <c r="H225" i="2"/>
  <c r="G225" i="2"/>
  <c r="L221" i="2"/>
  <c r="K221" i="2"/>
  <c r="J221" i="2"/>
  <c r="I221" i="2"/>
  <c r="H221" i="2"/>
  <c r="G221" i="2"/>
  <c r="L217" i="2"/>
  <c r="K217" i="2"/>
  <c r="J217" i="2"/>
  <c r="I217" i="2"/>
  <c r="H217" i="2"/>
  <c r="G217" i="2"/>
  <c r="N214" i="2"/>
  <c r="L214" i="2"/>
  <c r="K214" i="2"/>
  <c r="J214" i="2"/>
  <c r="I214" i="2"/>
  <c r="H214" i="2"/>
  <c r="G214" i="2"/>
  <c r="L210" i="2"/>
  <c r="K210" i="2"/>
  <c r="J210" i="2"/>
  <c r="I210" i="2"/>
  <c r="H210" i="2"/>
  <c r="G210" i="2"/>
  <c r="L207" i="2"/>
  <c r="K207" i="2"/>
  <c r="J207" i="2"/>
  <c r="I207" i="2"/>
  <c r="H207" i="2"/>
  <c r="G207" i="2"/>
  <c r="L204" i="2"/>
  <c r="K204" i="2"/>
  <c r="J204" i="2"/>
  <c r="I204" i="2"/>
  <c r="H204" i="2"/>
  <c r="G204" i="2"/>
  <c r="L200" i="2"/>
  <c r="K200" i="2"/>
  <c r="J200" i="2"/>
  <c r="I200" i="2"/>
  <c r="H200" i="2"/>
  <c r="G200" i="2"/>
  <c r="N197" i="2"/>
  <c r="L197" i="2"/>
  <c r="K197" i="2"/>
  <c r="J197" i="2"/>
  <c r="I197" i="2"/>
  <c r="H197" i="2"/>
  <c r="G197" i="2"/>
  <c r="N193" i="2"/>
  <c r="L193" i="2"/>
  <c r="K193" i="2"/>
  <c r="J193" i="2"/>
  <c r="I193" i="2"/>
  <c r="H193" i="2"/>
  <c r="G193" i="2"/>
  <c r="L189" i="2"/>
  <c r="K189" i="2"/>
  <c r="J189" i="2"/>
  <c r="I189" i="2"/>
  <c r="H189" i="2"/>
  <c r="G189" i="2"/>
  <c r="L185" i="2"/>
  <c r="K185" i="2"/>
  <c r="J185" i="2"/>
  <c r="I185" i="2"/>
  <c r="H185" i="2"/>
  <c r="G185" i="2"/>
  <c r="L181" i="2"/>
  <c r="K181" i="2"/>
  <c r="J181" i="2"/>
  <c r="I181" i="2"/>
  <c r="H181" i="2"/>
  <c r="G181" i="2"/>
  <c r="L178" i="2"/>
  <c r="K178" i="2"/>
  <c r="J178" i="2"/>
  <c r="I178" i="2"/>
  <c r="H178" i="2"/>
  <c r="G178" i="2"/>
  <c r="L174" i="2"/>
  <c r="K174" i="2"/>
  <c r="J174" i="2"/>
  <c r="I174" i="2"/>
  <c r="H174" i="2"/>
  <c r="G174" i="2"/>
  <c r="L170" i="2"/>
  <c r="K170" i="2"/>
  <c r="J170" i="2"/>
  <c r="I170" i="2"/>
  <c r="H170" i="2"/>
  <c r="G170" i="2"/>
  <c r="L166" i="2"/>
  <c r="K166" i="2"/>
  <c r="J166" i="2"/>
  <c r="I166" i="2"/>
  <c r="H166" i="2"/>
  <c r="G166" i="2"/>
  <c r="L163" i="2"/>
  <c r="K163" i="2"/>
  <c r="J163" i="2"/>
  <c r="I163" i="2"/>
  <c r="H163" i="2"/>
  <c r="G163" i="2"/>
  <c r="L159" i="2"/>
  <c r="K159" i="2"/>
  <c r="J159" i="2"/>
  <c r="I159" i="2"/>
  <c r="H159" i="2"/>
  <c r="G159" i="2"/>
  <c r="L156" i="2"/>
  <c r="K156" i="2"/>
  <c r="J156" i="2"/>
  <c r="I156" i="2"/>
  <c r="H156" i="2"/>
  <c r="G156" i="2"/>
  <c r="L153" i="2"/>
  <c r="K153" i="2"/>
  <c r="J153" i="2"/>
  <c r="I153" i="2"/>
  <c r="H153" i="2"/>
  <c r="G153" i="2"/>
  <c r="L150" i="2"/>
  <c r="K150" i="2"/>
  <c r="J150" i="2"/>
  <c r="I150" i="2"/>
  <c r="H150" i="2"/>
  <c r="G150" i="2"/>
  <c r="L147" i="2"/>
  <c r="K147" i="2"/>
  <c r="J147" i="2"/>
  <c r="I147" i="2"/>
  <c r="H147" i="2"/>
  <c r="G147" i="2"/>
  <c r="L141" i="2"/>
  <c r="K141" i="2"/>
  <c r="J141" i="2"/>
  <c r="I141" i="2"/>
  <c r="H141" i="2"/>
  <c r="G141" i="2"/>
  <c r="L135" i="2"/>
  <c r="K135" i="2"/>
  <c r="J135" i="2"/>
  <c r="I135" i="2"/>
  <c r="H135" i="2"/>
  <c r="G135" i="2"/>
  <c r="L132" i="2"/>
  <c r="K132" i="2"/>
  <c r="J132" i="2"/>
  <c r="I132" i="2"/>
  <c r="H132" i="2"/>
  <c r="G132" i="2"/>
  <c r="L128" i="2"/>
  <c r="K128" i="2"/>
  <c r="J128" i="2"/>
  <c r="I128" i="2"/>
  <c r="H128" i="2"/>
  <c r="G128" i="2"/>
  <c r="L124" i="2"/>
  <c r="K124" i="2"/>
  <c r="J124" i="2"/>
  <c r="I124" i="2"/>
  <c r="H124" i="2"/>
  <c r="G124" i="2"/>
  <c r="L120" i="2"/>
  <c r="K120" i="2"/>
  <c r="J120" i="2"/>
  <c r="I120" i="2"/>
  <c r="H120" i="2"/>
  <c r="G120" i="2"/>
  <c r="L116" i="2"/>
  <c r="K116" i="2"/>
  <c r="J116" i="2"/>
  <c r="I116" i="2"/>
  <c r="H116" i="2"/>
  <c r="G116" i="2"/>
  <c r="L112" i="2"/>
  <c r="K112" i="2"/>
  <c r="J112" i="2"/>
  <c r="I112" i="2"/>
  <c r="H112" i="2"/>
  <c r="G112" i="2"/>
  <c r="L109" i="2"/>
  <c r="K109" i="2"/>
  <c r="J109" i="2"/>
  <c r="I109" i="2"/>
  <c r="H109" i="2"/>
  <c r="G109" i="2"/>
  <c r="L101" i="2"/>
  <c r="K101" i="2"/>
  <c r="J101" i="2"/>
  <c r="I101" i="2"/>
  <c r="H101" i="2"/>
  <c r="G101" i="2"/>
  <c r="L93" i="2"/>
  <c r="K93" i="2"/>
  <c r="J93" i="2"/>
  <c r="I93" i="2"/>
  <c r="H93" i="2"/>
  <c r="G93" i="2"/>
  <c r="L89" i="2"/>
  <c r="K89" i="2"/>
  <c r="J89" i="2"/>
  <c r="I89" i="2"/>
  <c r="H89" i="2"/>
  <c r="G89" i="2"/>
  <c r="L85" i="2"/>
  <c r="K85" i="2"/>
  <c r="J85" i="2"/>
  <c r="I85" i="2"/>
  <c r="H85" i="2"/>
  <c r="G85" i="2"/>
  <c r="L80" i="2"/>
  <c r="K80" i="2"/>
  <c r="J80" i="2"/>
  <c r="I80" i="2"/>
  <c r="H80" i="2"/>
  <c r="G80" i="2"/>
  <c r="L75" i="2"/>
  <c r="K75" i="2"/>
  <c r="J75" i="2"/>
  <c r="I75" i="2"/>
  <c r="H75" i="2"/>
  <c r="G75" i="2"/>
  <c r="L71" i="2"/>
  <c r="K71" i="2"/>
  <c r="J71" i="2"/>
  <c r="I71" i="2"/>
  <c r="H71" i="2"/>
  <c r="G71" i="2"/>
  <c r="L67" i="2"/>
  <c r="K67" i="2"/>
  <c r="J67" i="2"/>
  <c r="I67" i="2"/>
  <c r="H67" i="2"/>
  <c r="G67" i="2"/>
  <c r="L64" i="2"/>
  <c r="K64" i="2"/>
  <c r="J64" i="2"/>
  <c r="I64" i="2"/>
  <c r="H64" i="2"/>
  <c r="G64" i="2"/>
  <c r="L61" i="2"/>
  <c r="K61" i="2"/>
  <c r="J61" i="2"/>
  <c r="I61" i="2"/>
  <c r="H61" i="2"/>
  <c r="G61" i="2"/>
  <c r="L57" i="2"/>
  <c r="K57" i="2"/>
  <c r="J57" i="2"/>
  <c r="I57" i="2"/>
  <c r="H57" i="2"/>
  <c r="G57" i="2"/>
  <c r="L53" i="2"/>
  <c r="K53" i="2"/>
  <c r="J53" i="2"/>
  <c r="I53" i="2"/>
  <c r="H53" i="2"/>
  <c r="G53" i="2"/>
  <c r="L50" i="2"/>
  <c r="K50" i="2"/>
  <c r="J50" i="2"/>
  <c r="I50" i="2"/>
  <c r="H50" i="2"/>
  <c r="G50" i="2"/>
  <c r="L44" i="2"/>
  <c r="K44" i="2"/>
  <c r="J44" i="2"/>
  <c r="I44" i="2"/>
  <c r="H44" i="2"/>
  <c r="G44" i="2"/>
  <c r="L38" i="2"/>
  <c r="K38" i="2"/>
  <c r="J38" i="2"/>
  <c r="I38" i="2"/>
  <c r="H38" i="2"/>
  <c r="G38" i="2"/>
  <c r="L35" i="2"/>
  <c r="K35" i="2"/>
  <c r="J35" i="2"/>
  <c r="I35" i="2"/>
  <c r="H35" i="2"/>
  <c r="G35" i="2"/>
  <c r="L31" i="2"/>
  <c r="K31" i="2"/>
  <c r="J31" i="2"/>
  <c r="I31" i="2"/>
  <c r="H31" i="2"/>
  <c r="G31" i="2"/>
  <c r="L27" i="2"/>
  <c r="K27" i="2"/>
  <c r="J27" i="2"/>
  <c r="I27" i="2"/>
  <c r="H27" i="2"/>
  <c r="G27" i="2"/>
  <c r="L23" i="2"/>
  <c r="K23" i="2"/>
  <c r="J23" i="2"/>
  <c r="I23" i="2"/>
  <c r="H23" i="2"/>
  <c r="G23" i="2"/>
  <c r="L20" i="2"/>
  <c r="K20" i="2"/>
  <c r="J20" i="2"/>
  <c r="I20" i="2"/>
  <c r="H20" i="2"/>
  <c r="G20" i="2"/>
  <c r="O16" i="2"/>
  <c r="O20" i="2" s="1"/>
  <c r="O23" i="2" s="1"/>
  <c r="O27" i="2" s="1"/>
  <c r="O31" i="2" s="1"/>
  <c r="O35" i="2" s="1"/>
  <c r="O38" i="2" s="1"/>
  <c r="O44" i="2" s="1"/>
  <c r="O50" i="2" s="1"/>
  <c r="O53" i="2" s="1"/>
  <c r="O57" i="2" s="1"/>
  <c r="O61" i="2" s="1"/>
  <c r="O64" i="2" s="1"/>
  <c r="O67" i="2" s="1"/>
  <c r="O71" i="2" s="1"/>
  <c r="O75" i="2" s="1"/>
  <c r="O80" i="2" s="1"/>
  <c r="O85" i="2" s="1"/>
  <c r="O89" i="2" s="1"/>
  <c r="O93" i="2" s="1"/>
  <c r="O101" i="2" s="1"/>
  <c r="O109" i="2" s="1"/>
  <c r="O112" i="2" s="1"/>
  <c r="O116" i="2" s="1"/>
  <c r="O120" i="2" s="1"/>
  <c r="O124" i="2" s="1"/>
  <c r="O128" i="2" s="1"/>
  <c r="O132" i="2" s="1"/>
  <c r="O135" i="2" s="1"/>
  <c r="O141" i="2" s="1"/>
  <c r="O147" i="2" s="1"/>
  <c r="O150" i="2" s="1"/>
  <c r="O153" i="2" s="1"/>
  <c r="O156" i="2" s="1"/>
  <c r="O159" i="2" s="1"/>
  <c r="O163" i="2" s="1"/>
  <c r="O166" i="2" s="1"/>
  <c r="O170" i="2" s="1"/>
  <c r="O174" i="2" s="1"/>
  <c r="O178" i="2" s="1"/>
  <c r="O181" i="2" s="1"/>
  <c r="O185" i="2" s="1"/>
  <c r="O189" i="2" s="1"/>
  <c r="O193" i="2" s="1"/>
  <c r="O197" i="2" s="1"/>
  <c r="O200" i="2" s="1"/>
  <c r="O204" i="2" s="1"/>
  <c r="O207" i="2" s="1"/>
  <c r="O210" i="2" s="1"/>
  <c r="O214" i="2" s="1"/>
  <c r="O217" i="2" s="1"/>
  <c r="O221" i="2" s="1"/>
  <c r="O225" i="2" s="1"/>
  <c r="O229" i="2" s="1"/>
  <c r="O233" i="2" s="1"/>
  <c r="O236" i="2" s="1"/>
  <c r="O244" i="2" s="1"/>
  <c r="O248" i="2" s="1"/>
  <c r="O256" i="2" s="1"/>
  <c r="O261" i="2" s="1"/>
  <c r="O267" i="2" s="1"/>
  <c r="O271" i="2" s="1"/>
  <c r="O274" i="2" s="1"/>
  <c r="O277" i="2" s="1"/>
  <c r="O280" i="2" s="1"/>
  <c r="O283" i="2" s="1"/>
  <c r="O287" i="2" s="1"/>
  <c r="O291" i="2" s="1"/>
  <c r="O294" i="2" s="1"/>
  <c r="O298" i="2" s="1"/>
  <c r="O302" i="2" s="1"/>
  <c r="O305" i="2" s="1"/>
  <c r="O308" i="2" s="1"/>
  <c r="O311" i="2" s="1"/>
  <c r="O315" i="2" s="1"/>
  <c r="O319" i="2" s="1"/>
  <c r="O323" i="2" s="1"/>
  <c r="O332" i="2" s="1"/>
  <c r="O345" i="2" s="1"/>
  <c r="O355" i="2" s="1"/>
  <c r="O362" i="2" s="1"/>
  <c r="O365" i="2" s="1"/>
  <c r="O368" i="2" s="1"/>
  <c r="O372" i="2" s="1"/>
  <c r="O376" i="2" s="1"/>
  <c r="O380" i="2" s="1"/>
  <c r="O384" i="2" s="1"/>
  <c r="O387" i="2" s="1"/>
  <c r="O391" i="2" s="1"/>
  <c r="O395" i="2" s="1"/>
  <c r="O398" i="2" s="1"/>
  <c r="O402" i="2" s="1"/>
  <c r="O405" i="2" s="1"/>
  <c r="O408" i="2" s="1"/>
  <c r="O411" i="2" s="1"/>
  <c r="O414" i="2" s="1"/>
  <c r="O417" i="2" s="1"/>
  <c r="O420" i="2" s="1"/>
  <c r="O423" i="2" s="1"/>
  <c r="O432" i="2" s="1"/>
  <c r="O441" i="2" s="1"/>
  <c r="O445" i="2" s="1"/>
  <c r="O449" i="2" s="1"/>
  <c r="O453" i="2" s="1"/>
  <c r="O457" i="2" s="1"/>
  <c r="O461" i="2" s="1"/>
  <c r="O464" i="2" s="1"/>
  <c r="O467" i="2" s="1"/>
  <c r="O470" i="2" s="1"/>
  <c r="O474" i="2" s="1"/>
  <c r="O481" i="2" s="1"/>
  <c r="O485" i="2" s="1"/>
  <c r="O489" i="2" s="1"/>
  <c r="O493" i="2" s="1"/>
  <c r="O497" i="2" s="1"/>
  <c r="O501" i="2" s="1"/>
  <c r="O505" i="2" s="1"/>
  <c r="O509" i="2" s="1"/>
  <c r="O513" i="2" s="1"/>
  <c r="O517" i="2" s="1"/>
  <c r="O521" i="2" s="1"/>
  <c r="O524" i="2" s="1"/>
  <c r="O527" i="2" s="1"/>
  <c r="O530" i="2" s="1"/>
  <c r="O534" i="2" s="1"/>
  <c r="O538" i="2" s="1"/>
  <c r="O541" i="2" s="1"/>
  <c r="O545" i="2" s="1"/>
  <c r="O552" i="2" s="1"/>
  <c r="O556" i="2" s="1"/>
  <c r="O562" i="2" s="1"/>
  <c r="O566" i="2" s="1"/>
  <c r="O569" i="2" s="1"/>
  <c r="O572" i="2" s="1"/>
  <c r="O575" i="2" s="1"/>
  <c r="O581" i="2" s="1"/>
  <c r="O585" i="2" s="1"/>
  <c r="O589" i="2" s="1"/>
  <c r="O593" i="2" s="1"/>
  <c r="O596" i="2" s="1"/>
  <c r="O600" i="2" s="1"/>
  <c r="O604" i="2" s="1"/>
  <c r="O608" i="2" s="1"/>
  <c r="O612" i="2" s="1"/>
  <c r="O616" i="2" s="1"/>
  <c r="O619" i="2" s="1"/>
  <c r="O623" i="2" s="1"/>
  <c r="O627" i="2" s="1"/>
  <c r="O631" i="2" s="1"/>
  <c r="O634" i="2" s="1"/>
  <c r="O638" i="2" s="1"/>
  <c r="O642" i="2" s="1"/>
  <c r="O645" i="2" s="1"/>
  <c r="O648" i="2" s="1"/>
  <c r="O652" i="2" s="1"/>
  <c r="O656" i="2" s="1"/>
  <c r="O660" i="2" s="1"/>
  <c r="O664" i="2" s="1"/>
  <c r="O667" i="2" s="1"/>
  <c r="O671" i="2" s="1"/>
  <c r="O675" i="2" s="1"/>
  <c r="O678" i="2" s="1"/>
  <c r="O682" i="2" s="1"/>
  <c r="O686" i="2" s="1"/>
  <c r="O692" i="2" s="1"/>
  <c r="O696" i="2" s="1"/>
  <c r="O699" i="2" s="1"/>
  <c r="O703" i="2" s="1"/>
  <c r="O707" i="2" s="1"/>
  <c r="O711" i="2" s="1"/>
  <c r="O714" i="2" s="1"/>
  <c r="O717" i="2" s="1"/>
  <c r="O722" i="2" s="1"/>
  <c r="O726" i="2" s="1"/>
  <c r="O729" i="2" s="1"/>
  <c r="O732" i="2" s="1"/>
  <c r="O735" i="2" s="1"/>
  <c r="O739" i="2" s="1"/>
  <c r="O743" i="2" s="1"/>
  <c r="O746" i="2" s="1"/>
  <c r="O750" i="2" s="1"/>
  <c r="O754" i="2" s="1"/>
  <c r="O757" i="2" s="1"/>
  <c r="O761" i="2" s="1"/>
  <c r="O764" i="2" s="1"/>
  <c r="O767" i="2" s="1"/>
  <c r="O770" i="2" s="1"/>
  <c r="O773" i="2" s="1"/>
  <c r="O776" i="2" s="1"/>
  <c r="O779" i="2" s="1"/>
  <c r="O782" i="2" s="1"/>
  <c r="O786" i="2" s="1"/>
  <c r="O790" i="2" s="1"/>
  <c r="O794" i="2" s="1"/>
  <c r="O798" i="2" s="1"/>
  <c r="O801" i="2" s="1"/>
  <c r="O805" i="2" s="1"/>
  <c r="O809" i="2" s="1"/>
  <c r="O813" i="2" s="1"/>
  <c r="O817" i="2" s="1"/>
  <c r="O820" i="2" s="1"/>
  <c r="O824" i="2" s="1"/>
  <c r="O828" i="2" s="1"/>
  <c r="O832" i="2" s="1"/>
  <c r="O836" i="2" s="1"/>
  <c r="O839" i="2" s="1"/>
  <c r="O845" i="2" s="1"/>
  <c r="O851" i="2" s="1"/>
  <c r="O855" i="2" s="1"/>
  <c r="O859" i="2" s="1"/>
  <c r="O862" i="2" s="1"/>
  <c r="O868" i="2" s="1"/>
  <c r="O871" i="2" s="1"/>
  <c r="O874" i="2" s="1"/>
  <c r="O877" i="2" s="1"/>
  <c r="O880" i="2" s="1"/>
  <c r="O883" i="2" s="1"/>
  <c r="O886" i="2" s="1"/>
  <c r="O889" i="2" s="1"/>
  <c r="O893" i="2" s="1"/>
  <c r="O897" i="2" s="1"/>
  <c r="O901" i="2" s="1"/>
  <c r="O905" i="2" s="1"/>
  <c r="O909" i="2" s="1"/>
  <c r="O912" i="2" s="1"/>
  <c r="O916" i="2" s="1"/>
  <c r="O920" i="2" s="1"/>
  <c r="O924" i="2" s="1"/>
  <c r="O928" i="2" s="1"/>
  <c r="O932" i="2" s="1"/>
  <c r="O935" i="2" s="1"/>
  <c r="O941" i="2" s="1"/>
  <c r="O945" i="2" s="1"/>
  <c r="O950" i="2" s="1"/>
  <c r="O955" i="2" s="1"/>
  <c r="O959" i="2" s="1"/>
  <c r="O963" i="2" s="1"/>
  <c r="O969" i="2" s="1"/>
  <c r="O975" i="2" s="1"/>
  <c r="O978" i="2" s="1"/>
  <c r="O984" i="2" s="1"/>
  <c r="O990" i="2" s="1"/>
  <c r="O994" i="2" s="1"/>
  <c r="O998" i="2" s="1"/>
  <c r="O1002" i="2" s="1"/>
  <c r="O1006" i="2" s="1"/>
  <c r="O1013" i="2" s="1"/>
  <c r="O1020" i="2" s="1"/>
  <c r="O1024" i="2" s="1"/>
  <c r="O1027" i="2" s="1"/>
  <c r="O1031" i="2" s="1"/>
  <c r="O1035" i="2" s="1"/>
  <c r="O1038" i="2" s="1"/>
  <c r="O1042" i="2" s="1"/>
  <c r="O1046" i="2" s="1"/>
  <c r="O1050" i="2" s="1"/>
  <c r="O1054" i="2" s="1"/>
  <c r="O1058" i="2" s="1"/>
  <c r="O1062" i="2" s="1"/>
  <c r="O1068" i="2" s="1"/>
  <c r="O1074" i="2" s="1"/>
  <c r="O1077" i="2" s="1"/>
  <c r="O1080" i="2" s="1"/>
  <c r="O1083" i="2" s="1"/>
  <c r="O1086" i="2" s="1"/>
  <c r="O1089" i="2" s="1"/>
  <c r="O1092" i="2" s="1"/>
  <c r="O1095" i="2" s="1"/>
  <c r="O1099" i="2" s="1"/>
  <c r="O1103" i="2" s="1"/>
  <c r="O1106" i="2" s="1"/>
  <c r="O1109" i="2" s="1"/>
  <c r="O1113" i="2" s="1"/>
  <c r="O1117" i="2" s="1"/>
  <c r="O1120" i="2" s="1"/>
  <c r="O1123" i="2" s="1"/>
  <c r="O1127" i="2" s="1"/>
  <c r="O1131" i="2" s="1"/>
  <c r="O1135" i="2" s="1"/>
  <c r="O1139" i="2" s="1"/>
  <c r="O1143" i="2" s="1"/>
  <c r="O1148" i="2" s="1"/>
  <c r="O1153" i="2" s="1"/>
  <c r="O1157" i="2" s="1"/>
  <c r="O1160" i="2" s="1"/>
  <c r="O1165" i="2" s="1"/>
  <c r="O1170" i="2" s="1"/>
  <c r="O1173" i="2" s="1"/>
  <c r="O1176" i="2" s="1"/>
  <c r="O1179" i="2" s="1"/>
  <c r="O1182" i="2" s="1"/>
  <c r="O1185" i="2" s="1"/>
  <c r="O1189" i="2" s="1"/>
  <c r="O1193" i="2" s="1"/>
  <c r="O1196" i="2" s="1"/>
  <c r="O1200" i="2" s="1"/>
  <c r="O1204" i="2" s="1"/>
  <c r="O1208" i="2" s="1"/>
  <c r="O1212" i="2" s="1"/>
  <c r="O1215" i="2" s="1"/>
  <c r="O1218" i="2" s="1"/>
  <c r="O1224" i="2" s="1"/>
  <c r="O1227" i="2" s="1"/>
  <c r="O1230" i="2" s="1"/>
  <c r="O1234" i="2" s="1"/>
  <c r="O1238" i="2" s="1"/>
  <c r="O1241" i="2" s="1"/>
  <c r="O1244" i="2" s="1"/>
  <c r="O1247" i="2" s="1"/>
  <c r="O1251" i="2" s="1"/>
  <c r="O1254" i="2" s="1"/>
  <c r="O1261" i="2" s="1"/>
  <c r="O1268" i="2" s="1"/>
  <c r="O1272" i="2" s="1"/>
  <c r="O1276" i="2" s="1"/>
  <c r="O1279" i="2" s="1"/>
  <c r="O1285" i="2" s="1"/>
  <c r="O1293" i="2" s="1"/>
  <c r="O1299" i="2" s="1"/>
  <c r="O1308" i="2" s="1"/>
  <c r="O1311" i="2" s="1"/>
  <c r="O1317" i="2" s="1"/>
  <c r="O1323" i="2" s="1"/>
  <c r="O1327" i="2" s="1"/>
  <c r="O1334" i="2" s="1"/>
  <c r="O1337" i="2" s="1"/>
  <c r="O1341" i="2" s="1"/>
  <c r="O1345" i="2" s="1"/>
  <c r="O1349" i="2" s="1"/>
  <c r="O1353" i="2" s="1"/>
  <c r="O1359" i="2" s="1"/>
  <c r="O1365" i="2" s="1"/>
  <c r="O1368" i="2" s="1"/>
  <c r="O1372" i="2" s="1"/>
  <c r="O1375" i="2" s="1"/>
  <c r="O1378" i="2" s="1"/>
  <c r="O1381" i="2" s="1"/>
  <c r="O1388" i="2" s="1"/>
  <c r="O1391" i="2" s="1"/>
  <c r="O1395" i="2" s="1"/>
  <c r="O1398" i="2" s="1"/>
  <c r="O1402" i="2" s="1"/>
  <c r="O1406" i="2" s="1"/>
  <c r="O1409" i="2" s="1"/>
  <c r="O1412" i="2" s="1"/>
  <c r="O1416" i="2" s="1"/>
  <c r="O1419" i="2" s="1"/>
  <c r="O1423" i="2" s="1"/>
  <c r="O1427" i="2" s="1"/>
  <c r="O1433" i="2" s="1"/>
  <c r="O1439" i="2" s="1"/>
  <c r="O1444" i="2" s="1"/>
  <c r="O1454" i="2" s="1"/>
  <c r="O1462" i="2" s="1"/>
  <c r="O1466" i="2" s="1"/>
  <c r="O1470" i="2" s="1"/>
  <c r="O1473" i="2" s="1"/>
  <c r="O1477" i="2" s="1"/>
  <c r="O1481" i="2" s="1"/>
  <c r="O1484" i="2" s="1"/>
  <c r="O1489" i="2" s="1"/>
  <c r="O1496" i="2" s="1"/>
  <c r="O1499" i="2" s="1"/>
  <c r="O1502" i="2" s="1"/>
  <c r="O1508" i="2" s="1"/>
  <c r="O1512" i="2" s="1"/>
  <c r="O1515" i="2" s="1"/>
  <c r="O1521" i="2" s="1"/>
  <c r="O1525" i="2" s="1"/>
  <c r="O1529" i="2" s="1"/>
  <c r="O1532" i="2" s="1"/>
  <c r="O1536" i="2" s="1"/>
  <c r="O1540" i="2" s="1"/>
  <c r="O1543" i="2" s="1"/>
  <c r="O1546" i="2" s="1"/>
  <c r="O1550" i="2" s="1"/>
  <c r="O1554" i="2" s="1"/>
  <c r="O1558" i="2" s="1"/>
  <c r="O1564" i="2" s="1"/>
  <c r="O1570" i="2" s="1"/>
  <c r="O1574" i="2" s="1"/>
  <c r="O1578" i="2" s="1"/>
  <c r="O1581" i="2" s="1"/>
  <c r="O1587" i="2" s="1"/>
  <c r="O1591" i="2" s="1"/>
  <c r="O1599" i="2" s="1"/>
  <c r="O1604" i="2" s="1"/>
  <c r="O1608" i="2" s="1"/>
  <c r="O1612" i="2" s="1"/>
  <c r="O1615" i="2" s="1"/>
  <c r="O1619" i="2" s="1"/>
  <c r="O1623" i="2" s="1"/>
  <c r="O1629" i="2" s="1"/>
  <c r="O1635" i="2" s="1"/>
  <c r="O1638" i="2" s="1"/>
  <c r="O1642" i="2" s="1"/>
  <c r="O1645" i="2" s="1"/>
  <c r="O1648" i="2" s="1"/>
  <c r="O1651" i="2" s="1"/>
  <c r="O1654" i="2" s="1"/>
  <c r="O1658" i="2" s="1"/>
  <c r="O1662" i="2" s="1"/>
  <c r="O1671" i="2" s="1"/>
  <c r="O1675" i="2" s="1"/>
  <c r="O1682" i="2" s="1"/>
  <c r="O1686" i="2" s="1"/>
  <c r="O1692" i="2" s="1"/>
  <c r="O1697" i="2" s="1"/>
  <c r="O1700" i="2" s="1"/>
  <c r="O1704" i="2" s="1"/>
  <c r="O1707" i="2" s="1"/>
  <c r="O1718" i="2" s="1"/>
  <c r="O1722" i="2" s="1"/>
  <c r="O1726" i="2" s="1"/>
  <c r="O1729" i="2" s="1"/>
  <c r="O1733" i="2" s="1"/>
  <c r="O1737" i="2" s="1"/>
  <c r="O1741" i="2" s="1"/>
  <c r="O1745" i="2" s="1"/>
  <c r="O1748" i="2" s="1"/>
  <c r="O1752" i="2" s="1"/>
  <c r="O1756" i="2" s="1"/>
  <c r="O1760" i="2" s="1"/>
  <c r="O1764" i="2" s="1"/>
  <c r="O1768" i="2" s="1"/>
  <c r="O1771" i="2" s="1"/>
  <c r="O1775" i="2" s="1"/>
  <c r="O1779" i="2" s="1"/>
  <c r="O1782" i="2" s="1"/>
  <c r="O1786" i="2" s="1"/>
  <c r="O1790" i="2" s="1"/>
  <c r="O1794" i="2" s="1"/>
  <c r="O1797" i="2" s="1"/>
  <c r="O1803" i="2" s="1"/>
  <c r="O1807" i="2" s="1"/>
  <c r="O1811" i="2" s="1"/>
  <c r="O1815" i="2" s="1"/>
  <c r="O1818" i="2" s="1"/>
  <c r="O1822" i="2" s="1"/>
  <c r="O1826" i="2" s="1"/>
  <c r="O1829" i="2" s="1"/>
  <c r="O1833" i="2" s="1"/>
  <c r="O1837" i="2" s="1"/>
  <c r="O1840" i="2" s="1"/>
  <c r="O1844" i="2" s="1"/>
  <c r="O1847" i="2" s="1"/>
  <c r="O1851" i="2" s="1"/>
  <c r="O1855" i="2" s="1"/>
  <c r="O1858" i="2" s="1"/>
  <c r="O1861" i="2" s="1"/>
  <c r="O1865" i="2" s="1"/>
  <c r="O1868" i="2" s="1"/>
  <c r="O1871" i="2" s="1"/>
  <c r="O1874" i="2" s="1"/>
  <c r="O1880" i="2" s="1"/>
  <c r="O1885" i="2" s="1"/>
  <c r="O1888" i="2" s="1"/>
  <c r="O1895" i="2" s="1"/>
  <c r="O1900" i="2" s="1"/>
  <c r="O1904" i="2" s="1"/>
  <c r="O1907" i="2" s="1"/>
  <c r="O1911" i="2" s="1"/>
  <c r="O1915" i="2" s="1"/>
  <c r="O1919" i="2" s="1"/>
  <c r="O1923" i="2" s="1"/>
  <c r="O1926" i="2" s="1"/>
  <c r="O1932" i="2" s="1"/>
  <c r="O1938" i="2" s="1"/>
  <c r="O1941" i="2" s="1"/>
  <c r="O1945" i="2" s="1"/>
  <c r="O1949" i="2" s="1"/>
  <c r="O1953" i="2" s="1"/>
  <c r="O1957" i="2" s="1"/>
  <c r="O1960" i="2" s="1"/>
  <c r="O1964" i="2" s="1"/>
  <c r="O1968" i="2" s="1"/>
  <c r="O1972" i="2" s="1"/>
  <c r="O1976" i="2" s="1"/>
  <c r="O1979" i="2" s="1"/>
  <c r="O1982" i="2" s="1"/>
  <c r="O1986" i="2" s="1"/>
  <c r="O1989" i="2" s="1"/>
  <c r="O1993" i="2" s="1"/>
  <c r="O1997" i="2" s="1"/>
  <c r="O2001" i="2" s="1"/>
  <c r="O2005" i="2" s="1"/>
  <c r="O2008" i="2" s="1"/>
  <c r="O2012" i="2" s="1"/>
  <c r="O2016" i="2" s="1"/>
  <c r="O2019" i="2" s="1"/>
  <c r="L16" i="2"/>
  <c r="K16" i="2"/>
  <c r="J16" i="2"/>
  <c r="I16" i="2"/>
  <c r="H16" i="2"/>
  <c r="G16" i="2"/>
  <c r="O12" i="2"/>
  <c r="L12" i="2"/>
  <c r="K12" i="2"/>
  <c r="J12" i="2"/>
  <c r="I12" i="2"/>
  <c r="H12" i="2"/>
  <c r="G12" i="2"/>
  <c r="L8" i="2"/>
  <c r="K8" i="2"/>
  <c r="J8" i="2"/>
  <c r="I8" i="2"/>
  <c r="H8" i="2"/>
  <c r="G8" i="2"/>
  <c r="L2237" i="1"/>
  <c r="K2237" i="1"/>
  <c r="J2237" i="1"/>
  <c r="I2237" i="1"/>
  <c r="H2237" i="1"/>
  <c r="G2237" i="1"/>
  <c r="O2022" i="2" l="1"/>
  <c r="O2025" i="2"/>
  <c r="O2029" i="2" s="1"/>
  <c r="O2033" i="2" s="1"/>
  <c r="O2037" i="2" s="1"/>
  <c r="O2041" i="2" s="1"/>
  <c r="O2044" i="2" s="1"/>
  <c r="O2048" i="2" s="1"/>
  <c r="O2052" i="2" s="1"/>
  <c r="O2059" i="2" s="1"/>
  <c r="O2065" i="2" s="1"/>
  <c r="O2068" i="2" s="1"/>
  <c r="O2071" i="2" s="1"/>
  <c r="O2074" i="2" s="1"/>
  <c r="O2078" i="2" s="1"/>
  <c r="O2081" i="2" s="1"/>
  <c r="O2085" i="2" s="1"/>
  <c r="O2089" i="2" s="1"/>
  <c r="O2092" i="2" s="1"/>
  <c r="O2096" i="2" s="1"/>
  <c r="O2099" i="2" s="1"/>
  <c r="O2102" i="2" s="1"/>
  <c r="O2105" i="2" s="1"/>
  <c r="O2112" i="2" s="1"/>
  <c r="O2115" i="2" s="1"/>
  <c r="O2119" i="2" s="1"/>
  <c r="O2123" i="2" s="1"/>
  <c r="O2127" i="2" s="1"/>
  <c r="O2133" i="2" s="1"/>
  <c r="O2137" i="2" s="1"/>
  <c r="O2141" i="2" s="1"/>
  <c r="O2144" i="2" s="1"/>
  <c r="O2148" i="2" s="1"/>
  <c r="O2154" i="2" s="1"/>
  <c r="O2159" i="2" s="1"/>
  <c r="O2162" i="2" s="1"/>
  <c r="O2165" i="2" s="1"/>
  <c r="O2169" i="2" s="1"/>
  <c r="O2173" i="2" s="1"/>
  <c r="O2176" i="2" s="1"/>
  <c r="O2180" i="2" s="1"/>
  <c r="O2184" i="2" s="1"/>
  <c r="O2189" i="2" s="1"/>
  <c r="O2192" i="2" s="1"/>
  <c r="O2199" i="2" s="1"/>
  <c r="O2206" i="2" s="1"/>
  <c r="O2213" i="2" s="1"/>
  <c r="O2218" i="2" s="1"/>
  <c r="O2221" i="2" s="1"/>
  <c r="O2225" i="2" s="1"/>
  <c r="O2229" i="2" s="1"/>
  <c r="O2233" i="2" s="1"/>
  <c r="O2236" i="2" s="1"/>
  <c r="O2240" i="2" s="1"/>
  <c r="O2244" i="2" s="1"/>
  <c r="O2247" i="2" s="1"/>
  <c r="O2250" i="2" s="1"/>
  <c r="O2253" i="2" s="1"/>
  <c r="O2256" i="2" s="1"/>
  <c r="O2259" i="2" s="1"/>
  <c r="O2262" i="2" s="1"/>
  <c r="O2268" i="2" s="1"/>
  <c r="O2271" i="2" s="1"/>
  <c r="O2277" i="2" s="1"/>
  <c r="O2280" i="2" s="1"/>
  <c r="O2283" i="2" s="1"/>
  <c r="O2286" i="2" s="1"/>
  <c r="O2291" i="2" s="1"/>
  <c r="O2295" i="2" s="1"/>
  <c r="O2299" i="2" s="1"/>
  <c r="O2302" i="2" s="1"/>
  <c r="O2305" i="2" s="1"/>
  <c r="O2308" i="2" s="1"/>
  <c r="O2312" i="2" s="1"/>
  <c r="O2316" i="2" s="1"/>
  <c r="O2319" i="2" s="1"/>
  <c r="O2322" i="2" s="1"/>
  <c r="O2325" i="2" s="1"/>
  <c r="O2328" i="2" s="1"/>
  <c r="O2331" i="2" s="1"/>
  <c r="O2334" i="2" s="1"/>
  <c r="O2337" i="2" s="1"/>
  <c r="O2340" i="2" s="1"/>
  <c r="O2343" i="2" s="1"/>
  <c r="O2347" i="2" s="1"/>
  <c r="O2351" i="2" s="1"/>
  <c r="O2355" i="2" s="1"/>
  <c r="O2366" i="2" s="1"/>
  <c r="O2388" i="2" s="1"/>
  <c r="O2410" i="2" s="1"/>
  <c r="O2413" i="2" s="1"/>
  <c r="O2417" i="2" s="1"/>
  <c r="O2421" i="2" s="1"/>
  <c r="O2424" i="2" s="1"/>
  <c r="O2428" i="2" s="1"/>
  <c r="O2432" i="2" s="1"/>
  <c r="O2436" i="2" s="1"/>
  <c r="O2440" i="2" s="1"/>
  <c r="O2443" i="2" s="1"/>
  <c r="O2447" i="2" s="1"/>
  <c r="O2451" i="2" s="1"/>
  <c r="O2455" i="2" s="1"/>
  <c r="O2459" i="2" s="1"/>
  <c r="O2463" i="2" s="1"/>
  <c r="O2467" i="2" s="1"/>
  <c r="O2471" i="2" s="1"/>
  <c r="O2475" i="2" s="1"/>
  <c r="O2479" i="2" s="1"/>
  <c r="O2483" i="2" s="1"/>
  <c r="O2487" i="2" s="1"/>
  <c r="O2491" i="2" s="1"/>
  <c r="O2495" i="2" s="1"/>
  <c r="O2501" i="2" s="1"/>
  <c r="O2507" i="2" s="1"/>
  <c r="O2514" i="2" s="1"/>
  <c r="O2518" i="2" s="1"/>
  <c r="O2521" i="2" s="1"/>
  <c r="O2524" i="2" s="1"/>
  <c r="O2528" i="2" s="1"/>
  <c r="O2532" i="2" s="1"/>
  <c r="O2536" i="2" s="1"/>
  <c r="O2539" i="2" s="1"/>
  <c r="O2542" i="2" s="1"/>
  <c r="O2546" i="2" s="1"/>
  <c r="O2550" i="2" s="1"/>
  <c r="O2553" i="2" s="1"/>
  <c r="O2557" i="2" s="1"/>
  <c r="O2560" i="2" s="1"/>
  <c r="O2563" i="2" s="1"/>
  <c r="O2566" i="2" s="1"/>
  <c r="O2574" i="2" s="1"/>
  <c r="O2577" i="2" s="1"/>
  <c r="O2580" i="2" s="1"/>
  <c r="O2583" i="2" s="1"/>
  <c r="O2587" i="2" s="1"/>
  <c r="O2590" i="2" s="1"/>
  <c r="O2593" i="2" s="1"/>
  <c r="O2596" i="2" s="1"/>
  <c r="O2604" i="2" s="1"/>
  <c r="O2612" i="2" s="1"/>
  <c r="O2615" i="2" s="1"/>
  <c r="O2618" i="2" s="1"/>
  <c r="O2622" i="2" s="1"/>
  <c r="O2626" i="2" s="1"/>
  <c r="O2629" i="2" s="1"/>
  <c r="O2632" i="2" s="1"/>
  <c r="O2635" i="2" s="1"/>
  <c r="O2638" i="2" s="1"/>
  <c r="O2641" i="2" s="1"/>
  <c r="O2645" i="2" s="1"/>
  <c r="O2649" i="2" s="1"/>
  <c r="O2652" i="2" s="1"/>
  <c r="O2656" i="2" s="1"/>
  <c r="O2660" i="2" s="1"/>
  <c r="O2664" i="2" s="1"/>
  <c r="O2668" i="2" s="1"/>
  <c r="O2671" i="2" s="1"/>
  <c r="O2674" i="2" s="1"/>
  <c r="O2678" i="2" s="1"/>
  <c r="O2682" i="2" s="1"/>
  <c r="O2686" i="2" s="1"/>
  <c r="O2690" i="2" s="1"/>
  <c r="O2695" i="2" s="1"/>
  <c r="O2699" i="2" s="1"/>
  <c r="O2702" i="2" s="1"/>
  <c r="O2706" i="2" s="1"/>
  <c r="O2710" i="2" s="1"/>
  <c r="O2714" i="2" s="1"/>
  <c r="O2718" i="2" s="1"/>
  <c r="O2721" i="2" s="1"/>
  <c r="O2725" i="2" s="1"/>
  <c r="O2729" i="2" s="1"/>
  <c r="O2733" i="2" s="1"/>
  <c r="O2737" i="2" s="1"/>
  <c r="O2741" i="2" s="1"/>
  <c r="O2745" i="2" s="1"/>
  <c r="O2748" i="2" s="1"/>
  <c r="O2751" i="2" s="1"/>
  <c r="O2754" i="2" s="1"/>
  <c r="O2758" i="2" s="1"/>
  <c r="O2763" i="2" s="1"/>
  <c r="O2767" i="2" s="1"/>
  <c r="O2771" i="2" s="1"/>
  <c r="O2775" i="2" s="1"/>
  <c r="O2779" i="2" s="1"/>
  <c r="O2782" i="2" s="1"/>
  <c r="O2788" i="2" s="1"/>
  <c r="O2792" i="2" s="1"/>
  <c r="O2795" i="2" s="1"/>
  <c r="O2798" i="2" s="1"/>
  <c r="O2802" i="2" s="1"/>
  <c r="O2806" i="2" s="1"/>
  <c r="O2811" i="2" s="1"/>
  <c r="O2814" i="2" s="1"/>
  <c r="O2818" i="2" s="1"/>
  <c r="O2821" i="2" s="1"/>
  <c r="O2825" i="2" s="1"/>
  <c r="O2828" i="2" s="1"/>
  <c r="O2832" i="2" s="1"/>
  <c r="O2836" i="2" s="1"/>
  <c r="O2839" i="2" s="1"/>
  <c r="O2845" i="2" s="1"/>
  <c r="O2851" i="2" s="1"/>
  <c r="O2854" i="2" s="1"/>
  <c r="O2866" i="2" s="1"/>
  <c r="O2872" i="2" s="1"/>
  <c r="O2875" i="2" s="1"/>
  <c r="O2879" i="2" s="1"/>
  <c r="O2883" i="2" s="1"/>
  <c r="O2886" i="2" s="1"/>
  <c r="O2889" i="2" s="1"/>
  <c r="O2892" i="2" s="1"/>
  <c r="O2895" i="2" s="1"/>
  <c r="O2898" i="2" s="1"/>
  <c r="O2904" i="2" s="1"/>
  <c r="O2910" i="2" s="1"/>
  <c r="O2914" i="2" s="1"/>
  <c r="O2918" i="2" s="1"/>
  <c r="O2922" i="2" s="1"/>
  <c r="O2926" i="2" s="1"/>
  <c r="O2930" i="2" s="1"/>
  <c r="O2933" i="2" s="1"/>
  <c r="O2936" i="2" s="1"/>
  <c r="O2939" i="2" s="1"/>
  <c r="O2942" i="2" s="1"/>
  <c r="O2946" i="2" s="1"/>
  <c r="O2950" i="2" s="1"/>
  <c r="O2956" i="2" s="1"/>
  <c r="O2959" i="2" s="1"/>
  <c r="O2963" i="2" s="1"/>
  <c r="O2967" i="2" s="1"/>
  <c r="O2971" i="2" s="1"/>
  <c r="O2975" i="2" s="1"/>
  <c r="O2978" i="2" s="1"/>
  <c r="O2982" i="2" s="1"/>
  <c r="O2985" i="2" s="1"/>
  <c r="O2988" i="2" s="1"/>
  <c r="O2992" i="2" s="1"/>
  <c r="O2996" i="2" s="1"/>
  <c r="O3000" i="2" s="1"/>
  <c r="O3004" i="2" s="1"/>
  <c r="O3008" i="2" s="1"/>
  <c r="O3015" i="2" s="1"/>
  <c r="O3019" i="2" s="1"/>
  <c r="O3025" i="2" s="1"/>
  <c r="O3031" i="2" s="1"/>
  <c r="O3034" i="2" s="1"/>
  <c r="O3040" i="2" s="1"/>
  <c r="O3046" i="2" s="1"/>
  <c r="O3051" i="2" s="1"/>
  <c r="O3055" i="2" s="1"/>
  <c r="O3059" i="2" s="1"/>
  <c r="O3062" i="2" s="1"/>
  <c r="O3066" i="2" s="1"/>
  <c r="O3070" i="2" s="1"/>
  <c r="O3077" i="2" s="1"/>
  <c r="O3080" i="2" s="1"/>
  <c r="O3085" i="2" s="1"/>
  <c r="O3098" i="2" s="1"/>
  <c r="O3111" i="2" s="1"/>
  <c r="O3114" i="2" s="1"/>
  <c r="O3120" i="2" s="1"/>
  <c r="O3124" i="2" s="1"/>
  <c r="O3127" i="2" s="1"/>
  <c r="O3131" i="2" s="1"/>
  <c r="O3134" i="2" s="1"/>
  <c r="O3137" i="2" s="1"/>
  <c r="O3140" i="2" s="1"/>
  <c r="O3146" i="2" s="1"/>
  <c r="O3152" i="2" s="1"/>
  <c r="O3155" i="2" s="1"/>
  <c r="O3158" i="2" s="1"/>
  <c r="O3161" i="2" s="1"/>
  <c r="O3165" i="2" s="1"/>
  <c r="O3169" i="2" s="1"/>
  <c r="O3172" i="2" s="1"/>
  <c r="O3176" i="2" s="1"/>
  <c r="O3180" i="2" s="1"/>
  <c r="O3183" i="2" s="1"/>
  <c r="O3189" i="2" s="1"/>
  <c r="O3194" i="2" s="1"/>
  <c r="O3197" i="2" s="1"/>
  <c r="O3201" i="2" s="1"/>
  <c r="O3211" i="2" s="1"/>
  <c r="O3214" i="2" s="1"/>
  <c r="O3217" i="2" s="1"/>
  <c r="O3220" i="2" s="1"/>
  <c r="O3223" i="2" s="1"/>
  <c r="O3233" i="2" s="1"/>
  <c r="O3236" i="2" s="1"/>
  <c r="O3239" i="2" s="1"/>
  <c r="O3242" i="2" s="1"/>
  <c r="O3245" i="2" s="1"/>
  <c r="O3248" i="2" s="1"/>
  <c r="O3252" i="2" s="1"/>
  <c r="O3255" i="2" s="1"/>
  <c r="O3259" i="2" s="1"/>
  <c r="O3263" i="2" s="1"/>
  <c r="O3267" i="2" s="1"/>
  <c r="O3270" i="2" s="1"/>
  <c r="O3274" i="2" s="1"/>
  <c r="O3278" i="2" s="1"/>
  <c r="O3283" i="2" s="1"/>
  <c r="O3288" i="2" s="1"/>
  <c r="O3291" i="2" s="1"/>
  <c r="O3294" i="2" s="1"/>
  <c r="O3302" i="2" s="1"/>
  <c r="O3306" i="2" s="1"/>
  <c r="O3310" i="2" s="1"/>
  <c r="O3314" i="2" s="1"/>
  <c r="O3320" i="2" s="1"/>
  <c r="O3326" i="2" s="1"/>
  <c r="O3329" i="2" s="1"/>
  <c r="O3333" i="2" s="1"/>
  <c r="O3336" i="2" s="1"/>
  <c r="O3339" i="2" s="1"/>
  <c r="O3342" i="2" s="1"/>
  <c r="O3345" i="2" s="1"/>
  <c r="O3349" i="2" s="1"/>
  <c r="O3352" i="2" s="1"/>
  <c r="O3355" i="2" s="1"/>
  <c r="O3358" i="2" s="1"/>
  <c r="O3361" i="2" s="1"/>
  <c r="O3364" i="2" s="1"/>
  <c r="O3372" i="2" s="1"/>
  <c r="O3376" i="2" s="1"/>
  <c r="O3382" i="2" s="1"/>
  <c r="O3386" i="2" s="1"/>
  <c r="O3390" i="2" s="1"/>
  <c r="O3398" i="2" s="1"/>
  <c r="O3404" i="2" s="1"/>
  <c r="O3410" i="2" s="1"/>
  <c r="O3413" i="2" s="1"/>
  <c r="O3420" i="2" s="1"/>
  <c r="O3424" i="2" s="1"/>
  <c r="O3428" i="2" s="1"/>
  <c r="O3431" i="2" s="1"/>
  <c r="O3434" i="2" s="1"/>
  <c r="O3437" i="2" s="1"/>
  <c r="O3440" i="2" s="1"/>
  <c r="O3443" i="2" s="1"/>
  <c r="O3447" i="2" s="1"/>
  <c r="O3451" i="2" s="1"/>
  <c r="O3455" i="2" s="1"/>
  <c r="O3461" i="2" s="1"/>
  <c r="O3465" i="2" s="1"/>
  <c r="O3468" i="2" s="1"/>
  <c r="O3474" i="2" s="1"/>
  <c r="O3480" i="2" s="1"/>
  <c r="O3484" i="2" s="1"/>
  <c r="O3488" i="2" s="1"/>
  <c r="O3492" i="2" s="1"/>
  <c r="O3496" i="2" s="1"/>
  <c r="O3500" i="2" s="1"/>
  <c r="O3504" i="2" s="1"/>
  <c r="O3510" i="2" s="1"/>
  <c r="O3516" i="2" s="1"/>
  <c r="O3520" i="2" s="1"/>
  <c r="O3526" i="2" s="1"/>
  <c r="O3532" i="2" s="1"/>
  <c r="O3536" i="2" s="1"/>
  <c r="O3540" i="2" s="1"/>
  <c r="O3543" i="2" s="1"/>
  <c r="O3549" i="2" s="1"/>
  <c r="O3555" i="2" s="1"/>
  <c r="O3559" i="2" s="1"/>
  <c r="O3563" i="2" s="1"/>
  <c r="O3579" i="2" s="1"/>
  <c r="O3591" i="2" s="1"/>
  <c r="O3619" i="2" s="1"/>
  <c r="O3643" i="2" s="1"/>
  <c r="O3647" i="2" s="1"/>
  <c r="O3650" i="2" s="1"/>
  <c r="O3655" i="2" s="1"/>
  <c r="O3662" i="2" s="1"/>
  <c r="O3665" i="2" s="1"/>
  <c r="O3677" i="2" s="1"/>
  <c r="O3689" i="2" s="1"/>
  <c r="O3692" i="2" s="1"/>
  <c r="O3696" i="2" s="1"/>
  <c r="O3700" i="2" s="1"/>
  <c r="O3703" i="2" s="1"/>
  <c r="O3706" i="2" s="1"/>
  <c r="O3709" i="2" s="1"/>
  <c r="O3713" i="2" s="1"/>
  <c r="O3717" i="2" s="1"/>
  <c r="O3721" i="2" s="1"/>
  <c r="O3725" i="2" s="1"/>
  <c r="O3729" i="2" s="1"/>
  <c r="O3733" i="2" s="1"/>
  <c r="O3739" i="2" s="1"/>
  <c r="O3743" i="2" s="1"/>
  <c r="O3746" i="2" s="1"/>
  <c r="O3749" i="2" s="1"/>
  <c r="O3752" i="2" s="1"/>
  <c r="O3755" i="2" s="1"/>
  <c r="O3758" i="2" s="1"/>
  <c r="O3761" i="2" s="1"/>
  <c r="O3765" i="2" s="1"/>
  <c r="O3769" i="2" s="1"/>
  <c r="O3772" i="2" s="1"/>
  <c r="O3776" i="2" s="1"/>
  <c r="O3779" i="2" s="1"/>
  <c r="O3783" i="2" s="1"/>
  <c r="O3786" i="2" s="1"/>
  <c r="O3790" i="2" s="1"/>
  <c r="O3793" i="2" s="1"/>
  <c r="O3797" i="2" s="1"/>
  <c r="O3801" i="2" s="1"/>
  <c r="O3804" i="2" s="1"/>
  <c r="O3808" i="2" s="1"/>
  <c r="O3812" i="2" s="1"/>
  <c r="O3815" i="2" s="1"/>
  <c r="O3819" i="2" s="1"/>
  <c r="O3823" i="2" s="1"/>
  <c r="O3826" i="2" s="1"/>
  <c r="O3829" i="2" s="1"/>
  <c r="O3832" i="2" s="1"/>
  <c r="O3836" i="2" s="1"/>
  <c r="O3839" i="2" s="1"/>
  <c r="O3842" i="2" s="1"/>
  <c r="O3845" i="2" s="1"/>
  <c r="O3849" i="2" s="1"/>
  <c r="O3853" i="2" s="1"/>
  <c r="O3856" i="2" s="1"/>
  <c r="O3860" i="2" s="1"/>
  <c r="O3864" i="2" s="1"/>
  <c r="O3868" i="2" s="1"/>
  <c r="O3877" i="2" s="1"/>
  <c r="O3881" i="2" s="1"/>
  <c r="O3885" i="2" s="1"/>
  <c r="O3888" i="2" s="1"/>
  <c r="O3894" i="2" s="1"/>
  <c r="O3898" i="2" s="1"/>
  <c r="O3901" i="2" s="1"/>
  <c r="O3904" i="2" s="1"/>
  <c r="O3907" i="2" s="1"/>
  <c r="O3910" i="2" s="1"/>
  <c r="O3913" i="2" s="1"/>
  <c r="O3917" i="2" s="1"/>
  <c r="O3926" i="2" s="1"/>
  <c r="O3932" i="2" s="1"/>
  <c r="O3935" i="2" s="1"/>
  <c r="O3939" i="2" s="1"/>
  <c r="O3942" i="2" s="1"/>
  <c r="O3945" i="2" s="1"/>
  <c r="O3952" i="2" s="1"/>
  <c r="O3959" i="2" s="1"/>
  <c r="O3963" i="2" s="1"/>
  <c r="O3971" i="2" s="1"/>
  <c r="O3977" i="2" s="1"/>
  <c r="O3980" i="2" s="1"/>
  <c r="O3986" i="2" s="1"/>
  <c r="O3992" i="2" s="1"/>
  <c r="O3996" i="2" s="1"/>
  <c r="O3999" i="2" s="1"/>
  <c r="O4003" i="2" s="1"/>
  <c r="O4007" i="2" s="1"/>
  <c r="O4011" i="2" s="1"/>
  <c r="O4015" i="2" s="1"/>
  <c r="O4019" i="2" s="1"/>
  <c r="O4023" i="2" s="1"/>
  <c r="O4027" i="2" s="1"/>
  <c r="O4031" i="2" s="1"/>
  <c r="O4034" i="2" s="1"/>
  <c r="O4038" i="2" s="1"/>
  <c r="O4042" i="2" s="1"/>
  <c r="O4045" i="2" s="1"/>
  <c r="O4049" i="2" s="1"/>
  <c r="O4053" i="2" s="1"/>
  <c r="O4057" i="2" s="1"/>
  <c r="O4061" i="2" s="1"/>
  <c r="O4064" i="2" s="1"/>
  <c r="O4072" i="2" s="1"/>
  <c r="O4084" i="2" s="1"/>
  <c r="O4104" i="2" s="1"/>
  <c r="O4118" i="2" s="1"/>
  <c r="O4122" i="2" s="1"/>
  <c r="O4129" i="2" s="1"/>
  <c r="O4134" i="2" s="1"/>
  <c r="O4138" i="2" s="1"/>
  <c r="O4142" i="2" s="1"/>
  <c r="O4149" i="2" s="1"/>
  <c r="O4156" i="2" s="1"/>
  <c r="O4160" i="2" s="1"/>
  <c r="O4164" i="2" s="1"/>
  <c r="O4167" i="2" s="1"/>
  <c r="O4173" i="2" s="1"/>
  <c r="O4179" i="2" s="1"/>
  <c r="O4183" i="2" s="1"/>
  <c r="O4186" i="2" s="1"/>
  <c r="O4190" i="2" s="1"/>
  <c r="O4194" i="2" s="1"/>
  <c r="O4197" i="2" s="1"/>
  <c r="O4201" i="2" s="1"/>
  <c r="O4205" i="2" s="1"/>
  <c r="O4209" i="2" s="1"/>
  <c r="O4213" i="2" s="1"/>
  <c r="O4217" i="2" s="1"/>
  <c r="O4221" i="2" s="1"/>
  <c r="O4225" i="2" s="1"/>
  <c r="O4234" i="2" s="1"/>
  <c r="O4237" i="2" s="1"/>
  <c r="O4241" i="2" s="1"/>
  <c r="O4244" i="2" s="1"/>
  <c r="O4248" i="2" s="1"/>
  <c r="O4252" i="2" s="1"/>
  <c r="O4255" i="2" s="1"/>
  <c r="O4259" i="2" s="1"/>
  <c r="O4263" i="2" s="1"/>
  <c r="O4267" i="2" s="1"/>
  <c r="O4271" i="2" s="1"/>
  <c r="O4275" i="2" s="1"/>
  <c r="O4281" i="2" s="1"/>
  <c r="O4287" i="2" s="1"/>
  <c r="O4291" i="2" s="1"/>
  <c r="O4297" i="2" s="1"/>
  <c r="O4300" i="2" s="1"/>
  <c r="O4304" i="2" s="1"/>
  <c r="O4307" i="2" s="1"/>
  <c r="O4310" i="2" s="1"/>
  <c r="O4315" i="2" s="1"/>
  <c r="O4320" i="2" s="1"/>
  <c r="O4325" i="2" s="1"/>
  <c r="O4330" i="2" s="1"/>
  <c r="O4338" i="2" s="1"/>
  <c r="O4346" i="2" s="1"/>
  <c r="O4350" i="2" s="1"/>
  <c r="O4354" i="2" s="1"/>
  <c r="O4357" i="2" s="1"/>
  <c r="O4363" i="2" s="1"/>
  <c r="O4367" i="2" s="1"/>
  <c r="O4370" i="2" s="1"/>
  <c r="O4373" i="2" s="1"/>
  <c r="O4377" i="2" s="1"/>
  <c r="O4380" i="2" s="1"/>
  <c r="O4384" i="2" s="1"/>
  <c r="O4387" i="2" s="1"/>
</calcChain>
</file>

<file path=xl/sharedStrings.xml><?xml version="1.0" encoding="utf-8"?>
<sst xmlns="http://schemas.openxmlformats.org/spreadsheetml/2006/main" count="25471" uniqueCount="672">
  <si>
    <t>MP Name: CENTRAL NEGROS POWER RELIABILITY, INC.</t>
  </si>
  <si>
    <t>MP ID No.: CENPRI</t>
  </si>
  <si>
    <t>Billing_x000D_
Remarks</t>
  </si>
  <si>
    <t>Particulars</t>
  </si>
  <si>
    <t>Received From (Buyer STL ID)</t>
  </si>
  <si>
    <t>Statement No (Seller)</t>
  </si>
  <si>
    <t>Vatable Sales</t>
  </si>
  <si>
    <t>Zero Rated Sales</t>
  </si>
  <si>
    <t>Zero Rated Ecozone</t>
  </si>
  <si>
    <t>VAT on Sales</t>
  </si>
  <si>
    <t>Withholding Tax</t>
  </si>
  <si>
    <t>Total</t>
  </si>
  <si>
    <t>180 - F7</t>
  </si>
  <si>
    <t>VAT - Cash</t>
  </si>
  <si>
    <t>1590EC</t>
  </si>
  <si>
    <t>1590 ENERGY CORPORATION</t>
  </si>
  <si>
    <t>TS-WAC-180F7-0000001</t>
  </si>
  <si>
    <t>ENERGY - Cash</t>
  </si>
  <si>
    <t>187 - F</t>
  </si>
  <si>
    <t>TS-WF-187F-0093</t>
  </si>
  <si>
    <t>188 - F</t>
  </si>
  <si>
    <t>TS-WF-188F-0030</t>
  </si>
  <si>
    <t>189 - F</t>
  </si>
  <si>
    <t>TS-WF-189F-0000089</t>
  </si>
  <si>
    <t>TS-WF-189F-0000090</t>
  </si>
  <si>
    <t>ACEPHRES</t>
  </si>
  <si>
    <t>AC ENERGY CORPORATION (FORMERLY AC ENERGY PHILIPPINES, INC.)</t>
  </si>
  <si>
    <t>ACERES</t>
  </si>
  <si>
    <t>AC ENERGY AND INFRASTRUCTURE CORPORATION (FORMERLY AC ENERGY, INC.)</t>
  </si>
  <si>
    <t>168 - F1</t>
  </si>
  <si>
    <t>TS-WAD-168F1-0000014</t>
  </si>
  <si>
    <t>ADVENTRES</t>
  </si>
  <si>
    <t>ADVENTENERGY, INC.</t>
  </si>
  <si>
    <t>186 - F7</t>
  </si>
  <si>
    <t>TS-WAC-186F7-0000001</t>
  </si>
  <si>
    <t>AEC</t>
  </si>
  <si>
    <t>ANGELES ELECTRIC CORPORATION</t>
  </si>
  <si>
    <t>164 - F1</t>
  </si>
  <si>
    <t>TS-WAD-164F1-0000023</t>
  </si>
  <si>
    <t>AESIRES</t>
  </si>
  <si>
    <t>ABOITIZ ENERGY SOLUTIONS, INC.</t>
  </si>
  <si>
    <t>AFAB</t>
  </si>
  <si>
    <t>AUTHORITY OF THE FREEPORT AREA OF BATAAN</t>
  </si>
  <si>
    <t>AHC</t>
  </si>
  <si>
    <t>ANGAT HYDROPOWER CORPORATION</t>
  </si>
  <si>
    <t>AKELCO</t>
  </si>
  <si>
    <t>AKLAN ELECTRIC COOPERATIVE, INC.</t>
  </si>
  <si>
    <t>ALECO</t>
  </si>
  <si>
    <t>ALBAY ELECTRIC COOPERATIVE, INC.</t>
  </si>
  <si>
    <t>DEFINT - Cash</t>
  </si>
  <si>
    <t>ANDA</t>
  </si>
  <si>
    <t>ANDA POWER CORPORATION</t>
  </si>
  <si>
    <t>ANDARES</t>
  </si>
  <si>
    <t>ANTECO</t>
  </si>
  <si>
    <t>ANTIQUE ELECTRIC COOPERATIVE, INC.</t>
  </si>
  <si>
    <t>APEC</t>
  </si>
  <si>
    <t>ASIA PACIFIC ENERGY CORPORATION</t>
  </si>
  <si>
    <t>APRI</t>
  </si>
  <si>
    <t>AP RENEWABLES INC.</t>
  </si>
  <si>
    <t>ASEAGAS</t>
  </si>
  <si>
    <t>ASEAGAS CORPORATION</t>
  </si>
  <si>
    <t>AWOC</t>
  </si>
  <si>
    <t>ALTERNERGY WIND ONE CORPORATION</t>
  </si>
  <si>
    <t>BATELEC1</t>
  </si>
  <si>
    <t>BATANGAS I ELECTRIC COOPERATIVE, INC.</t>
  </si>
  <si>
    <t>BATELEC2</t>
  </si>
  <si>
    <t>BATANGAS II ELECTRIC COOPERATIVE, INC.</t>
  </si>
  <si>
    <t>BEZ</t>
  </si>
  <si>
    <t>BALAMBAN ENERZONE CORPORATION</t>
  </si>
  <si>
    <t>BGI</t>
  </si>
  <si>
    <t>BAC-MAN GEOTHERMAL, INC.</t>
  </si>
  <si>
    <t>BGIRES</t>
  </si>
  <si>
    <t>BILECO</t>
  </si>
  <si>
    <t>BILIRAN ELECTRIC COOPERATIVE, INC.</t>
  </si>
  <si>
    <t>BISCOM</t>
  </si>
  <si>
    <t>BISCOM INC.</t>
  </si>
  <si>
    <t>BLCI</t>
  </si>
  <si>
    <t>BOHOL LIGHT COMPANY, INC.</t>
  </si>
  <si>
    <t>BOHECO1</t>
  </si>
  <si>
    <t>BOHOL I ELECTRIC COOPERATIVE, INC.</t>
  </si>
  <si>
    <t>BOHECO2</t>
  </si>
  <si>
    <t>BOHOL II ELECTRIC COOPERATIVE, INC.</t>
  </si>
  <si>
    <t>BPC</t>
  </si>
  <si>
    <t>BELGROVE POWER CORPORATION</t>
  </si>
  <si>
    <t>BSEI</t>
  </si>
  <si>
    <t>BATAAN SOLAR ENERGY, INC.</t>
  </si>
  <si>
    <t>BTLC2LRE</t>
  </si>
  <si>
    <t>BTN2020</t>
  </si>
  <si>
    <t>BATAAN 2020 POWER VENTURES INC.</t>
  </si>
  <si>
    <t>BULACNSE</t>
  </si>
  <si>
    <t>BULACAN SOLAR ENERGY CORP.</t>
  </si>
  <si>
    <t>CAB</t>
  </si>
  <si>
    <t>CENTRAL AZUCARERA DE BAIS, INC.</t>
  </si>
  <si>
    <t>CADPI</t>
  </si>
  <si>
    <t>CENTRAL AZUCARERA DON PEDRO, INC.</t>
  </si>
  <si>
    <t>CAGELCO1</t>
  </si>
  <si>
    <t>CAGAYAN I ELECTRIC COOPERATIVE, INC.</t>
  </si>
  <si>
    <t>CAGELCO2</t>
  </si>
  <si>
    <t>CAGAYAN II ELECTRIC COOPERATIVE, INC.</t>
  </si>
  <si>
    <t>CANORECO</t>
  </si>
  <si>
    <t>CAMARINES NORTE ELECTRIC COOPERATIVE, INC.</t>
  </si>
  <si>
    <t>CAPELCO</t>
  </si>
  <si>
    <t>CAPIZ ELECTRIC COOPERATIVE, INC.</t>
  </si>
  <si>
    <t>CASA</t>
  </si>
  <si>
    <t>CENTRAL AZUCARERA DE SAN ANTONIO</t>
  </si>
  <si>
    <t>CASURECO1</t>
  </si>
  <si>
    <t>CAMARINES SUR I ELECTRIC COOPERATIVE, INC.</t>
  </si>
  <si>
    <t>CASURECO2</t>
  </si>
  <si>
    <t>CAMARINES SUR II ELECTRIC COOPERATIVE, INC.</t>
  </si>
  <si>
    <t>CASURECO3</t>
  </si>
  <si>
    <t>CAMARINES SUR III ELECTRIC COOPERATIVE, INC.</t>
  </si>
  <si>
    <t>CASURECO4</t>
  </si>
  <si>
    <t>CAMARINES SUR IV ELECTRIC COOPERATIVE, INC.</t>
  </si>
  <si>
    <t>CBEC</t>
  </si>
  <si>
    <t>CAGAYAN BIOMASS ENERGY CORPORATION</t>
  </si>
  <si>
    <t>CEBECO1</t>
  </si>
  <si>
    <t>CEBU I ELECTRIC COOPERATIVE, INC.</t>
  </si>
  <si>
    <t>CEBECO2</t>
  </si>
  <si>
    <t>CEBU II ELECTRIC COOPERATIVE, INC.</t>
  </si>
  <si>
    <t>CEBECO3</t>
  </si>
  <si>
    <t>CEBU III ELECTRIC COOPERATIVE, INC.</t>
  </si>
  <si>
    <t>CEBUEDC</t>
  </si>
  <si>
    <t>CEBU ENERGY DEVELOPMENT CORPORATION</t>
  </si>
  <si>
    <t>CEC</t>
  </si>
  <si>
    <t>CLEANGREEN ENERGY CORPORATION</t>
  </si>
  <si>
    <t>CEDC</t>
  </si>
  <si>
    <t>CLARK ELECTRIC DISTRIBUTION CORPORATION</t>
  </si>
  <si>
    <t>CEDCLRE</t>
  </si>
  <si>
    <t>CLARK ELECTRIC DISTRIBUTION CORPORATION LOCAL RES</t>
  </si>
  <si>
    <t>CELCOR</t>
  </si>
  <si>
    <t>CABANATUAN ELECTRIC CORPORATION</t>
  </si>
  <si>
    <t>CENECO</t>
  </si>
  <si>
    <t>CENTRAL NEGROS ELECTRIC COOPERATIVE, INC.</t>
  </si>
  <si>
    <t>CENPRI</t>
  </si>
  <si>
    <t>CENTRAL NEGROS POWER RELIABILITY, INC.</t>
  </si>
  <si>
    <t>CESIRES</t>
  </si>
  <si>
    <t>CITICORE ENERGY SOLUTIONS, INC.</t>
  </si>
  <si>
    <t>CIP2</t>
  </si>
  <si>
    <t>CIP II POWER CORPORATION</t>
  </si>
  <si>
    <t>CORERES</t>
  </si>
  <si>
    <t>CORENERGY, INC.</t>
  </si>
  <si>
    <t>CPPC</t>
  </si>
  <si>
    <t>CEBU PRIVATE POWER CORPORATION</t>
  </si>
  <si>
    <t>DECORP</t>
  </si>
  <si>
    <t>DAGUPAN ELECTRIC CORPORATION</t>
  </si>
  <si>
    <t>DIRPOWRES</t>
  </si>
  <si>
    <t xml:space="preserve">DIRECTPOWER SERVICES, INC. </t>
  </si>
  <si>
    <t>DORELCO</t>
  </si>
  <si>
    <t>DON ORESTES ROMUALDEZ COOPERATIVE, INC.</t>
  </si>
  <si>
    <t>EAUC</t>
  </si>
  <si>
    <t>EAST ASIA UTILITIES CORPORATION</t>
  </si>
  <si>
    <t>EBWPC</t>
  </si>
  <si>
    <t>EDC BURGOS WIND POWER CORPORATION</t>
  </si>
  <si>
    <t>ECOPARK</t>
  </si>
  <si>
    <t xml:space="preserve">ECOPARK ENERGY OF VALENZUELA CORP. </t>
  </si>
  <si>
    <t>ECOPARK2</t>
  </si>
  <si>
    <t>ECOPARK ENERGY OF VALENZUELA CORP (ECOPARK2)</t>
  </si>
  <si>
    <t>EDC</t>
  </si>
  <si>
    <t>ENERGY DEVELOPMENT CORPORATION</t>
  </si>
  <si>
    <t>EDCSL2</t>
  </si>
  <si>
    <t>EEIRES</t>
  </si>
  <si>
    <t>EEI ENERGY SOLUTIONS CORPORATION</t>
  </si>
  <si>
    <t>ENFINITY</t>
  </si>
  <si>
    <t>ENFINITY PHILIPPINES RENEWABLE RESOURCES INC.</t>
  </si>
  <si>
    <t>EPMIRES</t>
  </si>
  <si>
    <t>ECOZONE POWER MANAGEMENT, INC.</t>
  </si>
  <si>
    <t>ESAMELCO</t>
  </si>
  <si>
    <t>EASTERN SAMAR ELECTRIC COOPERATIVE, INC.</t>
  </si>
  <si>
    <t>FCFMC</t>
  </si>
  <si>
    <t>FCF MINERALS CORPORATION</t>
  </si>
  <si>
    <t>FCRV</t>
  </si>
  <si>
    <t>FIRST CABANATUAN RENEWABLE VENTURES INC.</t>
  </si>
  <si>
    <t>FDCRESC</t>
  </si>
  <si>
    <t>FDC RETAIL ELECTRICITY SALES CORPORATION</t>
  </si>
  <si>
    <t>FFHC</t>
  </si>
  <si>
    <t>FIRST FARMERS HOLDING CORPORATION</t>
  </si>
  <si>
    <t>FGESRES</t>
  </si>
  <si>
    <t>FIRST GEN ENERGY SOLUTIONS, INC.</t>
  </si>
  <si>
    <t>FGHPC</t>
  </si>
  <si>
    <t>FIRST GEN HYDRO POWER CORPORATION</t>
  </si>
  <si>
    <t>FGHSNG</t>
  </si>
  <si>
    <t>FGPCSTRA</t>
  </si>
  <si>
    <t>FIRST GAS POWER CORPORATION</t>
  </si>
  <si>
    <t>FGPSANLO</t>
  </si>
  <si>
    <t>FGP CORPORATION</t>
  </si>
  <si>
    <t>FLECO</t>
  </si>
  <si>
    <t>FIRST LAGUNA ELECTRIC COOPERATIVE, INC.</t>
  </si>
  <si>
    <t>FNPC</t>
  </si>
  <si>
    <t>FIRST NATGAS POWER CORP.</t>
  </si>
  <si>
    <t>FSOLEQ</t>
  </si>
  <si>
    <t>FIRST SOLEQ ENERGY CORP.</t>
  </si>
  <si>
    <t>FTOLEDO</t>
  </si>
  <si>
    <t>FIRST TOLEDO SOLAR ENERGY CORP.</t>
  </si>
  <si>
    <t>G2REC</t>
  </si>
  <si>
    <t>GRASSGOLD RENEWABLE ENERGY CORPORATION</t>
  </si>
  <si>
    <t>GCC</t>
  </si>
  <si>
    <t>GOODFOUND CEMENT CORPORATION</t>
  </si>
  <si>
    <t>GCGI</t>
  </si>
  <si>
    <t>GREEN CORE GEOTHERMAL, INC.</t>
  </si>
  <si>
    <t>GCGIRES</t>
  </si>
  <si>
    <t>GESCRES</t>
  </si>
  <si>
    <t>GLOBAL ENERGY SUPPLY CORPORATION</t>
  </si>
  <si>
    <t>GFII</t>
  </si>
  <si>
    <t>GIFT</t>
  </si>
  <si>
    <t>GREEN INNOVATIONS FOR TOMORROW CORPORATION</t>
  </si>
  <si>
    <t>GIFT2</t>
  </si>
  <si>
    <t>GREEN INNOVATIONS FOR TOMORROW CORPORATION (GIFT2)</t>
  </si>
  <si>
    <t>GIGAACE4</t>
  </si>
  <si>
    <t>GIGA ACE 4, INC.</t>
  </si>
  <si>
    <t>GIGASOL3</t>
  </si>
  <si>
    <t>GIGASOL3, INC.</t>
  </si>
  <si>
    <t>GMEC</t>
  </si>
  <si>
    <t>GNPOWER MARIVELES ENERGY CENTER LTD. CO.</t>
  </si>
  <si>
    <t>GNPD</t>
  </si>
  <si>
    <t>GNPOWER DINGININ LTD. CO.</t>
  </si>
  <si>
    <t>GNPLCRES</t>
  </si>
  <si>
    <t>GN POWER LTD. CO.</t>
  </si>
  <si>
    <t>GPS3I</t>
  </si>
  <si>
    <t>GREENCORE POWER SOLUTIONS 3, INC.</t>
  </si>
  <si>
    <t>GUIMELCO</t>
  </si>
  <si>
    <t>GUIMARAS ELECTRIC COOPERATIVE, INC.</t>
  </si>
  <si>
    <t>HEDCOR</t>
  </si>
  <si>
    <t>HEDCOR, INC.</t>
  </si>
  <si>
    <t>HEDCORBA</t>
  </si>
  <si>
    <t>HEDCOR, INC. (HEDCORBA)</t>
  </si>
  <si>
    <t>HEDCORHE</t>
  </si>
  <si>
    <t>HEDCORLAT</t>
  </si>
  <si>
    <t>HELIOS</t>
  </si>
  <si>
    <t>HELIOS SOLAR ENERGY CORP.</t>
  </si>
  <si>
    <t>HPCO</t>
  </si>
  <si>
    <t>HAWAIIAN-PHILIPPINE COMPANY</t>
  </si>
  <si>
    <t>HSABI</t>
  </si>
  <si>
    <t>HEDCOR SABANGAN, INC.</t>
  </si>
  <si>
    <t>IASCO</t>
  </si>
  <si>
    <t>ISABEL ANCILLARY SERVICES CO. LTD</t>
  </si>
  <si>
    <t>IBEC</t>
  </si>
  <si>
    <t>ISABELA BIOMASS ENERGY CORPORATION</t>
  </si>
  <si>
    <t>185 - F1</t>
  </si>
  <si>
    <t>IEMOP</t>
  </si>
  <si>
    <t>INDEPENDENT ELECTRICITY MARKET OPERATOR OF THE PHILIPPINES INC.</t>
  </si>
  <si>
    <t>TS-WAD-185F1-0069</t>
  </si>
  <si>
    <t>187 - F1</t>
  </si>
  <si>
    <t>TS-WAD-187F1-0067</t>
  </si>
  <si>
    <t>ILECO1</t>
  </si>
  <si>
    <t>ILOILO I ELECTRIC COOPERATIVE, INC.</t>
  </si>
  <si>
    <t>ILECO2</t>
  </si>
  <si>
    <t>ILOILO II ELECTRIC COOPERATIVE, INC.</t>
  </si>
  <si>
    <t>ILECO3</t>
  </si>
  <si>
    <t>ILOILO III ELECTRIC COOPERATIVE, INC.</t>
  </si>
  <si>
    <t>INEC</t>
  </si>
  <si>
    <t>ILOCOS NORTE ELECTRIC COOPERATIVE, INC.</t>
  </si>
  <si>
    <t>IPHI1</t>
  </si>
  <si>
    <t>INGRID POWER HOLDINGS, INC.</t>
  </si>
  <si>
    <t>IPOWER</t>
  </si>
  <si>
    <t>SAN JOSE CITY I POWER CORPORATION</t>
  </si>
  <si>
    <t>ISECO</t>
  </si>
  <si>
    <t>ILOCOS SUR ELECTRIC COOPERATIVE, INC.</t>
  </si>
  <si>
    <t>ISELCO1</t>
  </si>
  <si>
    <t>ISABELA I ELECTRIC COOPERATIVE, INC.</t>
  </si>
  <si>
    <t>ISELCO2</t>
  </si>
  <si>
    <t>ISABELA II ELECTRIC COOPERATIVE, INC.</t>
  </si>
  <si>
    <t>JOBIN</t>
  </si>
  <si>
    <t>JOBIN –SQM INC.</t>
  </si>
  <si>
    <t>KAELCO</t>
  </si>
  <si>
    <t>KALINGA-APAYAO ELECTRIC COOPERATIVE, INC.</t>
  </si>
  <si>
    <t>KRATOSRES</t>
  </si>
  <si>
    <t>KRATOS RES, INC.</t>
  </si>
  <si>
    <t>KSPC</t>
  </si>
  <si>
    <t>KEPCO SPC POWER CORPORATION</t>
  </si>
  <si>
    <t>KSPCRES</t>
  </si>
  <si>
    <t>LEYECO2</t>
  </si>
  <si>
    <t>LEYTE II ELECTRIC COOPERATIVE, INC.</t>
  </si>
  <si>
    <t>LEYECO3</t>
  </si>
  <si>
    <t>LEYTE III ELECTRIC COOPERATIVE, INC.</t>
  </si>
  <si>
    <t>LEYECO4</t>
  </si>
  <si>
    <t>LEYTE IV ELECTRIC COOPERATIVE, INC.</t>
  </si>
  <si>
    <t>LEYECO5</t>
  </si>
  <si>
    <t>LEYTE V ELECTRIC COOPERATIVE, INC.</t>
  </si>
  <si>
    <t>LEZ</t>
  </si>
  <si>
    <t>LIMA ENERZONE CORPORATION</t>
  </si>
  <si>
    <t>LINDE</t>
  </si>
  <si>
    <t>LINDE PHILIPPINES INC.</t>
  </si>
  <si>
    <t>LUELCO</t>
  </si>
  <si>
    <t>LA UNION ELECTRIC COOPERATIVE, INC.</t>
  </si>
  <si>
    <t>MAEC</t>
  </si>
  <si>
    <t>MIRAE ASIA ENERGY CORPORATION</t>
  </si>
  <si>
    <t>MALVEZ</t>
  </si>
  <si>
    <t>MALVAR ENERZONE CORPORATION</t>
  </si>
  <si>
    <t>MANTARES</t>
  </si>
  <si>
    <t>SHELL ENERGY PHILIPPINES INC.</t>
  </si>
  <si>
    <t>MEC</t>
  </si>
  <si>
    <t>MAJESTICS ENERGY CORPORATION</t>
  </si>
  <si>
    <t>MECO</t>
  </si>
  <si>
    <t>MACTAN ELECTRIC COMPANY</t>
  </si>
  <si>
    <t>MECORES</t>
  </si>
  <si>
    <t xml:space="preserve">MABUHAY ENERGY CORPORATION </t>
  </si>
  <si>
    <t>MERALCO</t>
  </si>
  <si>
    <t>MANILA ELECTRIC COMPANY</t>
  </si>
  <si>
    <t>MERXRES</t>
  </si>
  <si>
    <t xml:space="preserve">MERIDIANX INC. </t>
  </si>
  <si>
    <t>MEZ</t>
  </si>
  <si>
    <t>MACTAN ENERZONE CORPORATION</t>
  </si>
  <si>
    <t>MGI</t>
  </si>
  <si>
    <t>MAIBARARA GEOTHERMAL, INC.</t>
  </si>
  <si>
    <t>MHCI</t>
  </si>
  <si>
    <t xml:space="preserve">MAJAYJAY HYDROPOWER COMPANY, INC. </t>
  </si>
  <si>
    <t>MONTESOL</t>
  </si>
  <si>
    <t>MONTE SOLAR ENERGY, INC.</t>
  </si>
  <si>
    <t>MOPRECO</t>
  </si>
  <si>
    <t>MOUNTAIN PROVINCE ELECTRIC COOPERATIVE, INC.</t>
  </si>
  <si>
    <t>MORE</t>
  </si>
  <si>
    <t>MORE ELECTRIC AND POWER CORPORATION</t>
  </si>
  <si>
    <t>MPBI</t>
  </si>
  <si>
    <t>MORE POWER BARGE INC.</t>
  </si>
  <si>
    <t>MPPC</t>
  </si>
  <si>
    <t>MASINLOC POWER PARTNERS CO. LTD.</t>
  </si>
  <si>
    <t>MPPCLRES</t>
  </si>
  <si>
    <t xml:space="preserve">MASINLOC POWER PARTNERS CO. LTD. </t>
  </si>
  <si>
    <t>MRLCOLRE</t>
  </si>
  <si>
    <t>MSNLOBAT</t>
  </si>
  <si>
    <t>NEECO1</t>
  </si>
  <si>
    <t>NUEVA ECIJA 1 ELECTRIC COOPERATIVE, INC.</t>
  </si>
  <si>
    <t>NEECO2</t>
  </si>
  <si>
    <t>NUEVA ECIJA II ELECTRIC COOPERATIVE, INC. - AREA 2</t>
  </si>
  <si>
    <t>NEECO2AR1</t>
  </si>
  <si>
    <t>NUEVA ECIJA II AREA 1 ELECTRIC COOPERATIVE, INC.</t>
  </si>
  <si>
    <t>NEXTGEN</t>
  </si>
  <si>
    <t>NEXT GENERATION POWER TECHNOLOGY CORP.</t>
  </si>
  <si>
    <t>NGCP</t>
  </si>
  <si>
    <t>NATIONAL GRID CORPORATION OF THE PHILIPPINES</t>
  </si>
  <si>
    <t>NIABAL</t>
  </si>
  <si>
    <t>NATIONAL IRRIGATION ADMINISTRATION</t>
  </si>
  <si>
    <t>NIACST</t>
  </si>
  <si>
    <t>NATIONAL IRRIGATION ADMINISTRATION MAGAT RIVER INTEGRATED IRRIGATION SYSTEM</t>
  </si>
  <si>
    <t>NIAMARIS</t>
  </si>
  <si>
    <t>SN ABOITIZ POWER - MAGAT, INC.</t>
  </si>
  <si>
    <t>NIAREG2</t>
  </si>
  <si>
    <t>NATIONAL IRRIGATION ADMINISTRATION REGION 2</t>
  </si>
  <si>
    <t>NISPI</t>
  </si>
  <si>
    <t>NEGROS ISLAND SOLAR POWER INC.</t>
  </si>
  <si>
    <t>NISPI2</t>
  </si>
  <si>
    <t>NLREC</t>
  </si>
  <si>
    <t>NORTH LUZON RENEWABLE ENERGY CORPORATION</t>
  </si>
  <si>
    <t>NNBP</t>
  </si>
  <si>
    <t>NORTH NEGROS BIOPOWER, INC.</t>
  </si>
  <si>
    <t>NOCECO</t>
  </si>
  <si>
    <t>NEGROS OCCIDENTAL ELECTRIC COOPERATIVE, INC.</t>
  </si>
  <si>
    <t>NONECO</t>
  </si>
  <si>
    <t>NORTHERN NEGROS ELECTRIC COOPERATIVE, INC.</t>
  </si>
  <si>
    <t>NORECO1</t>
  </si>
  <si>
    <t>NEGROS ORIENTAL I ELECTRIC COOPERATIVE, INC.</t>
  </si>
  <si>
    <t>NORECO2</t>
  </si>
  <si>
    <t>NEGROS ORIENTAL II ELECTRIC COOPERATIVE</t>
  </si>
  <si>
    <t>NORSAMELCO</t>
  </si>
  <si>
    <t>NORTHERN SAMAR ELECTRIC COOPERATIVE, INC.</t>
  </si>
  <si>
    <t>NORTHWIND</t>
  </si>
  <si>
    <t>NORTHWIND POWER DEVELOPMENT CORPORATION</t>
  </si>
  <si>
    <t>NR</t>
  </si>
  <si>
    <t>NORTHERN RENEWABLES GENERATION CORPORATION</t>
  </si>
  <si>
    <t>NVVOGTARM</t>
  </si>
  <si>
    <t>NV VOGT PHILIPPINES SOLAR ENERGY THREE, INC.</t>
  </si>
  <si>
    <t>NVVOGTDAL</t>
  </si>
  <si>
    <t>NV VOGT PHILIPPINES SOLAR ENERGY FOUR INC.</t>
  </si>
  <si>
    <t>NWPDC</t>
  </si>
  <si>
    <t>OEDC</t>
  </si>
  <si>
    <t>OLONGAPO ELECTRICITY DISTRIBUTION COMPANY, INC.</t>
  </si>
  <si>
    <t>OSPGC</t>
  </si>
  <si>
    <t>ONE SUBIC POWER GENERATION CORPORATION</t>
  </si>
  <si>
    <t>PANASIA</t>
  </si>
  <si>
    <t>PANASIA ENERGY, INC.</t>
  </si>
  <si>
    <t>PANELCO3</t>
  </si>
  <si>
    <t>PANGASINAN III ELECTRIC COOPERATIVE, INC.</t>
  </si>
  <si>
    <t>PASAR</t>
  </si>
  <si>
    <t>PHILIPPINE ASSOCIATED SMELTING &amp; REFINING CORPORATION</t>
  </si>
  <si>
    <t>PCPC</t>
  </si>
  <si>
    <t>PALM CONCEPCION POWER CORPORATION</t>
  </si>
  <si>
    <t>PEC</t>
  </si>
  <si>
    <t>PAGBILAO ENERGY CORPORATION</t>
  </si>
  <si>
    <t>PEDC</t>
  </si>
  <si>
    <t>PANAY ENERGY DEVELOPMENT CORPORATION</t>
  </si>
  <si>
    <t>PELCO2</t>
  </si>
  <si>
    <t>PAMPANGA II ELECTRIC COOPERATIVE, INC.</t>
  </si>
  <si>
    <t>PENELCO</t>
  </si>
  <si>
    <t>PENINSULA ELECTRIC COOPERATIVE, INC.</t>
  </si>
  <si>
    <t>PESI</t>
  </si>
  <si>
    <t>PEOPLE'S ENERGY SERVICES, INC.</t>
  </si>
  <si>
    <t>PETRONGEN</t>
  </si>
  <si>
    <t>PETRON CORPORATION</t>
  </si>
  <si>
    <t>PETROSOLR</t>
  </si>
  <si>
    <t>PETROSOLAR CORPORATION</t>
  </si>
  <si>
    <t>PETSOL</t>
  </si>
  <si>
    <t>PGEP</t>
  </si>
  <si>
    <t>PANGEA GREEN ENERGY PHILIPPINES, INC.</t>
  </si>
  <si>
    <t>PHEN</t>
  </si>
  <si>
    <t>PMPC</t>
  </si>
  <si>
    <t>PRIME MERIDIAN POWERGEN CORPORATION</t>
  </si>
  <si>
    <t>PPC</t>
  </si>
  <si>
    <t>PANAY POWER CORPORATION</t>
  </si>
  <si>
    <t>PHILIPPINE POWER AND DEVELOPMENT COMPANY</t>
  </si>
  <si>
    <t>PPDC3</t>
  </si>
  <si>
    <t>PHILIPPINE POWER AND DEVELOPMENT COMPANY (PPDC3)</t>
  </si>
  <si>
    <t>PRISMRES</t>
  </si>
  <si>
    <t>PRISM ENERGY, INC.</t>
  </si>
  <si>
    <t>PSALM</t>
  </si>
  <si>
    <t>POWER SECTOR ASSETS &amp; LIABILITIES MANAGEMENT CORPORATION</t>
  </si>
  <si>
    <t>PWEI</t>
  </si>
  <si>
    <t>PETROWIND ENERGY INC.</t>
  </si>
  <si>
    <t>QPPL</t>
  </si>
  <si>
    <t>QUEZON POWER (PHILIPPINES) LIMITED COMPANY</t>
  </si>
  <si>
    <t>QUEZELCO1</t>
  </si>
  <si>
    <t>QUEZON I ELECTRIC COOPERATIVE, INC.</t>
  </si>
  <si>
    <t>QUEZELCO2</t>
  </si>
  <si>
    <t>QUEZON II ELECTRIC COOPERATIVE, INC.</t>
  </si>
  <si>
    <t>RC</t>
  </si>
  <si>
    <t>RASLAG CORP.</t>
  </si>
  <si>
    <t>RCBMI</t>
  </si>
  <si>
    <t>REPUBLIC CEMENT &amp; BUILDING MATERIALS, INC.</t>
  </si>
  <si>
    <t>RCP2</t>
  </si>
  <si>
    <t>SACASOL</t>
  </si>
  <si>
    <t>SAN CARLOS SOLAR ENERGY INC.</t>
  </si>
  <si>
    <t>SACASOLCD</t>
  </si>
  <si>
    <t>SAN CARLOS SOLAR ENERGY INC.(SACASOLCD)</t>
  </si>
  <si>
    <t>SACASUN</t>
  </si>
  <si>
    <t>SAN CARLOS SUN POWER INC.</t>
  </si>
  <si>
    <t>SAMELCO1</t>
  </si>
  <si>
    <t>SAMAR I ELECTRIC COOPERATIVE, INC.</t>
  </si>
  <si>
    <t>SAMELCO2</t>
  </si>
  <si>
    <t>SAMAR II ELECTRIC COOPERATIVE, INC.</t>
  </si>
  <si>
    <t>SBPLC</t>
  </si>
  <si>
    <t>SAN BUENAVENTURA POWER LTD. CO.</t>
  </si>
  <si>
    <t>SCBI</t>
  </si>
  <si>
    <t>SAN CARLOS BIOENERGY, INC.</t>
  </si>
  <si>
    <t>SCBIOPOWR</t>
  </si>
  <si>
    <t>SAN CARLOS BIOPOWER INC.</t>
  </si>
  <si>
    <t>SCGCPI</t>
  </si>
  <si>
    <t>SC GLOBAL COCO PRODUCTS, INC.</t>
  </si>
  <si>
    <t>SCPC</t>
  </si>
  <si>
    <t>SEM-CALACA POWER CORPORATION</t>
  </si>
  <si>
    <t>SCRCRES</t>
  </si>
  <si>
    <t>SEM-CALACA RES CORPORATION</t>
  </si>
  <si>
    <t>SEZ</t>
  </si>
  <si>
    <t>SUBIC ENERZONE CORPORATION</t>
  </si>
  <si>
    <t>SFELAPLRE</t>
  </si>
  <si>
    <t>SAN FERNANDO ELECTRIC LIGHT &amp; POWER CO., INC.</t>
  </si>
  <si>
    <t>SILAYSPI</t>
  </si>
  <si>
    <t>SILAY SOLAR POWER, INC.</t>
  </si>
  <si>
    <t>SIPC</t>
  </si>
  <si>
    <t>SPC ISLAND POWER CORPORATION</t>
  </si>
  <si>
    <t>SLPGC</t>
  </si>
  <si>
    <t>SOUTHWEST LUZON POWER GENERATION CORPORATION</t>
  </si>
  <si>
    <t>SLTEC</t>
  </si>
  <si>
    <t>SOUTH LUZON THERMAL ENERGY CORPORATION</t>
  </si>
  <si>
    <t>SMCCPC</t>
  </si>
  <si>
    <t>SMC CONSOLIDATED POWER CORPORATION</t>
  </si>
  <si>
    <t>SMCCPCRES</t>
  </si>
  <si>
    <t>SMC CONSOLIDATED POWER CORPORATION -RES</t>
  </si>
  <si>
    <t>SMEC</t>
  </si>
  <si>
    <t>SAN MIGUEL ENERGY CORPORATION</t>
  </si>
  <si>
    <t>SNAP</t>
  </si>
  <si>
    <t>SNAPBENGT</t>
  </si>
  <si>
    <t>SN ABOITIZ POWER - BENGUET, INC.</t>
  </si>
  <si>
    <t>SNAPMIRES</t>
  </si>
  <si>
    <t>SN ABOITIZ POWER - MAGAT, INC. -RES</t>
  </si>
  <si>
    <t>SNAPRES</t>
  </si>
  <si>
    <t>SN ABOITIZ POWER-RES, INC.</t>
  </si>
  <si>
    <t>SNBP</t>
  </si>
  <si>
    <t>SOUTH NEGROS BIOPOWER, INC,</t>
  </si>
  <si>
    <t>SOLARACE1</t>
  </si>
  <si>
    <t>SOLARACE1 ENERGY CORP.</t>
  </si>
  <si>
    <t>SOLARPHIL</t>
  </si>
  <si>
    <t>SOLAR PHILIPPINES CALATAGAN CORPORATION</t>
  </si>
  <si>
    <t>SOLARPHTC</t>
  </si>
  <si>
    <t>SOLAR PHILIPPINES TARLAC CORPORATION</t>
  </si>
  <si>
    <t>SOLECO</t>
  </si>
  <si>
    <t>SOUTHERN LEYTE ELECTRIC COOPERATIVE, INC.</t>
  </si>
  <si>
    <t>SORECO1</t>
  </si>
  <si>
    <t>SORSOGON I ELECTRIC COOPERATIVE, INC.</t>
  </si>
  <si>
    <t>SORECO2</t>
  </si>
  <si>
    <t>SORSOGON II ELECTRIC COOPERATIVE, INC.</t>
  </si>
  <si>
    <t>SPARC</t>
  </si>
  <si>
    <t>SPARC-SOLAR POWERED AGRI-RURAL COMMUNITIES CORP.</t>
  </si>
  <si>
    <t>SPCPOWER</t>
  </si>
  <si>
    <t>SPC POWER CORPORATION</t>
  </si>
  <si>
    <t>SPDC</t>
  </si>
  <si>
    <t>STRATEGIC POWER DEVT. CORP.</t>
  </si>
  <si>
    <t>SPESCL</t>
  </si>
  <si>
    <t>SMCGP PHILIPPINES ENERGY STORAGE CO. LTD.</t>
  </si>
  <si>
    <t>SPMI</t>
  </si>
  <si>
    <t>SPECIALTY PULP MANUFACTURING, INC.</t>
  </si>
  <si>
    <t>SPPC</t>
  </si>
  <si>
    <t>SOUTH PREMIERE POWER CORP.</t>
  </si>
  <si>
    <t>SPSMNORTH</t>
  </si>
  <si>
    <t>SOLAR PHILIPPINES COMMERCIAL ROOFTOP PROJECTS, INC.</t>
  </si>
  <si>
    <t>STACLARA</t>
  </si>
  <si>
    <t>STA. CLARA POWER CORPORATION</t>
  </si>
  <si>
    <t>SUWECO2</t>
  </si>
  <si>
    <t>SUNWEST WATER AND ELECTRIC COMPANY 2, INC.</t>
  </si>
  <si>
    <t>TAPGC</t>
  </si>
  <si>
    <t>BULACAN POWER GENERATION CORPORATION (FORMERLY PHINMA POWER GENERATION CORPORATION)</t>
  </si>
  <si>
    <t>TAREC</t>
  </si>
  <si>
    <t>TRANS-ASIA RENEWABLE ENERGY CORPORATION</t>
  </si>
  <si>
    <t>TARELCO1</t>
  </si>
  <si>
    <t>TARLAC I ELECTRIC COOPERATIVE, INC.</t>
  </si>
  <si>
    <t>TARELCO2</t>
  </si>
  <si>
    <t>TARLAC II ELECTRIC COOPERATIVE, INC.</t>
  </si>
  <si>
    <t>TECRAT</t>
  </si>
  <si>
    <t xml:space="preserve">TEAM ENERGY CORPORATION </t>
  </si>
  <si>
    <t>TEI</t>
  </si>
  <si>
    <t>TARLAC ELECTRIC, INC.</t>
  </si>
  <si>
    <t>TERASU</t>
  </si>
  <si>
    <t>TERASU ENERGY INC.</t>
  </si>
  <si>
    <t>TLI</t>
  </si>
  <si>
    <t>THERMA LUZON, INC.</t>
  </si>
  <si>
    <t>TPC</t>
  </si>
  <si>
    <t>TOLEDO POWER COMPANY</t>
  </si>
  <si>
    <t>TPECRES</t>
  </si>
  <si>
    <t>TEAM (PHILIPPINES) ENERGY CORPORATION</t>
  </si>
  <si>
    <t>TPVI</t>
  </si>
  <si>
    <t>THERMA POWER - VISAYAS, INC.</t>
  </si>
  <si>
    <t>TSC</t>
  </si>
  <si>
    <t>TEAM SUAL CORPORATION</t>
  </si>
  <si>
    <t>TVI</t>
  </si>
  <si>
    <t>THERMA VISAYAS, INC.</t>
  </si>
  <si>
    <t>UPLAB1</t>
  </si>
  <si>
    <t>LABAYAT I HYDROPOWER</t>
  </si>
  <si>
    <t>UPLB</t>
  </si>
  <si>
    <t>UNIVERSITY OF THE PHILIPPINES LOS BAÑOS</t>
  </si>
  <si>
    <t>UPPCGEN</t>
  </si>
  <si>
    <t>UNITED PULP AND PAPER CO., INC.</t>
  </si>
  <si>
    <t>UPSI</t>
  </si>
  <si>
    <t>UNIVERSAL POWER SOLUTIONS INC.</t>
  </si>
  <si>
    <t>URC</t>
  </si>
  <si>
    <t>UNIVERSAL ROBINA CORPORATION</t>
  </si>
  <si>
    <t>VECO</t>
  </si>
  <si>
    <t>VISAYAN ELECTRIC COMPANY</t>
  </si>
  <si>
    <t>VESMIRES</t>
  </si>
  <si>
    <t>VANTAGE ENERGY SOLUTIONS AND MANAGEMENT, INC.</t>
  </si>
  <si>
    <t>VMC</t>
  </si>
  <si>
    <t>VICTORIAS MILLING COMPANY, INC.</t>
  </si>
  <si>
    <t>VSEI</t>
  </si>
  <si>
    <t>VALENZUELA SOLAR ENERGY, INC.</t>
  </si>
  <si>
    <t>VSGPC</t>
  </si>
  <si>
    <t>VS GRIPAL POWER CORPORATION</t>
  </si>
  <si>
    <t>YHGEI</t>
  </si>
  <si>
    <t>YH GREEN ENERGY, INCORPORATED</t>
  </si>
  <si>
    <t xml:space="preserve">Grand Total: </t>
  </si>
  <si>
    <t>Received From 
(Buyer Full name)</t>
  </si>
  <si>
    <t>Item No.</t>
  </si>
  <si>
    <t>Received From
(Buyer STL ID)</t>
  </si>
  <si>
    <t>OR#</t>
  </si>
  <si>
    <t>190 - F</t>
  </si>
  <si>
    <t>TS-WF-190F-0000089</t>
  </si>
  <si>
    <t>TS-WF-190F-0000090</t>
  </si>
  <si>
    <t>ACENGES</t>
  </si>
  <si>
    <t>AC ENERGY CORPORATION</t>
  </si>
  <si>
    <t>186 - F26</t>
  </si>
  <si>
    <t>TS-WAC-186F26-0000001</t>
  </si>
  <si>
    <t>187 - F6</t>
  </si>
  <si>
    <t>TS-WAC-187F6-0000001</t>
  </si>
  <si>
    <t>184 - F44</t>
  </si>
  <si>
    <t>TS-WAD-184F44-0000060</t>
  </si>
  <si>
    <t>ACNPC_FIT</t>
  </si>
  <si>
    <t>ASIAN CARBON NEURAL POWER CORP</t>
  </si>
  <si>
    <t>ACNPC</t>
  </si>
  <si>
    <t>ADVENTGES</t>
  </si>
  <si>
    <t>ADVENTENERGY INC.</t>
  </si>
  <si>
    <t>173 - F1</t>
  </si>
  <si>
    <t>TS-WAD-173F1-0000045</t>
  </si>
  <si>
    <t>184 - F3</t>
  </si>
  <si>
    <t>AMLANHPC</t>
  </si>
  <si>
    <t>AMLAN HYDROELECTRIC POWER CORPORATION</t>
  </si>
  <si>
    <t>TS-WAC-184F3-0001</t>
  </si>
  <si>
    <t>184 - F4</t>
  </si>
  <si>
    <t>TS-WAC-184F4-0001</t>
  </si>
  <si>
    <t>AWOC_FIT</t>
  </si>
  <si>
    <t>BBEC_FIT</t>
  </si>
  <si>
    <t>BICOL BIOMASS ENERGY CORPORATION</t>
  </si>
  <si>
    <t>BGIGES</t>
  </si>
  <si>
    <t>BAC-MAN GEOTHERMAL INC.</t>
  </si>
  <si>
    <t>BOSUNG</t>
  </si>
  <si>
    <t>BOSUNG SOLARTEC INC.</t>
  </si>
  <si>
    <t>BTN2020_FIT</t>
  </si>
  <si>
    <t>BULACNSE_FIT</t>
  </si>
  <si>
    <t>CASA_FIT</t>
  </si>
  <si>
    <t>186 - F8</t>
  </si>
  <si>
    <t>TS-WAC-186F8-0000001</t>
  </si>
  <si>
    <t>CBEC_FIT</t>
  </si>
  <si>
    <t>EBWPC_FIT</t>
  </si>
  <si>
    <t>EDCSL_FIT</t>
  </si>
  <si>
    <t>EDCSL2_FIT</t>
  </si>
  <si>
    <t>ENERGY DEVELOPMENT CORPORATION SL2</t>
  </si>
  <si>
    <t>ENFINITY_FIT</t>
  </si>
  <si>
    <t>FCRV_FIT</t>
  </si>
  <si>
    <t>FFHC_FIT</t>
  </si>
  <si>
    <t>FGESGES</t>
  </si>
  <si>
    <t>FIRST GEN ENERGY SOLUTIONS, INC</t>
  </si>
  <si>
    <t>FSOLEQ_FIT</t>
  </si>
  <si>
    <t>G2REC_FIT</t>
  </si>
  <si>
    <t>GCGIGES</t>
  </si>
  <si>
    <t>GREEN CORE GEOTHERMAL INC.</t>
  </si>
  <si>
    <t>GFII_FIT</t>
  </si>
  <si>
    <t>GREEN FUTURE INNOVATIONS, INC. - FIT</t>
  </si>
  <si>
    <t>GIFT_FIT</t>
  </si>
  <si>
    <t>GIFT2_FIT</t>
  </si>
  <si>
    <t>GREEN INNOVATIONS FOR TOMORROW CORPORATION (GIFT2_FIT)</t>
  </si>
  <si>
    <t>HEDCORHE_FIT</t>
  </si>
  <si>
    <t>HEDCORLAT_FIT</t>
  </si>
  <si>
    <t>HEDCOR, INC, (HEDCORLAT)</t>
  </si>
  <si>
    <t>HELIOS_FIT</t>
  </si>
  <si>
    <t>HSABI_FIT</t>
  </si>
  <si>
    <t>IBEC_FIT</t>
  </si>
  <si>
    <t>186 - F1</t>
  </si>
  <si>
    <t>TS-WAD-186F1-0070</t>
  </si>
  <si>
    <t>IPOWER_FIT</t>
  </si>
  <si>
    <t>IPOWER2_FIT</t>
  </si>
  <si>
    <t>MAEC_FIT</t>
  </si>
  <si>
    <t>MHCI_FIT</t>
  </si>
  <si>
    <t>MAJAYJAY HYDROPOWER COMPANY, INC.</t>
  </si>
  <si>
    <t>MONTESOL_FIT</t>
  </si>
  <si>
    <t>NIAMARIS_FIT</t>
  </si>
  <si>
    <t>NLREC_FIT</t>
  </si>
  <si>
    <t>NORTHWIND_FIT</t>
  </si>
  <si>
    <t>NR_FIT</t>
  </si>
  <si>
    <t>VIVANT STA. CLARA NORTHERN RENEWABLES GENERATION CORPORATION</t>
  </si>
  <si>
    <t>NWPDC_FIT</t>
  </si>
  <si>
    <t>PETROSOLR_FIT</t>
  </si>
  <si>
    <t>PGEP_FIT</t>
  </si>
  <si>
    <t>PPDC_FIT</t>
  </si>
  <si>
    <t>PPDC2_FIT</t>
  </si>
  <si>
    <t>PSPCGEN</t>
  </si>
  <si>
    <t>PILIPINAS SHELL PETROLEUM CORPORATION</t>
  </si>
  <si>
    <t>PWEI_FIT</t>
  </si>
  <si>
    <t>RC_FIT</t>
  </si>
  <si>
    <t>RCP2_FIT</t>
  </si>
  <si>
    <t>SACASOL_FIT</t>
  </si>
  <si>
    <t>SACASOLCD_FIT</t>
  </si>
  <si>
    <t>SEPALCO</t>
  </si>
  <si>
    <t>SULU ELECTRIC POWER AND LIGHT (PHILS.), INC.</t>
  </si>
  <si>
    <t>SMITHBELL_FIT</t>
  </si>
  <si>
    <t>SMITH BELL MINI-HYDRO CORPORATION</t>
  </si>
  <si>
    <t>SOLARPHIL_FIT</t>
  </si>
  <si>
    <t>SPARC_FIT</t>
  </si>
  <si>
    <t>SPSMNORTH_FIT</t>
  </si>
  <si>
    <t>SUWECO2_FIT</t>
  </si>
  <si>
    <t>TAREC_FIT</t>
  </si>
  <si>
    <t>TMOBIL</t>
  </si>
  <si>
    <t>THERMA MOBILE, INC.</t>
  </si>
  <si>
    <t>VMC_FIT</t>
  </si>
  <si>
    <t>VSEI_FIT</t>
  </si>
  <si>
    <t>VSGPC_FIT</t>
  </si>
  <si>
    <t>YHGEI_FIT</t>
  </si>
  <si>
    <t>DEFINT</t>
  </si>
  <si>
    <t>SERIES #</t>
  </si>
  <si>
    <t>As of May 01, 2022 to May 31, 2022</t>
  </si>
  <si>
    <t>Received From (Buyer Full name)</t>
  </si>
  <si>
    <t>TS-WAD-164F1-0000023 Total</t>
  </si>
  <si>
    <t>TS-WF-190F-0000089 Total</t>
  </si>
  <si>
    <t>TS-WF-187F-0093 Total</t>
  </si>
  <si>
    <t>BBEC</t>
  </si>
  <si>
    <t>TS-WAD-168F1-0000014 Total</t>
  </si>
  <si>
    <t>TS-WF-189F-0000090 Total</t>
  </si>
  <si>
    <t>FSOLEQ_</t>
  </si>
  <si>
    <t>TS-WF-188F-0030 Total</t>
  </si>
  <si>
    <t xml:space="preserve">HEDCOR, INC. </t>
  </si>
  <si>
    <t>TS-WAD-185F1-0069 Total</t>
  </si>
  <si>
    <t>TS-WAD-186F1-0070 Total</t>
  </si>
  <si>
    <t>TS-WF-189F-0000089 Total</t>
  </si>
  <si>
    <t>SMITHBELL</t>
  </si>
  <si>
    <t>TS-WF-187F-0094</t>
  </si>
  <si>
    <t>GUIMARAS WIND CORPORATION</t>
  </si>
  <si>
    <t>TS-WF-190F-0000091</t>
  </si>
  <si>
    <t>TS-WAC-186F26-000001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</si>
</sst>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4" fontId="0" fillId="0" borderId="3" xfId="0" applyNumberFormat="1" applyBorder="1"/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4" fontId="1" fillId="3" borderId="1" xfId="0" applyNumberFormat="1" applyFont="1" applyFill="1" applyBorder="1"/>
    <xf numFmtId="0" fontId="0" fillId="0" borderId="0" xfId="0" applyFill="1" applyAlignment="1">
      <alignment horizontal="center"/>
    </xf>
    <xf numFmtId="0" fontId="0" fillId="0" borderId="0" xfId="0" applyFill="1"/>
    <xf numFmtId="4" fontId="0" fillId="0" borderId="0" xfId="0" applyNumberFormat="1" applyFill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4" fontId="0" fillId="0" borderId="1" xfId="0" applyNumberFormat="1" applyFill="1" applyBorder="1"/>
    <xf numFmtId="4" fontId="0" fillId="0" borderId="0" xfId="0" applyNumberFormat="1"/>
    <xf numFmtId="4" fontId="0" fillId="0" borderId="1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Border="1"/>
    <xf numFmtId="4" fontId="0" fillId="0" borderId="0" xfId="0" applyNumberFormat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/>
    <xf numFmtId="4" fontId="1" fillId="4" borderId="1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4" fontId="1" fillId="3" borderId="3" xfId="0" applyNumberFormat="1" applyFont="1" applyFill="1" applyBorder="1"/>
    <xf numFmtId="4" fontId="1" fillId="3" borderId="0" xfId="0" applyNumberFormat="1" applyFont="1" applyFill="1"/>
    <xf numFmtId="0" fontId="0" fillId="0" borderId="1" xfId="0" applyFont="1" applyFill="1" applyBorder="1"/>
    <xf numFmtId="4" fontId="0" fillId="0" borderId="1" xfId="0" applyNumberFormat="1" applyFont="1" applyFill="1" applyBorder="1"/>
    <xf numFmtId="0" fontId="0" fillId="0" borderId="1" xfId="0" applyFont="1" applyBorder="1"/>
    <xf numFmtId="4" fontId="0" fillId="0" borderId="1" xfId="0" applyNumberFormat="1" applyFont="1" applyBorder="1"/>
    <xf numFmtId="0" fontId="1" fillId="0" borderId="0" xfId="0" applyFont="1"/>
    <xf numFmtId="4" fontId="1" fillId="0" borderId="0" xfId="0" applyNumberFormat="1" applyFont="1"/>
    <xf numFmtId="0" fontId="0" fillId="4" borderId="0" xfId="0" applyFill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2" xfId="0" applyNumberFormat="1" applyBorder="1"/>
    <xf numFmtId="4" fontId="1" fillId="3" borderId="6" xfId="0" applyNumberFormat="1" applyFont="1" applyFill="1" applyBorder="1"/>
    <xf numFmtId="4" fontId="1" fillId="3" borderId="4" xfId="0" applyNumberFormat="1" applyFont="1" applyFill="1" applyBorder="1"/>
    <xf numFmtId="0" fontId="1" fillId="0" borderId="0" xfId="0" applyFont="1" applyFill="1"/>
    <xf numFmtId="4" fontId="1" fillId="0" borderId="0" xfId="0" applyNumberFormat="1" applyFont="1" applyFill="1"/>
    <xf numFmtId="0" fontId="1" fillId="4" borderId="0" xfId="0" applyFont="1" applyFill="1" applyAlignment="1">
      <alignment horizontal="center"/>
    </xf>
    <xf numFmtId="4" fontId="1" fillId="0" borderId="1" xfId="0" applyNumberFormat="1" applyFont="1" applyFill="1" applyBorder="1"/>
    <xf numFmtId="0" fontId="0" fillId="0" borderId="0" xfId="0" applyAlignment="1">
      <alignment wrapText="1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0" fontId="1" fillId="5" borderId="0" xfId="0" applyFont="1" applyFill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1" xfId="0" applyFont="1" applyFill="1" applyBorder="1"/>
    <xf numFmtId="0" fontId="0" fillId="6" borderId="0" xfId="0" applyFon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7" borderId="0" xfId="0" applyFill="1" applyAlignment="1">
      <alignment horizont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/>
    <xf numFmtId="4" fontId="0" fillId="0" borderId="0" xfId="0" applyNumberFormat="1" applyFill="1" applyBorder="1"/>
    <xf numFmtId="4" fontId="1" fillId="0" borderId="0" xfId="0" applyNumberFormat="1" applyFont="1" applyFill="1" applyBorder="1"/>
  </cellXfs>
  <cellStyles count="1">
    <cellStyle name="Normal" xfId="0" builtinId="0"/>
  </cellStyles>
  <dxfs count="999"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237"/>
  <sheetViews>
    <sheetView topLeftCell="B1" workbookViewId="0">
      <selection activeCell="B1" sqref="A1:XFD1048576"/>
    </sheetView>
  </sheetViews>
  <sheetFormatPr defaultRowHeight="15" x14ac:dyDescent="0.25"/>
  <cols>
    <col min="1" max="1" width="6.7109375" style="10" customWidth="1"/>
    <col min="3" max="3" width="16.7109375" customWidth="1"/>
    <col min="4" max="4" width="15.28515625" customWidth="1"/>
    <col min="5" max="5" width="29.85546875" style="52" customWidth="1"/>
    <col min="6" max="6" width="23.28515625" customWidth="1"/>
    <col min="7" max="7" width="14.85546875" style="21" customWidth="1"/>
    <col min="8" max="8" width="9" style="21" bestFit="1" customWidth="1"/>
    <col min="9" max="9" width="14.140625" style="21" customWidth="1"/>
    <col min="10" max="10" width="14.5703125" style="21" customWidth="1"/>
    <col min="11" max="11" width="12.7109375" style="21" customWidth="1"/>
    <col min="12" max="12" width="18.28515625" style="21" customWidth="1"/>
  </cols>
  <sheetData>
    <row r="2" spans="1:12" x14ac:dyDescent="0.25">
      <c r="B2" t="s">
        <v>0</v>
      </c>
    </row>
    <row r="3" spans="1:12" x14ac:dyDescent="0.25">
      <c r="B3" t="s">
        <v>1</v>
      </c>
    </row>
    <row r="4" spans="1:12" x14ac:dyDescent="0.25">
      <c r="B4" t="s">
        <v>653</v>
      </c>
    </row>
    <row r="5" spans="1:12" ht="30" x14ac:dyDescent="0.25">
      <c r="B5" s="52" t="s">
        <v>2</v>
      </c>
      <c r="C5" t="s">
        <v>3</v>
      </c>
      <c r="D5" t="s">
        <v>4</v>
      </c>
      <c r="E5" s="52" t="s">
        <v>654</v>
      </c>
      <c r="F5" t="s">
        <v>5</v>
      </c>
      <c r="G5" s="21" t="s">
        <v>6</v>
      </c>
      <c r="H5" s="21" t="s">
        <v>7</v>
      </c>
      <c r="I5" s="21" t="s">
        <v>8</v>
      </c>
      <c r="J5" s="21" t="s">
        <v>9</v>
      </c>
      <c r="K5" s="21" t="s">
        <v>10</v>
      </c>
      <c r="L5" s="21" t="s">
        <v>11</v>
      </c>
    </row>
    <row r="6" spans="1:12" x14ac:dyDescent="0.25">
      <c r="A6" s="10">
        <v>1</v>
      </c>
      <c r="B6" t="s">
        <v>18</v>
      </c>
      <c r="C6" t="s">
        <v>17</v>
      </c>
      <c r="D6" t="s">
        <v>14</v>
      </c>
      <c r="E6" s="52" t="s">
        <v>15</v>
      </c>
      <c r="F6" t="s">
        <v>19</v>
      </c>
      <c r="G6" s="21">
        <v>-0.24</v>
      </c>
      <c r="H6" s="21">
        <v>0</v>
      </c>
      <c r="I6" s="21">
        <v>0</v>
      </c>
      <c r="J6" s="21">
        <v>0</v>
      </c>
      <c r="K6" s="21">
        <v>0.21</v>
      </c>
      <c r="L6" s="21">
        <v>-0.03</v>
      </c>
    </row>
    <row r="7" spans="1:12" x14ac:dyDescent="0.25">
      <c r="A7" s="10">
        <v>2</v>
      </c>
      <c r="B7" t="s">
        <v>550</v>
      </c>
      <c r="C7" t="s">
        <v>17</v>
      </c>
      <c r="D7" t="s">
        <v>14</v>
      </c>
      <c r="E7" s="52" t="s">
        <v>15</v>
      </c>
      <c r="F7" t="s">
        <v>551</v>
      </c>
      <c r="G7" s="21">
        <v>-4520.13</v>
      </c>
      <c r="H7" s="21">
        <v>0</v>
      </c>
      <c r="I7" s="21">
        <v>0</v>
      </c>
      <c r="J7" s="21">
        <v>0</v>
      </c>
      <c r="K7" s="21">
        <v>90.4</v>
      </c>
      <c r="L7" s="21">
        <v>-4429.7299999999996</v>
      </c>
    </row>
    <row r="8" spans="1:12" x14ac:dyDescent="0.25">
      <c r="A8" s="10">
        <v>3</v>
      </c>
      <c r="B8" t="s">
        <v>550</v>
      </c>
      <c r="C8" t="s">
        <v>13</v>
      </c>
      <c r="D8" t="s">
        <v>14</v>
      </c>
      <c r="E8" s="52" t="s">
        <v>15</v>
      </c>
      <c r="F8" t="s">
        <v>551</v>
      </c>
      <c r="G8" s="21">
        <v>0</v>
      </c>
      <c r="H8" s="21">
        <v>0</v>
      </c>
      <c r="I8" s="21">
        <v>0</v>
      </c>
      <c r="J8" s="21">
        <v>-542.41999999999996</v>
      </c>
      <c r="K8" s="21">
        <v>0</v>
      </c>
      <c r="L8" s="21">
        <v>-542.41999999999996</v>
      </c>
    </row>
    <row r="9" spans="1:12" x14ac:dyDescent="0.25">
      <c r="A9" s="10">
        <v>4</v>
      </c>
      <c r="B9" t="s">
        <v>550</v>
      </c>
      <c r="C9" t="s">
        <v>17</v>
      </c>
      <c r="D9" t="s">
        <v>14</v>
      </c>
      <c r="E9" s="52" t="s">
        <v>15</v>
      </c>
      <c r="F9" t="s">
        <v>552</v>
      </c>
      <c r="G9" s="21">
        <v>-0.33</v>
      </c>
      <c r="H9" s="21">
        <v>0</v>
      </c>
      <c r="I9" s="21">
        <v>0</v>
      </c>
      <c r="J9" s="21">
        <v>0</v>
      </c>
      <c r="K9" s="21">
        <v>0.01</v>
      </c>
      <c r="L9" s="21">
        <v>-0.32</v>
      </c>
    </row>
    <row r="10" spans="1:12" x14ac:dyDescent="0.25">
      <c r="A10" s="10">
        <v>5</v>
      </c>
      <c r="B10" t="s">
        <v>550</v>
      </c>
      <c r="C10" t="s">
        <v>13</v>
      </c>
      <c r="D10" t="s">
        <v>14</v>
      </c>
      <c r="E10" s="52" t="s">
        <v>15</v>
      </c>
      <c r="F10" t="s">
        <v>552</v>
      </c>
      <c r="G10" s="21">
        <v>0</v>
      </c>
      <c r="H10" s="21">
        <v>0</v>
      </c>
      <c r="I10" s="21">
        <v>0</v>
      </c>
      <c r="J10" s="21">
        <v>-0.04</v>
      </c>
      <c r="K10" s="21">
        <v>0</v>
      </c>
      <c r="L10" s="21">
        <v>-0.04</v>
      </c>
    </row>
    <row r="11" spans="1:12" x14ac:dyDescent="0.25">
      <c r="A11" s="10">
        <v>6</v>
      </c>
      <c r="B11" t="s">
        <v>550</v>
      </c>
      <c r="C11" t="s">
        <v>17</v>
      </c>
      <c r="D11" t="s">
        <v>553</v>
      </c>
      <c r="E11" s="52" t="s">
        <v>554</v>
      </c>
      <c r="F11" t="s">
        <v>551</v>
      </c>
      <c r="G11" s="21">
        <v>0</v>
      </c>
      <c r="H11" s="21">
        <v>0</v>
      </c>
      <c r="I11" s="21">
        <v>-121.62</v>
      </c>
      <c r="J11" s="21">
        <v>0</v>
      </c>
      <c r="K11" s="21">
        <v>2.4300000000000002</v>
      </c>
      <c r="L11" s="21">
        <v>-119.19</v>
      </c>
    </row>
    <row r="12" spans="1:12" x14ac:dyDescent="0.25">
      <c r="A12" s="10">
        <v>7</v>
      </c>
      <c r="B12" t="s">
        <v>550</v>
      </c>
      <c r="C12" t="s">
        <v>17</v>
      </c>
      <c r="D12" t="s">
        <v>553</v>
      </c>
      <c r="E12" s="52" t="s">
        <v>554</v>
      </c>
      <c r="F12" t="s">
        <v>551</v>
      </c>
      <c r="G12" s="21">
        <v>0</v>
      </c>
      <c r="H12" s="21">
        <v>0</v>
      </c>
      <c r="I12" s="21">
        <v>-44.2</v>
      </c>
      <c r="J12" s="21">
        <v>0</v>
      </c>
      <c r="K12" s="21">
        <v>0.88</v>
      </c>
      <c r="L12" s="21">
        <v>-43.32</v>
      </c>
    </row>
    <row r="13" spans="1:12" x14ac:dyDescent="0.25">
      <c r="A13" s="10">
        <v>8</v>
      </c>
      <c r="B13" t="s">
        <v>550</v>
      </c>
      <c r="C13" t="s">
        <v>17</v>
      </c>
      <c r="D13" t="s">
        <v>553</v>
      </c>
      <c r="E13" s="52" t="s">
        <v>554</v>
      </c>
      <c r="F13" t="s">
        <v>552</v>
      </c>
      <c r="G13" s="21">
        <v>0</v>
      </c>
      <c r="H13" s="21">
        <v>0</v>
      </c>
      <c r="I13" s="21">
        <v>-0.01</v>
      </c>
      <c r="J13" s="21">
        <v>0</v>
      </c>
      <c r="K13" s="21">
        <v>0</v>
      </c>
      <c r="L13" s="21">
        <v>-0.01</v>
      </c>
    </row>
    <row r="14" spans="1:12" ht="45" x14ac:dyDescent="0.25">
      <c r="A14" s="10">
        <v>9</v>
      </c>
      <c r="B14" t="s">
        <v>555</v>
      </c>
      <c r="C14" t="s">
        <v>17</v>
      </c>
      <c r="D14" t="s">
        <v>25</v>
      </c>
      <c r="E14" s="52" t="s">
        <v>26</v>
      </c>
      <c r="F14" t="s">
        <v>556</v>
      </c>
      <c r="G14" s="21">
        <v>-189.38</v>
      </c>
      <c r="H14" s="21">
        <v>0</v>
      </c>
      <c r="I14" s="21">
        <v>0</v>
      </c>
      <c r="J14" s="21">
        <v>0</v>
      </c>
      <c r="K14" s="21">
        <v>3.79</v>
      </c>
      <c r="L14" s="21">
        <v>-185.59</v>
      </c>
    </row>
    <row r="15" spans="1:12" ht="45" x14ac:dyDescent="0.25">
      <c r="A15" s="10">
        <v>10</v>
      </c>
      <c r="B15" t="s">
        <v>555</v>
      </c>
      <c r="C15" t="s">
        <v>13</v>
      </c>
      <c r="D15" t="s">
        <v>25</v>
      </c>
      <c r="E15" s="52" t="s">
        <v>26</v>
      </c>
      <c r="F15" t="s">
        <v>556</v>
      </c>
      <c r="G15" s="21">
        <v>0</v>
      </c>
      <c r="H15" s="21">
        <v>0</v>
      </c>
      <c r="I15" s="21">
        <v>0</v>
      </c>
      <c r="J15" s="21">
        <v>-22.73</v>
      </c>
      <c r="K15" s="21">
        <v>0</v>
      </c>
      <c r="L15" s="21">
        <v>-22.73</v>
      </c>
    </row>
    <row r="16" spans="1:12" ht="45" x14ac:dyDescent="0.25">
      <c r="A16" s="10">
        <v>11</v>
      </c>
      <c r="B16" t="s">
        <v>557</v>
      </c>
      <c r="C16" t="s">
        <v>17</v>
      </c>
      <c r="D16" t="s">
        <v>25</v>
      </c>
      <c r="E16" s="52" t="s">
        <v>26</v>
      </c>
      <c r="F16" t="s">
        <v>558</v>
      </c>
      <c r="G16" s="21">
        <v>-118.54</v>
      </c>
      <c r="H16" s="21">
        <v>0</v>
      </c>
      <c r="I16" s="21">
        <v>0</v>
      </c>
      <c r="J16" s="21">
        <v>0</v>
      </c>
      <c r="K16" s="21">
        <v>2.37</v>
      </c>
      <c r="L16" s="21">
        <v>-116.17</v>
      </c>
    </row>
    <row r="17" spans="1:12" ht="45" x14ac:dyDescent="0.25">
      <c r="A17" s="10">
        <v>12</v>
      </c>
      <c r="B17" t="s">
        <v>557</v>
      </c>
      <c r="C17" t="s">
        <v>13</v>
      </c>
      <c r="D17" t="s">
        <v>25</v>
      </c>
      <c r="E17" s="52" t="s">
        <v>26</v>
      </c>
      <c r="F17" t="s">
        <v>558</v>
      </c>
      <c r="G17" s="21">
        <v>0</v>
      </c>
      <c r="H17" s="21">
        <v>0</v>
      </c>
      <c r="I17" s="21">
        <v>0</v>
      </c>
      <c r="J17" s="21">
        <v>-14.22</v>
      </c>
      <c r="K17" s="21">
        <v>0</v>
      </c>
      <c r="L17" s="21">
        <v>-14.22</v>
      </c>
    </row>
    <row r="18" spans="1:12" ht="45" x14ac:dyDescent="0.25">
      <c r="A18" s="10">
        <v>13</v>
      </c>
      <c r="B18" t="s">
        <v>559</v>
      </c>
      <c r="C18" t="s">
        <v>17</v>
      </c>
      <c r="D18" t="s">
        <v>25</v>
      </c>
      <c r="E18" s="52" t="s">
        <v>26</v>
      </c>
      <c r="F18" t="s">
        <v>560</v>
      </c>
      <c r="G18" s="21">
        <v>-239.71</v>
      </c>
      <c r="H18" s="21">
        <v>0</v>
      </c>
      <c r="I18" s="21">
        <v>0</v>
      </c>
      <c r="J18" s="21">
        <v>0</v>
      </c>
      <c r="K18" s="21">
        <v>4.79</v>
      </c>
      <c r="L18" s="21">
        <v>-234.92</v>
      </c>
    </row>
    <row r="19" spans="1:12" ht="45" x14ac:dyDescent="0.25">
      <c r="A19" s="10">
        <v>14</v>
      </c>
      <c r="B19" t="s">
        <v>559</v>
      </c>
      <c r="C19" t="s">
        <v>13</v>
      </c>
      <c r="D19" t="s">
        <v>25</v>
      </c>
      <c r="E19" s="52" t="s">
        <v>26</v>
      </c>
      <c r="F19" t="s">
        <v>560</v>
      </c>
      <c r="G19" s="21">
        <v>0</v>
      </c>
      <c r="H19" s="21">
        <v>0</v>
      </c>
      <c r="I19" s="21">
        <v>0</v>
      </c>
      <c r="J19" s="21">
        <v>-28.77</v>
      </c>
      <c r="K19" s="21">
        <v>0</v>
      </c>
      <c r="L19" s="21">
        <v>-28.77</v>
      </c>
    </row>
    <row r="20" spans="1:12" ht="45" x14ac:dyDescent="0.25">
      <c r="A20" s="10">
        <v>15</v>
      </c>
      <c r="B20" t="s">
        <v>18</v>
      </c>
      <c r="C20" t="s">
        <v>17</v>
      </c>
      <c r="D20" t="s">
        <v>25</v>
      </c>
      <c r="E20" s="52" t="s">
        <v>26</v>
      </c>
      <c r="F20" t="s">
        <v>19</v>
      </c>
      <c r="G20" s="21">
        <v>-0.76</v>
      </c>
      <c r="H20" s="21">
        <v>0</v>
      </c>
      <c r="I20" s="21">
        <v>0</v>
      </c>
      <c r="J20" s="21">
        <v>0</v>
      </c>
      <c r="K20" s="21">
        <v>0.68</v>
      </c>
      <c r="L20" s="21">
        <v>-0.08</v>
      </c>
    </row>
    <row r="21" spans="1:12" ht="45" x14ac:dyDescent="0.25">
      <c r="A21" s="10">
        <v>16</v>
      </c>
      <c r="B21" t="s">
        <v>550</v>
      </c>
      <c r="C21" t="s">
        <v>17</v>
      </c>
      <c r="D21" t="s">
        <v>25</v>
      </c>
      <c r="E21" s="52" t="s">
        <v>26</v>
      </c>
      <c r="F21" t="s">
        <v>551</v>
      </c>
      <c r="G21" s="21">
        <v>-622.39</v>
      </c>
      <c r="H21" s="21">
        <v>0</v>
      </c>
      <c r="I21" s="21">
        <v>0</v>
      </c>
      <c r="J21" s="21">
        <v>0</v>
      </c>
      <c r="K21" s="21">
        <v>12.45</v>
      </c>
      <c r="L21" s="21">
        <v>-609.94000000000005</v>
      </c>
    </row>
    <row r="22" spans="1:12" ht="45" x14ac:dyDescent="0.25">
      <c r="A22" s="10">
        <v>17</v>
      </c>
      <c r="B22" t="s">
        <v>550</v>
      </c>
      <c r="C22" t="s">
        <v>17</v>
      </c>
      <c r="D22" t="s">
        <v>25</v>
      </c>
      <c r="E22" s="52" t="s">
        <v>26</v>
      </c>
      <c r="F22" t="s">
        <v>551</v>
      </c>
      <c r="G22" s="21">
        <v>-6239.41</v>
      </c>
      <c r="H22" s="21">
        <v>0</v>
      </c>
      <c r="I22" s="21">
        <v>0</v>
      </c>
      <c r="J22" s="21">
        <v>0</v>
      </c>
      <c r="K22" s="21">
        <v>124.79</v>
      </c>
      <c r="L22" s="21">
        <v>-6114.62</v>
      </c>
    </row>
    <row r="23" spans="1:12" ht="45" x14ac:dyDescent="0.25">
      <c r="A23" s="10">
        <v>18</v>
      </c>
      <c r="B23" t="s">
        <v>550</v>
      </c>
      <c r="C23" t="s">
        <v>13</v>
      </c>
      <c r="D23" t="s">
        <v>25</v>
      </c>
      <c r="E23" s="52" t="s">
        <v>26</v>
      </c>
      <c r="F23" t="s">
        <v>551</v>
      </c>
      <c r="G23" s="21">
        <v>0</v>
      </c>
      <c r="H23" s="21">
        <v>0</v>
      </c>
      <c r="I23" s="21">
        <v>0</v>
      </c>
      <c r="J23" s="21">
        <v>-74.69</v>
      </c>
      <c r="K23" s="21">
        <v>0</v>
      </c>
      <c r="L23" s="21">
        <v>-74.69</v>
      </c>
    </row>
    <row r="24" spans="1:12" ht="45" x14ac:dyDescent="0.25">
      <c r="A24" s="10">
        <v>19</v>
      </c>
      <c r="B24" t="s">
        <v>550</v>
      </c>
      <c r="C24" t="s">
        <v>13</v>
      </c>
      <c r="D24" t="s">
        <v>25</v>
      </c>
      <c r="E24" s="52" t="s">
        <v>26</v>
      </c>
      <c r="F24" t="s">
        <v>551</v>
      </c>
      <c r="G24" s="21">
        <v>0</v>
      </c>
      <c r="H24" s="21">
        <v>0</v>
      </c>
      <c r="I24" s="21">
        <v>0</v>
      </c>
      <c r="J24" s="21">
        <v>-748.73</v>
      </c>
      <c r="K24" s="21">
        <v>0</v>
      </c>
      <c r="L24" s="21">
        <v>-748.73</v>
      </c>
    </row>
    <row r="25" spans="1:12" ht="45" x14ac:dyDescent="0.25">
      <c r="A25" s="10">
        <v>20</v>
      </c>
      <c r="B25" t="s">
        <v>550</v>
      </c>
      <c r="C25" t="s">
        <v>17</v>
      </c>
      <c r="D25" t="s">
        <v>25</v>
      </c>
      <c r="E25" s="52" t="s">
        <v>26</v>
      </c>
      <c r="F25" t="s">
        <v>552</v>
      </c>
      <c r="G25" s="21">
        <v>-0.04</v>
      </c>
      <c r="H25" s="21">
        <v>0</v>
      </c>
      <c r="I25" s="21">
        <v>0</v>
      </c>
      <c r="J25" s="21">
        <v>0</v>
      </c>
      <c r="K25" s="21">
        <v>0</v>
      </c>
      <c r="L25" s="21">
        <v>-0.04</v>
      </c>
    </row>
    <row r="26" spans="1:12" ht="45" x14ac:dyDescent="0.25">
      <c r="A26" s="10">
        <v>21</v>
      </c>
      <c r="B26" t="s">
        <v>550</v>
      </c>
      <c r="C26" t="s">
        <v>17</v>
      </c>
      <c r="D26" t="s">
        <v>25</v>
      </c>
      <c r="E26" s="52" t="s">
        <v>26</v>
      </c>
      <c r="F26" t="s">
        <v>552</v>
      </c>
      <c r="G26" s="21">
        <v>-0.45</v>
      </c>
      <c r="H26" s="21">
        <v>0</v>
      </c>
      <c r="I26" s="21">
        <v>0</v>
      </c>
      <c r="J26" s="21">
        <v>0</v>
      </c>
      <c r="K26" s="21">
        <v>0.01</v>
      </c>
      <c r="L26" s="21">
        <v>-0.44</v>
      </c>
    </row>
    <row r="27" spans="1:12" ht="45" x14ac:dyDescent="0.25">
      <c r="A27" s="10">
        <v>22</v>
      </c>
      <c r="B27" t="s">
        <v>550</v>
      </c>
      <c r="C27" t="s">
        <v>13</v>
      </c>
      <c r="D27" t="s">
        <v>25</v>
      </c>
      <c r="E27" s="52" t="s">
        <v>26</v>
      </c>
      <c r="F27" t="s">
        <v>552</v>
      </c>
      <c r="G27" s="21">
        <v>0</v>
      </c>
      <c r="H27" s="21">
        <v>0</v>
      </c>
      <c r="I27" s="21">
        <v>0</v>
      </c>
      <c r="J27" s="21">
        <v>0</v>
      </c>
      <c r="K27" s="21">
        <v>0</v>
      </c>
      <c r="L27" s="21">
        <v>0</v>
      </c>
    </row>
    <row r="28" spans="1:12" ht="45" x14ac:dyDescent="0.25">
      <c r="A28" s="10">
        <v>23</v>
      </c>
      <c r="B28" t="s">
        <v>550</v>
      </c>
      <c r="C28" t="s">
        <v>13</v>
      </c>
      <c r="D28" t="s">
        <v>25</v>
      </c>
      <c r="E28" s="52" t="s">
        <v>26</v>
      </c>
      <c r="F28" t="s">
        <v>552</v>
      </c>
      <c r="G28" s="21">
        <v>0</v>
      </c>
      <c r="H28" s="21">
        <v>0</v>
      </c>
      <c r="I28" s="21">
        <v>0</v>
      </c>
      <c r="J28" s="21">
        <v>-0.05</v>
      </c>
      <c r="K28" s="21">
        <v>0</v>
      </c>
      <c r="L28" s="21">
        <v>-0.05</v>
      </c>
    </row>
    <row r="29" spans="1:12" ht="60" x14ac:dyDescent="0.25">
      <c r="A29" s="10">
        <v>24</v>
      </c>
      <c r="B29" t="s">
        <v>18</v>
      </c>
      <c r="C29" t="s">
        <v>17</v>
      </c>
      <c r="D29" t="s">
        <v>27</v>
      </c>
      <c r="E29" s="52" t="s">
        <v>28</v>
      </c>
      <c r="F29" t="s">
        <v>19</v>
      </c>
      <c r="G29" s="21">
        <v>-0.13</v>
      </c>
      <c r="H29" s="21">
        <v>0</v>
      </c>
      <c r="I29" s="21">
        <v>0</v>
      </c>
      <c r="J29" s="21">
        <v>0</v>
      </c>
      <c r="K29" s="21">
        <v>0.11</v>
      </c>
      <c r="L29" s="21">
        <v>-0.02</v>
      </c>
    </row>
    <row r="30" spans="1:12" ht="60" x14ac:dyDescent="0.25">
      <c r="A30" s="10">
        <v>25</v>
      </c>
      <c r="B30" t="s">
        <v>550</v>
      </c>
      <c r="C30" t="s">
        <v>17</v>
      </c>
      <c r="D30" t="s">
        <v>27</v>
      </c>
      <c r="E30" s="52" t="s">
        <v>28</v>
      </c>
      <c r="F30" t="s">
        <v>551</v>
      </c>
      <c r="G30" s="21">
        <v>-42172.88</v>
      </c>
      <c r="H30" s="21">
        <v>0</v>
      </c>
      <c r="I30" s="21">
        <v>0</v>
      </c>
      <c r="J30" s="21">
        <v>0</v>
      </c>
      <c r="K30" s="21">
        <v>843.46</v>
      </c>
      <c r="L30" s="21">
        <v>-41329.42</v>
      </c>
    </row>
    <row r="31" spans="1:12" ht="60" x14ac:dyDescent="0.25">
      <c r="A31" s="10">
        <v>26</v>
      </c>
      <c r="B31" t="s">
        <v>550</v>
      </c>
      <c r="C31" t="s">
        <v>13</v>
      </c>
      <c r="D31" t="s">
        <v>27</v>
      </c>
      <c r="E31" s="52" t="s">
        <v>28</v>
      </c>
      <c r="F31" t="s">
        <v>551</v>
      </c>
      <c r="G31" s="21">
        <v>0</v>
      </c>
      <c r="H31" s="21">
        <v>0</v>
      </c>
      <c r="I31" s="21">
        <v>0</v>
      </c>
      <c r="J31" s="21">
        <v>-5060.75</v>
      </c>
      <c r="K31" s="21">
        <v>0</v>
      </c>
      <c r="L31" s="21">
        <v>-5060.75</v>
      </c>
    </row>
    <row r="32" spans="1:12" ht="60" x14ac:dyDescent="0.25">
      <c r="A32" s="10">
        <v>27</v>
      </c>
      <c r="B32" t="s">
        <v>550</v>
      </c>
      <c r="C32" t="s">
        <v>17</v>
      </c>
      <c r="D32" t="s">
        <v>27</v>
      </c>
      <c r="E32" s="52" t="s">
        <v>28</v>
      </c>
      <c r="F32" t="s">
        <v>552</v>
      </c>
      <c r="G32" s="21">
        <v>-3.03</v>
      </c>
      <c r="H32" s="21">
        <v>0</v>
      </c>
      <c r="I32" s="21">
        <v>0</v>
      </c>
      <c r="J32" s="21">
        <v>0</v>
      </c>
      <c r="K32" s="21">
        <v>0.06</v>
      </c>
      <c r="L32" s="21">
        <v>-2.97</v>
      </c>
    </row>
    <row r="33" spans="1:12" ht="60" x14ac:dyDescent="0.25">
      <c r="A33" s="10">
        <v>28</v>
      </c>
      <c r="B33" t="s">
        <v>550</v>
      </c>
      <c r="C33" t="s">
        <v>13</v>
      </c>
      <c r="D33" t="s">
        <v>27</v>
      </c>
      <c r="E33" s="52" t="s">
        <v>28</v>
      </c>
      <c r="F33" t="s">
        <v>552</v>
      </c>
      <c r="G33" s="21">
        <v>0</v>
      </c>
      <c r="H33" s="21">
        <v>0</v>
      </c>
      <c r="I33" s="21">
        <v>0</v>
      </c>
      <c r="J33" s="21">
        <v>-0.36</v>
      </c>
      <c r="K33" s="21">
        <v>0</v>
      </c>
      <c r="L33" s="21">
        <v>-0.36</v>
      </c>
    </row>
    <row r="34" spans="1:12" ht="30" x14ac:dyDescent="0.25">
      <c r="A34" s="10">
        <v>29</v>
      </c>
      <c r="B34" t="s">
        <v>22</v>
      </c>
      <c r="C34" t="s">
        <v>17</v>
      </c>
      <c r="D34" t="s">
        <v>561</v>
      </c>
      <c r="E34" s="52" t="s">
        <v>562</v>
      </c>
      <c r="F34" t="s">
        <v>23</v>
      </c>
      <c r="G34" s="21">
        <v>0</v>
      </c>
      <c r="H34" s="21">
        <v>0</v>
      </c>
      <c r="I34" s="21">
        <v>-0.25</v>
      </c>
      <c r="J34" s="21">
        <v>0</v>
      </c>
      <c r="K34" s="21">
        <v>0</v>
      </c>
      <c r="L34" s="21">
        <v>-0.25</v>
      </c>
    </row>
    <row r="35" spans="1:12" ht="30" x14ac:dyDescent="0.25">
      <c r="A35" s="10">
        <v>30</v>
      </c>
      <c r="B35" t="s">
        <v>550</v>
      </c>
      <c r="C35" t="s">
        <v>17</v>
      </c>
      <c r="D35" t="s">
        <v>561</v>
      </c>
      <c r="E35" s="52" t="s">
        <v>562</v>
      </c>
      <c r="F35" t="s">
        <v>551</v>
      </c>
      <c r="G35" s="21">
        <v>0</v>
      </c>
      <c r="H35" s="21">
        <v>0</v>
      </c>
      <c r="I35" s="21">
        <v>-1.81</v>
      </c>
      <c r="J35" s="21">
        <v>0</v>
      </c>
      <c r="K35" s="21">
        <v>0.04</v>
      </c>
      <c r="L35" s="21">
        <v>-1.77</v>
      </c>
    </row>
    <row r="36" spans="1:12" x14ac:dyDescent="0.25">
      <c r="A36" s="10">
        <v>31</v>
      </c>
      <c r="B36" t="s">
        <v>550</v>
      </c>
      <c r="C36" t="s">
        <v>17</v>
      </c>
      <c r="D36" t="s">
        <v>564</v>
      </c>
      <c r="E36" s="52" t="s">
        <v>565</v>
      </c>
      <c r="F36" t="s">
        <v>551</v>
      </c>
      <c r="G36" s="21">
        <v>-144.97</v>
      </c>
      <c r="H36" s="21">
        <v>0</v>
      </c>
      <c r="I36" s="21">
        <v>0</v>
      </c>
      <c r="J36" s="21">
        <v>0</v>
      </c>
      <c r="K36" s="21">
        <v>2.9</v>
      </c>
      <c r="L36" s="21">
        <v>-142.07</v>
      </c>
    </row>
    <row r="37" spans="1:12" x14ac:dyDescent="0.25">
      <c r="A37" s="10">
        <v>32</v>
      </c>
      <c r="B37" t="s">
        <v>550</v>
      </c>
      <c r="C37" t="s">
        <v>13</v>
      </c>
      <c r="D37" t="s">
        <v>564</v>
      </c>
      <c r="E37" s="52" t="s">
        <v>565</v>
      </c>
      <c r="F37" t="s">
        <v>551</v>
      </c>
      <c r="G37" s="21">
        <v>0</v>
      </c>
      <c r="H37" s="21">
        <v>0</v>
      </c>
      <c r="I37" s="21">
        <v>0</v>
      </c>
      <c r="J37" s="21">
        <v>-17.399999999999999</v>
      </c>
      <c r="K37" s="21">
        <v>0</v>
      </c>
      <c r="L37" s="21">
        <v>-17.399999999999999</v>
      </c>
    </row>
    <row r="38" spans="1:12" x14ac:dyDescent="0.25">
      <c r="A38" s="10">
        <v>33</v>
      </c>
      <c r="B38" t="s">
        <v>550</v>
      </c>
      <c r="C38" t="s">
        <v>17</v>
      </c>
      <c r="D38" t="s">
        <v>564</v>
      </c>
      <c r="E38" s="52" t="s">
        <v>565</v>
      </c>
      <c r="F38" t="s">
        <v>552</v>
      </c>
      <c r="G38" s="21">
        <v>-0.01</v>
      </c>
      <c r="H38" s="21">
        <v>0</v>
      </c>
      <c r="I38" s="21">
        <v>0</v>
      </c>
      <c r="J38" s="21">
        <v>0</v>
      </c>
      <c r="K38" s="21">
        <v>0</v>
      </c>
      <c r="L38" s="21">
        <v>-0.01</v>
      </c>
    </row>
    <row r="39" spans="1:12" x14ac:dyDescent="0.25">
      <c r="A39" s="10">
        <v>34</v>
      </c>
      <c r="B39" t="s">
        <v>550</v>
      </c>
      <c r="C39" t="s">
        <v>13</v>
      </c>
      <c r="D39" t="s">
        <v>564</v>
      </c>
      <c r="E39" s="52" t="s">
        <v>565</v>
      </c>
      <c r="F39" t="s">
        <v>552</v>
      </c>
      <c r="G39" s="21">
        <v>0</v>
      </c>
      <c r="H39" s="21">
        <v>0</v>
      </c>
      <c r="I39" s="21">
        <v>0</v>
      </c>
      <c r="J39" s="21">
        <v>0</v>
      </c>
      <c r="K39" s="21">
        <v>0</v>
      </c>
      <c r="L39" s="21">
        <v>0</v>
      </c>
    </row>
    <row r="40" spans="1:12" x14ac:dyDescent="0.25">
      <c r="A40" s="10">
        <v>35</v>
      </c>
      <c r="B40" t="s">
        <v>555</v>
      </c>
      <c r="C40" t="s">
        <v>17</v>
      </c>
      <c r="D40" t="s">
        <v>31</v>
      </c>
      <c r="E40" s="52" t="s">
        <v>32</v>
      </c>
      <c r="F40" t="s">
        <v>556</v>
      </c>
      <c r="G40" s="21">
        <v>-374.52</v>
      </c>
      <c r="H40" s="21">
        <v>0</v>
      </c>
      <c r="I40" s="21">
        <v>0</v>
      </c>
      <c r="J40" s="21">
        <v>0</v>
      </c>
      <c r="K40" s="21">
        <v>7.49</v>
      </c>
      <c r="L40" s="21">
        <v>-367.03</v>
      </c>
    </row>
    <row r="41" spans="1:12" x14ac:dyDescent="0.25">
      <c r="A41" s="10">
        <v>36</v>
      </c>
      <c r="B41" t="s">
        <v>555</v>
      </c>
      <c r="C41" t="s">
        <v>17</v>
      </c>
      <c r="D41" t="s">
        <v>31</v>
      </c>
      <c r="E41" s="52" t="s">
        <v>32</v>
      </c>
      <c r="F41" t="s">
        <v>556</v>
      </c>
      <c r="G41" s="21">
        <v>0</v>
      </c>
      <c r="H41" s="21">
        <v>0</v>
      </c>
      <c r="I41" s="21">
        <v>-89.94</v>
      </c>
      <c r="J41" s="21">
        <v>0</v>
      </c>
      <c r="K41" s="21">
        <v>1.8</v>
      </c>
      <c r="L41" s="21">
        <v>-88.14</v>
      </c>
    </row>
    <row r="42" spans="1:12" x14ac:dyDescent="0.25">
      <c r="A42" s="10">
        <v>37</v>
      </c>
      <c r="B42" t="s">
        <v>555</v>
      </c>
      <c r="C42" t="s">
        <v>13</v>
      </c>
      <c r="D42" t="s">
        <v>31</v>
      </c>
      <c r="E42" s="52" t="s">
        <v>32</v>
      </c>
      <c r="F42" t="s">
        <v>556</v>
      </c>
      <c r="G42" s="21">
        <v>0</v>
      </c>
      <c r="H42" s="21">
        <v>0</v>
      </c>
      <c r="I42" s="21">
        <v>0</v>
      </c>
      <c r="J42" s="21">
        <v>-44.94</v>
      </c>
      <c r="K42" s="21">
        <v>0</v>
      </c>
      <c r="L42" s="21">
        <v>-44.94</v>
      </c>
    </row>
    <row r="43" spans="1:12" x14ac:dyDescent="0.25">
      <c r="A43" s="10">
        <v>38</v>
      </c>
      <c r="B43" t="s">
        <v>557</v>
      </c>
      <c r="C43" t="s">
        <v>17</v>
      </c>
      <c r="D43" t="s">
        <v>31</v>
      </c>
      <c r="E43" s="52" t="s">
        <v>32</v>
      </c>
      <c r="F43" t="s">
        <v>558</v>
      </c>
      <c r="G43" s="21">
        <v>-161.56</v>
      </c>
      <c r="H43" s="21">
        <v>0</v>
      </c>
      <c r="I43" s="21">
        <v>0</v>
      </c>
      <c r="J43" s="21">
        <v>0</v>
      </c>
      <c r="K43" s="21">
        <v>3.23</v>
      </c>
      <c r="L43" s="21">
        <v>-158.33000000000001</v>
      </c>
    </row>
    <row r="44" spans="1:12" x14ac:dyDescent="0.25">
      <c r="A44" s="10">
        <v>39</v>
      </c>
      <c r="B44" t="s">
        <v>557</v>
      </c>
      <c r="C44" t="s">
        <v>17</v>
      </c>
      <c r="D44" t="s">
        <v>31</v>
      </c>
      <c r="E44" s="52" t="s">
        <v>32</v>
      </c>
      <c r="F44" t="s">
        <v>558</v>
      </c>
      <c r="G44" s="21">
        <v>0</v>
      </c>
      <c r="H44" s="21">
        <v>0</v>
      </c>
      <c r="I44" s="21">
        <v>-70.98</v>
      </c>
      <c r="J44" s="21">
        <v>0</v>
      </c>
      <c r="K44" s="21">
        <v>1.42</v>
      </c>
      <c r="L44" s="21">
        <v>-69.56</v>
      </c>
    </row>
    <row r="45" spans="1:12" x14ac:dyDescent="0.25">
      <c r="A45" s="10">
        <v>40</v>
      </c>
      <c r="B45" t="s">
        <v>557</v>
      </c>
      <c r="C45" t="s">
        <v>13</v>
      </c>
      <c r="D45" t="s">
        <v>31</v>
      </c>
      <c r="E45" s="52" t="s">
        <v>32</v>
      </c>
      <c r="F45" t="s">
        <v>558</v>
      </c>
      <c r="G45" s="21">
        <v>0</v>
      </c>
      <c r="H45" s="21">
        <v>0</v>
      </c>
      <c r="I45" s="21">
        <v>0</v>
      </c>
      <c r="J45" s="21">
        <v>-19.39</v>
      </c>
      <c r="K45" s="21">
        <v>0</v>
      </c>
      <c r="L45" s="21">
        <v>-19.39</v>
      </c>
    </row>
    <row r="46" spans="1:12" x14ac:dyDescent="0.25">
      <c r="A46" s="10">
        <v>41</v>
      </c>
      <c r="B46" t="s">
        <v>566</v>
      </c>
      <c r="C46" t="s">
        <v>17</v>
      </c>
      <c r="D46" t="s">
        <v>31</v>
      </c>
      <c r="E46" s="52" t="s">
        <v>32</v>
      </c>
      <c r="F46" t="s">
        <v>567</v>
      </c>
      <c r="G46" s="21">
        <v>-0.63</v>
      </c>
      <c r="H46" s="21">
        <v>0</v>
      </c>
      <c r="I46" s="21">
        <v>0</v>
      </c>
      <c r="J46" s="21">
        <v>0</v>
      </c>
      <c r="K46" s="21">
        <v>0.01</v>
      </c>
      <c r="L46" s="21">
        <v>-0.62</v>
      </c>
    </row>
    <row r="47" spans="1:12" x14ac:dyDescent="0.25">
      <c r="A47" s="10">
        <v>42</v>
      </c>
      <c r="B47" t="s">
        <v>566</v>
      </c>
      <c r="C47" t="s">
        <v>13</v>
      </c>
      <c r="D47" t="s">
        <v>31</v>
      </c>
      <c r="E47" s="52" t="s">
        <v>32</v>
      </c>
      <c r="F47" t="s">
        <v>567</v>
      </c>
      <c r="G47" s="21">
        <v>0</v>
      </c>
      <c r="H47" s="21">
        <v>0</v>
      </c>
      <c r="I47" s="21">
        <v>0</v>
      </c>
      <c r="J47" s="21">
        <v>-0.08</v>
      </c>
      <c r="K47" s="21">
        <v>0</v>
      </c>
      <c r="L47" s="21">
        <v>-0.08</v>
      </c>
    </row>
    <row r="48" spans="1:12" x14ac:dyDescent="0.25">
      <c r="A48" s="10">
        <v>43</v>
      </c>
      <c r="B48" t="s">
        <v>18</v>
      </c>
      <c r="C48" t="s">
        <v>17</v>
      </c>
      <c r="D48" t="s">
        <v>31</v>
      </c>
      <c r="E48" s="52" t="s">
        <v>32</v>
      </c>
      <c r="F48" t="s">
        <v>19</v>
      </c>
      <c r="G48" s="21">
        <v>0</v>
      </c>
      <c r="H48" s="21">
        <v>0</v>
      </c>
      <c r="I48" s="21">
        <v>-162.77000000000001</v>
      </c>
      <c r="J48" s="21">
        <v>0</v>
      </c>
      <c r="K48" s="21">
        <v>19.14</v>
      </c>
      <c r="L48" s="21">
        <v>-143.63</v>
      </c>
    </row>
    <row r="49" spans="1:12" x14ac:dyDescent="0.25">
      <c r="A49" s="10">
        <v>44</v>
      </c>
      <c r="B49" t="s">
        <v>18</v>
      </c>
      <c r="C49" t="s">
        <v>17</v>
      </c>
      <c r="D49" t="s">
        <v>31</v>
      </c>
      <c r="E49" s="52" t="s">
        <v>32</v>
      </c>
      <c r="F49" t="s">
        <v>19</v>
      </c>
      <c r="G49" s="21">
        <v>0</v>
      </c>
      <c r="H49" s="21">
        <v>0</v>
      </c>
      <c r="I49" s="21">
        <v>-6.23</v>
      </c>
      <c r="J49" s="21">
        <v>0</v>
      </c>
      <c r="K49" s="21">
        <v>0.73</v>
      </c>
      <c r="L49" s="21">
        <v>-5.5</v>
      </c>
    </row>
    <row r="50" spans="1:12" x14ac:dyDescent="0.25">
      <c r="A50" s="10">
        <v>45</v>
      </c>
      <c r="B50" t="s">
        <v>550</v>
      </c>
      <c r="C50" t="s">
        <v>17</v>
      </c>
      <c r="D50" t="s">
        <v>31</v>
      </c>
      <c r="E50" s="52" t="s">
        <v>32</v>
      </c>
      <c r="F50" t="s">
        <v>551</v>
      </c>
      <c r="G50" s="21">
        <v>-410.39</v>
      </c>
      <c r="H50" s="21">
        <v>0</v>
      </c>
      <c r="I50" s="21">
        <v>0</v>
      </c>
      <c r="J50" s="21">
        <v>0</v>
      </c>
      <c r="K50" s="21">
        <v>8.2100000000000009</v>
      </c>
      <c r="L50" s="21">
        <v>-402.18</v>
      </c>
    </row>
    <row r="51" spans="1:12" x14ac:dyDescent="0.25">
      <c r="A51" s="10">
        <v>46</v>
      </c>
      <c r="B51" t="s">
        <v>550</v>
      </c>
      <c r="C51" t="s">
        <v>17</v>
      </c>
      <c r="D51" t="s">
        <v>31</v>
      </c>
      <c r="E51" s="52" t="s">
        <v>32</v>
      </c>
      <c r="F51" t="s">
        <v>551</v>
      </c>
      <c r="G51" s="21">
        <v>0</v>
      </c>
      <c r="H51" s="21">
        <v>0</v>
      </c>
      <c r="I51" s="21">
        <v>-346633.43</v>
      </c>
      <c r="J51" s="21">
        <v>0</v>
      </c>
      <c r="K51" s="21">
        <v>6932.67</v>
      </c>
      <c r="L51" s="21">
        <v>-339700.76</v>
      </c>
    </row>
    <row r="52" spans="1:12" x14ac:dyDescent="0.25">
      <c r="A52" s="10">
        <v>47</v>
      </c>
      <c r="B52" t="s">
        <v>550</v>
      </c>
      <c r="C52" t="s">
        <v>17</v>
      </c>
      <c r="D52" t="s">
        <v>31</v>
      </c>
      <c r="E52" s="52" t="s">
        <v>32</v>
      </c>
      <c r="F52" t="s">
        <v>551</v>
      </c>
      <c r="G52" s="21">
        <v>-3126.82</v>
      </c>
      <c r="H52" s="21">
        <v>0</v>
      </c>
      <c r="I52" s="21">
        <v>0</v>
      </c>
      <c r="J52" s="21">
        <v>0</v>
      </c>
      <c r="K52" s="21">
        <v>62.54</v>
      </c>
      <c r="L52" s="21">
        <v>-3064.28</v>
      </c>
    </row>
    <row r="53" spans="1:12" x14ac:dyDescent="0.25">
      <c r="A53" s="10">
        <v>48</v>
      </c>
      <c r="B53" t="s">
        <v>550</v>
      </c>
      <c r="C53" t="s">
        <v>17</v>
      </c>
      <c r="D53" t="s">
        <v>31</v>
      </c>
      <c r="E53" s="52" t="s">
        <v>32</v>
      </c>
      <c r="F53" t="s">
        <v>551</v>
      </c>
      <c r="G53" s="21">
        <v>0</v>
      </c>
      <c r="H53" s="21">
        <v>0</v>
      </c>
      <c r="I53" s="21">
        <v>-17184.509999999998</v>
      </c>
      <c r="J53" s="21">
        <v>0</v>
      </c>
      <c r="K53" s="21">
        <v>343.69</v>
      </c>
      <c r="L53" s="21">
        <v>-16840.82</v>
      </c>
    </row>
    <row r="54" spans="1:12" x14ac:dyDescent="0.25">
      <c r="A54" s="10">
        <v>49</v>
      </c>
      <c r="B54" t="s">
        <v>550</v>
      </c>
      <c r="C54" t="s">
        <v>13</v>
      </c>
      <c r="D54" t="s">
        <v>31</v>
      </c>
      <c r="E54" s="52" t="s">
        <v>32</v>
      </c>
      <c r="F54" t="s">
        <v>551</v>
      </c>
      <c r="G54" s="21">
        <v>0</v>
      </c>
      <c r="H54" s="21">
        <v>0</v>
      </c>
      <c r="I54" s="21">
        <v>0</v>
      </c>
      <c r="J54" s="21">
        <v>-49.25</v>
      </c>
      <c r="K54" s="21">
        <v>0</v>
      </c>
      <c r="L54" s="21">
        <v>-49.25</v>
      </c>
    </row>
    <row r="55" spans="1:12" x14ac:dyDescent="0.25">
      <c r="A55" s="10">
        <v>50</v>
      </c>
      <c r="B55" t="s">
        <v>550</v>
      </c>
      <c r="C55" t="s">
        <v>13</v>
      </c>
      <c r="D55" t="s">
        <v>31</v>
      </c>
      <c r="E55" s="52" t="s">
        <v>32</v>
      </c>
      <c r="F55" t="s">
        <v>551</v>
      </c>
      <c r="G55" s="21">
        <v>0</v>
      </c>
      <c r="H55" s="21">
        <v>0</v>
      </c>
      <c r="I55" s="21">
        <v>0</v>
      </c>
      <c r="J55" s="21">
        <v>-375.22</v>
      </c>
      <c r="K55" s="21">
        <v>0</v>
      </c>
      <c r="L55" s="21">
        <v>-375.22</v>
      </c>
    </row>
    <row r="56" spans="1:12" x14ac:dyDescent="0.25">
      <c r="A56" s="10">
        <v>51</v>
      </c>
      <c r="B56" t="s">
        <v>550</v>
      </c>
      <c r="C56" t="s">
        <v>17</v>
      </c>
      <c r="D56" t="s">
        <v>31</v>
      </c>
      <c r="E56" s="52" t="s">
        <v>32</v>
      </c>
      <c r="F56" t="s">
        <v>552</v>
      </c>
      <c r="G56" s="21">
        <v>-0.03</v>
      </c>
      <c r="H56" s="21">
        <v>0</v>
      </c>
      <c r="I56" s="21">
        <v>0</v>
      </c>
      <c r="J56" s="21">
        <v>0</v>
      </c>
      <c r="K56" s="21">
        <v>0</v>
      </c>
      <c r="L56" s="21">
        <v>-0.03</v>
      </c>
    </row>
    <row r="57" spans="1:12" x14ac:dyDescent="0.25">
      <c r="A57" s="10">
        <v>52</v>
      </c>
      <c r="B57" t="s">
        <v>550</v>
      </c>
      <c r="C57" t="s">
        <v>17</v>
      </c>
      <c r="D57" t="s">
        <v>31</v>
      </c>
      <c r="E57" s="52" t="s">
        <v>32</v>
      </c>
      <c r="F57" t="s">
        <v>552</v>
      </c>
      <c r="G57" s="21">
        <v>0</v>
      </c>
      <c r="H57" s="21">
        <v>0</v>
      </c>
      <c r="I57" s="21">
        <v>-24.93</v>
      </c>
      <c r="J57" s="21">
        <v>0</v>
      </c>
      <c r="K57" s="21">
        <v>0.5</v>
      </c>
      <c r="L57" s="21">
        <v>-24.43</v>
      </c>
    </row>
    <row r="58" spans="1:12" x14ac:dyDescent="0.25">
      <c r="A58" s="10">
        <v>53</v>
      </c>
      <c r="B58" t="s">
        <v>550</v>
      </c>
      <c r="C58" t="s">
        <v>17</v>
      </c>
      <c r="D58" t="s">
        <v>31</v>
      </c>
      <c r="E58" s="52" t="s">
        <v>32</v>
      </c>
      <c r="F58" t="s">
        <v>552</v>
      </c>
      <c r="G58" s="21">
        <v>-0.22</v>
      </c>
      <c r="H58" s="21">
        <v>0</v>
      </c>
      <c r="I58" s="21">
        <v>0</v>
      </c>
      <c r="J58" s="21">
        <v>0</v>
      </c>
      <c r="K58" s="21">
        <v>0</v>
      </c>
      <c r="L58" s="21">
        <v>-0.22</v>
      </c>
    </row>
    <row r="59" spans="1:12" x14ac:dyDescent="0.25">
      <c r="A59" s="10">
        <v>54</v>
      </c>
      <c r="B59" t="s">
        <v>550</v>
      </c>
      <c r="C59" t="s">
        <v>17</v>
      </c>
      <c r="D59" t="s">
        <v>31</v>
      </c>
      <c r="E59" s="52" t="s">
        <v>32</v>
      </c>
      <c r="F59" t="s">
        <v>552</v>
      </c>
      <c r="G59" s="21">
        <v>0</v>
      </c>
      <c r="H59" s="21">
        <v>0</v>
      </c>
      <c r="I59" s="21">
        <v>-1.24</v>
      </c>
      <c r="J59" s="21">
        <v>0</v>
      </c>
      <c r="K59" s="21">
        <v>0.02</v>
      </c>
      <c r="L59" s="21">
        <v>-1.22</v>
      </c>
    </row>
    <row r="60" spans="1:12" x14ac:dyDescent="0.25">
      <c r="A60" s="10">
        <v>55</v>
      </c>
      <c r="B60" t="s">
        <v>550</v>
      </c>
      <c r="C60" t="s">
        <v>13</v>
      </c>
      <c r="D60" t="s">
        <v>31</v>
      </c>
      <c r="E60" s="52" t="s">
        <v>32</v>
      </c>
      <c r="F60" t="s">
        <v>552</v>
      </c>
      <c r="G60" s="21">
        <v>0</v>
      </c>
      <c r="H60" s="21">
        <v>0</v>
      </c>
      <c r="I60" s="21">
        <v>0</v>
      </c>
      <c r="J60" s="21">
        <v>0</v>
      </c>
      <c r="K60" s="21">
        <v>0</v>
      </c>
      <c r="L60" s="21">
        <v>0</v>
      </c>
    </row>
    <row r="61" spans="1:12" x14ac:dyDescent="0.25">
      <c r="A61" s="10">
        <v>56</v>
      </c>
      <c r="B61" t="s">
        <v>550</v>
      </c>
      <c r="C61" t="s">
        <v>13</v>
      </c>
      <c r="D61" t="s">
        <v>31</v>
      </c>
      <c r="E61" s="52" t="s">
        <v>32</v>
      </c>
      <c r="F61" t="s">
        <v>552</v>
      </c>
      <c r="G61" s="21">
        <v>0</v>
      </c>
      <c r="H61" s="21">
        <v>0</v>
      </c>
      <c r="I61" s="21">
        <v>0</v>
      </c>
      <c r="J61" s="21">
        <v>-0.03</v>
      </c>
      <c r="K61" s="21">
        <v>0</v>
      </c>
      <c r="L61" s="21">
        <v>-0.03</v>
      </c>
    </row>
    <row r="62" spans="1:12" ht="30" x14ac:dyDescent="0.25">
      <c r="A62" s="10">
        <v>57</v>
      </c>
      <c r="B62" t="s">
        <v>18</v>
      </c>
      <c r="C62" t="s">
        <v>17</v>
      </c>
      <c r="D62" t="s">
        <v>35</v>
      </c>
      <c r="E62" s="52" t="s">
        <v>36</v>
      </c>
      <c r="F62" t="s">
        <v>19</v>
      </c>
      <c r="G62" s="21">
        <v>-4.29</v>
      </c>
      <c r="H62" s="21">
        <v>0</v>
      </c>
      <c r="I62" s="21">
        <v>0</v>
      </c>
      <c r="J62" s="21">
        <v>0</v>
      </c>
      <c r="K62" s="21">
        <v>3.8</v>
      </c>
      <c r="L62" s="21">
        <v>-0.49</v>
      </c>
    </row>
    <row r="63" spans="1:12" ht="30" x14ac:dyDescent="0.25">
      <c r="A63" s="10">
        <v>58</v>
      </c>
      <c r="B63" t="s">
        <v>550</v>
      </c>
      <c r="C63" t="s">
        <v>17</v>
      </c>
      <c r="D63" t="s">
        <v>35</v>
      </c>
      <c r="E63" s="52" t="s">
        <v>36</v>
      </c>
      <c r="F63" t="s">
        <v>551</v>
      </c>
      <c r="G63" s="21">
        <v>-116577.93</v>
      </c>
      <c r="H63" s="21">
        <v>0</v>
      </c>
      <c r="I63" s="21">
        <v>0</v>
      </c>
      <c r="J63" s="21">
        <v>0</v>
      </c>
      <c r="K63" s="21">
        <v>2331.56</v>
      </c>
      <c r="L63" s="21">
        <v>-114246.37</v>
      </c>
    </row>
    <row r="64" spans="1:12" ht="30" x14ac:dyDescent="0.25">
      <c r="A64" s="10">
        <v>59</v>
      </c>
      <c r="B64" t="s">
        <v>550</v>
      </c>
      <c r="C64" t="s">
        <v>13</v>
      </c>
      <c r="D64" t="s">
        <v>35</v>
      </c>
      <c r="E64" s="52" t="s">
        <v>36</v>
      </c>
      <c r="F64" t="s">
        <v>551</v>
      </c>
      <c r="G64" s="21">
        <v>0</v>
      </c>
      <c r="H64" s="21">
        <v>0</v>
      </c>
      <c r="I64" s="21">
        <v>0</v>
      </c>
      <c r="J64" s="21">
        <v>-13509.99</v>
      </c>
      <c r="K64" s="21">
        <v>0</v>
      </c>
      <c r="L64" s="21">
        <v>-13509.99</v>
      </c>
    </row>
    <row r="65" spans="1:12" ht="30" x14ac:dyDescent="0.25">
      <c r="A65" s="10">
        <v>60</v>
      </c>
      <c r="B65" t="s">
        <v>550</v>
      </c>
      <c r="C65" t="s">
        <v>17</v>
      </c>
      <c r="D65" t="s">
        <v>35</v>
      </c>
      <c r="E65" s="52" t="s">
        <v>36</v>
      </c>
      <c r="F65" t="s">
        <v>552</v>
      </c>
      <c r="G65" s="21">
        <v>-8.39</v>
      </c>
      <c r="H65" s="21">
        <v>0</v>
      </c>
      <c r="I65" s="21">
        <v>0</v>
      </c>
      <c r="J65" s="21">
        <v>0</v>
      </c>
      <c r="K65" s="21">
        <v>0.17</v>
      </c>
      <c r="L65" s="21">
        <v>-8.2200000000000006</v>
      </c>
    </row>
    <row r="66" spans="1:12" ht="30" x14ac:dyDescent="0.25">
      <c r="A66" s="10">
        <v>61</v>
      </c>
      <c r="B66" t="s">
        <v>550</v>
      </c>
      <c r="C66" t="s">
        <v>13</v>
      </c>
      <c r="D66" t="s">
        <v>35</v>
      </c>
      <c r="E66" s="52" t="s">
        <v>36</v>
      </c>
      <c r="F66" t="s">
        <v>552</v>
      </c>
      <c r="G66" s="21">
        <v>0</v>
      </c>
      <c r="H66" s="21">
        <v>0</v>
      </c>
      <c r="I66" s="21">
        <v>0</v>
      </c>
      <c r="J66" s="21">
        <v>-0.98</v>
      </c>
      <c r="K66" s="21">
        <v>0</v>
      </c>
      <c r="L66" s="21">
        <v>-0.98</v>
      </c>
    </row>
    <row r="67" spans="1:12" ht="30" x14ac:dyDescent="0.25">
      <c r="A67" s="10">
        <v>62</v>
      </c>
      <c r="B67" t="s">
        <v>555</v>
      </c>
      <c r="C67" t="s">
        <v>17</v>
      </c>
      <c r="D67" t="s">
        <v>39</v>
      </c>
      <c r="E67" s="52" t="s">
        <v>40</v>
      </c>
      <c r="F67" t="s">
        <v>556</v>
      </c>
      <c r="G67" s="21">
        <v>-772.72</v>
      </c>
      <c r="H67" s="21">
        <v>0</v>
      </c>
      <c r="I67" s="21">
        <v>0</v>
      </c>
      <c r="J67" s="21">
        <v>0</v>
      </c>
      <c r="K67" s="21">
        <v>15.45</v>
      </c>
      <c r="L67" s="21">
        <v>-757.27</v>
      </c>
    </row>
    <row r="68" spans="1:12" ht="30" x14ac:dyDescent="0.25">
      <c r="A68" s="10">
        <v>63</v>
      </c>
      <c r="B68" t="s">
        <v>555</v>
      </c>
      <c r="C68" t="s">
        <v>13</v>
      </c>
      <c r="D68" t="s">
        <v>39</v>
      </c>
      <c r="E68" s="52" t="s">
        <v>40</v>
      </c>
      <c r="F68" t="s">
        <v>556</v>
      </c>
      <c r="G68" s="21">
        <v>0</v>
      </c>
      <c r="H68" s="21">
        <v>0</v>
      </c>
      <c r="I68" s="21">
        <v>0</v>
      </c>
      <c r="J68" s="21">
        <v>-92.73</v>
      </c>
      <c r="K68" s="21">
        <v>0</v>
      </c>
      <c r="L68" s="21">
        <v>-92.73</v>
      </c>
    </row>
    <row r="69" spans="1:12" ht="30" x14ac:dyDescent="0.25">
      <c r="A69" s="10">
        <v>64</v>
      </c>
      <c r="B69" t="s">
        <v>557</v>
      </c>
      <c r="C69" t="s">
        <v>17</v>
      </c>
      <c r="D69" t="s">
        <v>39</v>
      </c>
      <c r="E69" s="52" t="s">
        <v>40</v>
      </c>
      <c r="F69" t="s">
        <v>558</v>
      </c>
      <c r="G69" s="21">
        <v>-465.16</v>
      </c>
      <c r="H69" s="21">
        <v>0</v>
      </c>
      <c r="I69" s="21">
        <v>0</v>
      </c>
      <c r="J69" s="21">
        <v>0</v>
      </c>
      <c r="K69" s="21">
        <v>9.3000000000000007</v>
      </c>
      <c r="L69" s="21">
        <v>-455.86</v>
      </c>
    </row>
    <row r="70" spans="1:12" ht="30" x14ac:dyDescent="0.25">
      <c r="A70" s="10">
        <v>65</v>
      </c>
      <c r="B70" t="s">
        <v>557</v>
      </c>
      <c r="C70" t="s">
        <v>13</v>
      </c>
      <c r="D70" t="s">
        <v>39</v>
      </c>
      <c r="E70" s="52" t="s">
        <v>40</v>
      </c>
      <c r="F70" t="s">
        <v>558</v>
      </c>
      <c r="G70" s="21">
        <v>0</v>
      </c>
      <c r="H70" s="21">
        <v>0</v>
      </c>
      <c r="I70" s="21">
        <v>0</v>
      </c>
      <c r="J70" s="21">
        <v>-55.82</v>
      </c>
      <c r="K70" s="21">
        <v>0</v>
      </c>
      <c r="L70" s="21">
        <v>-55.82</v>
      </c>
    </row>
    <row r="71" spans="1:12" ht="30" x14ac:dyDescent="0.25">
      <c r="A71" s="10">
        <v>66</v>
      </c>
      <c r="B71" t="s">
        <v>566</v>
      </c>
      <c r="C71" t="s">
        <v>17</v>
      </c>
      <c r="D71" t="s">
        <v>39</v>
      </c>
      <c r="E71" s="52" t="s">
        <v>40</v>
      </c>
      <c r="F71" t="s">
        <v>567</v>
      </c>
      <c r="G71" s="21">
        <v>-0.2</v>
      </c>
      <c r="H71" s="21">
        <v>0</v>
      </c>
      <c r="I71" s="21">
        <v>0</v>
      </c>
      <c r="J71" s="21">
        <v>0</v>
      </c>
      <c r="K71" s="21">
        <v>0</v>
      </c>
      <c r="L71" s="21">
        <v>-0.2</v>
      </c>
    </row>
    <row r="72" spans="1:12" ht="30" x14ac:dyDescent="0.25">
      <c r="A72" s="10">
        <v>67</v>
      </c>
      <c r="B72" t="s">
        <v>566</v>
      </c>
      <c r="C72" t="s">
        <v>13</v>
      </c>
      <c r="D72" t="s">
        <v>39</v>
      </c>
      <c r="E72" s="52" t="s">
        <v>40</v>
      </c>
      <c r="F72" t="s">
        <v>567</v>
      </c>
      <c r="G72" s="21">
        <v>0</v>
      </c>
      <c r="H72" s="21">
        <v>0</v>
      </c>
      <c r="I72" s="21">
        <v>0</v>
      </c>
      <c r="J72" s="21">
        <v>-0.02</v>
      </c>
      <c r="K72" s="21">
        <v>0</v>
      </c>
      <c r="L72" s="21">
        <v>-0.02</v>
      </c>
    </row>
    <row r="73" spans="1:12" ht="30" x14ac:dyDescent="0.25">
      <c r="A73" s="10">
        <v>68</v>
      </c>
      <c r="B73" t="s">
        <v>18</v>
      </c>
      <c r="C73" t="s">
        <v>17</v>
      </c>
      <c r="D73" t="s">
        <v>39</v>
      </c>
      <c r="E73" s="52" t="s">
        <v>40</v>
      </c>
      <c r="F73" t="s">
        <v>19</v>
      </c>
      <c r="G73" s="21">
        <v>-5.17</v>
      </c>
      <c r="H73" s="21">
        <v>0</v>
      </c>
      <c r="I73" s="21">
        <v>0</v>
      </c>
      <c r="J73" s="21">
        <v>0</v>
      </c>
      <c r="K73" s="21">
        <v>4.59</v>
      </c>
      <c r="L73" s="21">
        <v>-0.57999999999999996</v>
      </c>
    </row>
    <row r="74" spans="1:12" ht="30" x14ac:dyDescent="0.25">
      <c r="A74" s="10">
        <v>69</v>
      </c>
      <c r="B74" t="s">
        <v>550</v>
      </c>
      <c r="C74" t="s">
        <v>17</v>
      </c>
      <c r="D74" t="s">
        <v>39</v>
      </c>
      <c r="E74" s="52" t="s">
        <v>40</v>
      </c>
      <c r="F74" t="s">
        <v>551</v>
      </c>
      <c r="G74" s="21">
        <v>-62570.15</v>
      </c>
      <c r="H74" s="21">
        <v>0</v>
      </c>
      <c r="I74" s="21">
        <v>0</v>
      </c>
      <c r="J74" s="21">
        <v>0</v>
      </c>
      <c r="K74" s="21">
        <v>1251.4000000000001</v>
      </c>
      <c r="L74" s="21">
        <v>-61318.75</v>
      </c>
    </row>
    <row r="75" spans="1:12" ht="30" x14ac:dyDescent="0.25">
      <c r="A75" s="10">
        <v>70</v>
      </c>
      <c r="B75" t="s">
        <v>550</v>
      </c>
      <c r="C75" t="s">
        <v>17</v>
      </c>
      <c r="D75" t="s">
        <v>39</v>
      </c>
      <c r="E75" s="52" t="s">
        <v>40</v>
      </c>
      <c r="F75" t="s">
        <v>551</v>
      </c>
      <c r="G75" s="21">
        <v>-7357.81</v>
      </c>
      <c r="H75" s="21">
        <v>0</v>
      </c>
      <c r="I75" s="21">
        <v>0</v>
      </c>
      <c r="J75" s="21">
        <v>0</v>
      </c>
      <c r="K75" s="21">
        <v>147.16</v>
      </c>
      <c r="L75" s="21">
        <v>-7210.65</v>
      </c>
    </row>
    <row r="76" spans="1:12" ht="30" x14ac:dyDescent="0.25">
      <c r="A76" s="10">
        <v>71</v>
      </c>
      <c r="B76" t="s">
        <v>550</v>
      </c>
      <c r="C76" t="s">
        <v>13</v>
      </c>
      <c r="D76" t="s">
        <v>39</v>
      </c>
      <c r="E76" s="52" t="s">
        <v>40</v>
      </c>
      <c r="F76" t="s">
        <v>551</v>
      </c>
      <c r="G76" s="21">
        <v>0</v>
      </c>
      <c r="H76" s="21">
        <v>0</v>
      </c>
      <c r="I76" s="21">
        <v>0</v>
      </c>
      <c r="J76" s="21">
        <v>-7508.42</v>
      </c>
      <c r="K76" s="21">
        <v>0</v>
      </c>
      <c r="L76" s="21">
        <v>-7508.42</v>
      </c>
    </row>
    <row r="77" spans="1:12" ht="30" x14ac:dyDescent="0.25">
      <c r="A77" s="10">
        <v>72</v>
      </c>
      <c r="B77" t="s">
        <v>550</v>
      </c>
      <c r="C77" t="s">
        <v>13</v>
      </c>
      <c r="D77" t="s">
        <v>39</v>
      </c>
      <c r="E77" s="52" t="s">
        <v>40</v>
      </c>
      <c r="F77" t="s">
        <v>551</v>
      </c>
      <c r="G77" s="21">
        <v>0</v>
      </c>
      <c r="H77" s="21">
        <v>0</v>
      </c>
      <c r="I77" s="21">
        <v>0</v>
      </c>
      <c r="J77" s="21">
        <v>-882.94</v>
      </c>
      <c r="K77" s="21">
        <v>0</v>
      </c>
      <c r="L77" s="21">
        <v>-882.94</v>
      </c>
    </row>
    <row r="78" spans="1:12" ht="30" x14ac:dyDescent="0.25">
      <c r="A78" s="10">
        <v>73</v>
      </c>
      <c r="B78" t="s">
        <v>550</v>
      </c>
      <c r="C78" t="s">
        <v>17</v>
      </c>
      <c r="D78" t="s">
        <v>39</v>
      </c>
      <c r="E78" s="52" t="s">
        <v>40</v>
      </c>
      <c r="F78" t="s">
        <v>552</v>
      </c>
      <c r="G78" s="21">
        <v>-4.5</v>
      </c>
      <c r="H78" s="21">
        <v>0</v>
      </c>
      <c r="I78" s="21">
        <v>0</v>
      </c>
      <c r="J78" s="21">
        <v>0</v>
      </c>
      <c r="K78" s="21">
        <v>0.09</v>
      </c>
      <c r="L78" s="21">
        <v>-4.41</v>
      </c>
    </row>
    <row r="79" spans="1:12" ht="30" x14ac:dyDescent="0.25">
      <c r="A79" s="10">
        <v>74</v>
      </c>
      <c r="B79" t="s">
        <v>550</v>
      </c>
      <c r="C79" t="s">
        <v>17</v>
      </c>
      <c r="D79" t="s">
        <v>39</v>
      </c>
      <c r="E79" s="52" t="s">
        <v>40</v>
      </c>
      <c r="F79" t="s">
        <v>552</v>
      </c>
      <c r="G79" s="21">
        <v>-0.53</v>
      </c>
      <c r="H79" s="21">
        <v>0</v>
      </c>
      <c r="I79" s="21">
        <v>0</v>
      </c>
      <c r="J79" s="21">
        <v>0</v>
      </c>
      <c r="K79" s="21">
        <v>0.01</v>
      </c>
      <c r="L79" s="21">
        <v>-0.52</v>
      </c>
    </row>
    <row r="80" spans="1:12" ht="30" x14ac:dyDescent="0.25">
      <c r="A80" s="10">
        <v>75</v>
      </c>
      <c r="B80" t="s">
        <v>550</v>
      </c>
      <c r="C80" t="s">
        <v>13</v>
      </c>
      <c r="D80" t="s">
        <v>39</v>
      </c>
      <c r="E80" s="52" t="s">
        <v>40</v>
      </c>
      <c r="F80" t="s">
        <v>552</v>
      </c>
      <c r="G80" s="21">
        <v>0</v>
      </c>
      <c r="H80" s="21">
        <v>0</v>
      </c>
      <c r="I80" s="21">
        <v>0</v>
      </c>
      <c r="J80" s="21">
        <v>-0.54</v>
      </c>
      <c r="K80" s="21">
        <v>0</v>
      </c>
      <c r="L80" s="21">
        <v>-0.54</v>
      </c>
    </row>
    <row r="81" spans="1:12" ht="30" x14ac:dyDescent="0.25">
      <c r="A81" s="10">
        <v>76</v>
      </c>
      <c r="B81" t="s">
        <v>550</v>
      </c>
      <c r="C81" t="s">
        <v>13</v>
      </c>
      <c r="D81" t="s">
        <v>39</v>
      </c>
      <c r="E81" s="52" t="s">
        <v>40</v>
      </c>
      <c r="F81" t="s">
        <v>552</v>
      </c>
      <c r="G81" s="21">
        <v>0</v>
      </c>
      <c r="H81" s="21">
        <v>0</v>
      </c>
      <c r="I81" s="21">
        <v>0</v>
      </c>
      <c r="J81" s="21">
        <v>-0.06</v>
      </c>
      <c r="K81" s="21">
        <v>0</v>
      </c>
      <c r="L81" s="21">
        <v>-0.06</v>
      </c>
    </row>
    <row r="82" spans="1:12" ht="30" x14ac:dyDescent="0.25">
      <c r="A82" s="10">
        <v>77</v>
      </c>
      <c r="B82" t="s">
        <v>18</v>
      </c>
      <c r="C82" t="s">
        <v>17</v>
      </c>
      <c r="D82" t="s">
        <v>41</v>
      </c>
      <c r="E82" s="52" t="s">
        <v>42</v>
      </c>
      <c r="F82" t="s">
        <v>19</v>
      </c>
      <c r="G82" s="21">
        <v>0</v>
      </c>
      <c r="H82" s="21">
        <v>0</v>
      </c>
      <c r="I82" s="21">
        <v>-2.66</v>
      </c>
      <c r="J82" s="21">
        <v>0</v>
      </c>
      <c r="K82" s="21">
        <v>0.31</v>
      </c>
      <c r="L82" s="21">
        <v>-2.35</v>
      </c>
    </row>
    <row r="83" spans="1:12" ht="30" x14ac:dyDescent="0.25">
      <c r="A83" s="10">
        <v>78</v>
      </c>
      <c r="B83" t="s">
        <v>550</v>
      </c>
      <c r="C83" t="s">
        <v>17</v>
      </c>
      <c r="D83" t="s">
        <v>41</v>
      </c>
      <c r="E83" s="52" t="s">
        <v>42</v>
      </c>
      <c r="F83" t="s">
        <v>551</v>
      </c>
      <c r="G83" s="21">
        <v>0</v>
      </c>
      <c r="H83" s="21">
        <v>0</v>
      </c>
      <c r="I83" s="21">
        <v>-4231.49</v>
      </c>
      <c r="J83" s="21">
        <v>0</v>
      </c>
      <c r="K83" s="21">
        <v>84.63</v>
      </c>
      <c r="L83" s="21">
        <v>-4146.8599999999997</v>
      </c>
    </row>
    <row r="84" spans="1:12" ht="30" x14ac:dyDescent="0.25">
      <c r="A84" s="10">
        <v>79</v>
      </c>
      <c r="B84" t="s">
        <v>550</v>
      </c>
      <c r="C84" t="s">
        <v>17</v>
      </c>
      <c r="D84" t="s">
        <v>41</v>
      </c>
      <c r="E84" s="52" t="s">
        <v>42</v>
      </c>
      <c r="F84" t="s">
        <v>552</v>
      </c>
      <c r="G84" s="21">
        <v>0</v>
      </c>
      <c r="H84" s="21">
        <v>0</v>
      </c>
      <c r="I84" s="21">
        <v>-0.3</v>
      </c>
      <c r="J84" s="21">
        <v>0</v>
      </c>
      <c r="K84" s="21">
        <v>0.01</v>
      </c>
      <c r="L84" s="21">
        <v>-0.28999999999999998</v>
      </c>
    </row>
    <row r="85" spans="1:12" ht="30" x14ac:dyDescent="0.25">
      <c r="A85" s="10">
        <v>80</v>
      </c>
      <c r="B85" t="s">
        <v>18</v>
      </c>
      <c r="C85" t="s">
        <v>17</v>
      </c>
      <c r="D85" t="s">
        <v>43</v>
      </c>
      <c r="E85" s="52" t="s">
        <v>44</v>
      </c>
      <c r="F85" t="s">
        <v>19</v>
      </c>
      <c r="G85" s="21">
        <v>-0.08</v>
      </c>
      <c r="H85" s="21">
        <v>0</v>
      </c>
      <c r="I85" s="21">
        <v>0</v>
      </c>
      <c r="J85" s="21">
        <v>0</v>
      </c>
      <c r="K85" s="21">
        <v>7.0000000000000007E-2</v>
      </c>
      <c r="L85" s="21">
        <v>-0.01</v>
      </c>
    </row>
    <row r="86" spans="1:12" ht="30" x14ac:dyDescent="0.25">
      <c r="A86" s="10">
        <v>81</v>
      </c>
      <c r="B86" t="s">
        <v>550</v>
      </c>
      <c r="C86" t="s">
        <v>17</v>
      </c>
      <c r="D86" t="s">
        <v>43</v>
      </c>
      <c r="E86" s="52" t="s">
        <v>44</v>
      </c>
      <c r="F86" t="s">
        <v>551</v>
      </c>
      <c r="G86" s="21">
        <v>0</v>
      </c>
      <c r="H86" s="21">
        <v>0</v>
      </c>
      <c r="I86" s="21">
        <v>-38.979999999999997</v>
      </c>
      <c r="J86" s="21">
        <v>0</v>
      </c>
      <c r="K86" s="21">
        <v>0.78</v>
      </c>
      <c r="L86" s="21">
        <v>-38.200000000000003</v>
      </c>
    </row>
    <row r="87" spans="1:12" ht="30" x14ac:dyDescent="0.25">
      <c r="A87" s="10">
        <v>82</v>
      </c>
      <c r="B87" t="s">
        <v>550</v>
      </c>
      <c r="C87" t="s">
        <v>17</v>
      </c>
      <c r="D87" t="s">
        <v>43</v>
      </c>
      <c r="E87" s="52" t="s">
        <v>44</v>
      </c>
      <c r="F87" t="s">
        <v>551</v>
      </c>
      <c r="G87" s="21">
        <v>0</v>
      </c>
      <c r="H87" s="21">
        <v>0</v>
      </c>
      <c r="I87" s="21">
        <v>-1221.0999999999999</v>
      </c>
      <c r="J87" s="21">
        <v>0</v>
      </c>
      <c r="K87" s="21">
        <v>24.42</v>
      </c>
      <c r="L87" s="21">
        <v>-1196.68</v>
      </c>
    </row>
    <row r="88" spans="1:12" ht="30" x14ac:dyDescent="0.25">
      <c r="A88" s="10">
        <v>83</v>
      </c>
      <c r="B88" t="s">
        <v>550</v>
      </c>
      <c r="C88" t="s">
        <v>17</v>
      </c>
      <c r="D88" t="s">
        <v>43</v>
      </c>
      <c r="E88" s="52" t="s">
        <v>44</v>
      </c>
      <c r="F88" t="s">
        <v>552</v>
      </c>
      <c r="G88" s="21">
        <v>0</v>
      </c>
      <c r="H88" s="21">
        <v>0</v>
      </c>
      <c r="I88" s="21">
        <v>-0.09</v>
      </c>
      <c r="J88" s="21">
        <v>0</v>
      </c>
      <c r="K88" s="21">
        <v>0</v>
      </c>
      <c r="L88" s="21">
        <v>-0.09</v>
      </c>
    </row>
    <row r="89" spans="1:12" ht="30" x14ac:dyDescent="0.25">
      <c r="A89" s="10">
        <v>84</v>
      </c>
      <c r="B89" t="s">
        <v>555</v>
      </c>
      <c r="C89" t="s">
        <v>17</v>
      </c>
      <c r="D89" t="s">
        <v>45</v>
      </c>
      <c r="E89" s="52" t="s">
        <v>46</v>
      </c>
      <c r="F89" t="s">
        <v>556</v>
      </c>
      <c r="G89" s="21">
        <v>-1495.55</v>
      </c>
      <c r="H89" s="21">
        <v>0</v>
      </c>
      <c r="I89" s="21">
        <v>0</v>
      </c>
      <c r="J89" s="21">
        <v>0</v>
      </c>
      <c r="K89" s="21">
        <v>29.91</v>
      </c>
      <c r="L89" s="21">
        <v>-1465.64</v>
      </c>
    </row>
    <row r="90" spans="1:12" ht="30" x14ac:dyDescent="0.25">
      <c r="A90" s="10">
        <v>85</v>
      </c>
      <c r="B90" t="s">
        <v>555</v>
      </c>
      <c r="C90" t="s">
        <v>13</v>
      </c>
      <c r="D90" t="s">
        <v>45</v>
      </c>
      <c r="E90" s="52" t="s">
        <v>46</v>
      </c>
      <c r="F90" t="s">
        <v>556</v>
      </c>
      <c r="G90" s="21">
        <v>0</v>
      </c>
      <c r="H90" s="21">
        <v>0</v>
      </c>
      <c r="I90" s="21">
        <v>0</v>
      </c>
      <c r="J90" s="21">
        <v>-179.47</v>
      </c>
      <c r="K90" s="21">
        <v>0</v>
      </c>
      <c r="L90" s="21">
        <v>-179.47</v>
      </c>
    </row>
    <row r="91" spans="1:12" ht="30" x14ac:dyDescent="0.25">
      <c r="A91" s="10">
        <v>86</v>
      </c>
      <c r="B91" t="s">
        <v>557</v>
      </c>
      <c r="C91" t="s">
        <v>17</v>
      </c>
      <c r="D91" t="s">
        <v>45</v>
      </c>
      <c r="E91" s="52" t="s">
        <v>46</v>
      </c>
      <c r="F91" t="s">
        <v>558</v>
      </c>
      <c r="G91" s="21">
        <v>-1151.6400000000001</v>
      </c>
      <c r="H91" s="21">
        <v>0</v>
      </c>
      <c r="I91" s="21">
        <v>0</v>
      </c>
      <c r="J91" s="21">
        <v>0</v>
      </c>
      <c r="K91" s="21">
        <v>23.03</v>
      </c>
      <c r="L91" s="21">
        <v>-1128.6099999999999</v>
      </c>
    </row>
    <row r="92" spans="1:12" ht="30" x14ac:dyDescent="0.25">
      <c r="A92" s="10">
        <v>87</v>
      </c>
      <c r="B92" t="s">
        <v>557</v>
      </c>
      <c r="C92" t="s">
        <v>13</v>
      </c>
      <c r="D92" t="s">
        <v>45</v>
      </c>
      <c r="E92" s="52" t="s">
        <v>46</v>
      </c>
      <c r="F92" t="s">
        <v>558</v>
      </c>
      <c r="G92" s="21">
        <v>0</v>
      </c>
      <c r="H92" s="21">
        <v>0</v>
      </c>
      <c r="I92" s="21">
        <v>0</v>
      </c>
      <c r="J92" s="21">
        <v>-138.19999999999999</v>
      </c>
      <c r="K92" s="21">
        <v>0</v>
      </c>
      <c r="L92" s="21">
        <v>-138.19999999999999</v>
      </c>
    </row>
    <row r="93" spans="1:12" ht="30" x14ac:dyDescent="0.25">
      <c r="A93" s="10">
        <v>88</v>
      </c>
      <c r="B93" t="s">
        <v>559</v>
      </c>
      <c r="C93" t="s">
        <v>17</v>
      </c>
      <c r="D93" t="s">
        <v>45</v>
      </c>
      <c r="E93" s="52" t="s">
        <v>46</v>
      </c>
      <c r="F93" t="s">
        <v>560</v>
      </c>
      <c r="G93" s="21">
        <v>-916.81</v>
      </c>
      <c r="H93" s="21">
        <v>0</v>
      </c>
      <c r="I93" s="21">
        <v>0</v>
      </c>
      <c r="J93" s="21">
        <v>0</v>
      </c>
      <c r="K93" s="21">
        <v>18.34</v>
      </c>
      <c r="L93" s="21">
        <v>-898.47</v>
      </c>
    </row>
    <row r="94" spans="1:12" ht="30" x14ac:dyDescent="0.25">
      <c r="A94" s="10">
        <v>89</v>
      </c>
      <c r="B94" t="s">
        <v>559</v>
      </c>
      <c r="C94" t="s">
        <v>13</v>
      </c>
      <c r="D94" t="s">
        <v>45</v>
      </c>
      <c r="E94" s="52" t="s">
        <v>46</v>
      </c>
      <c r="F94" t="s">
        <v>560</v>
      </c>
      <c r="G94" s="21">
        <v>0</v>
      </c>
      <c r="H94" s="21">
        <v>0</v>
      </c>
      <c r="I94" s="21">
        <v>0</v>
      </c>
      <c r="J94" s="21">
        <v>-110.02</v>
      </c>
      <c r="K94" s="21">
        <v>0</v>
      </c>
      <c r="L94" s="21">
        <v>-110.02</v>
      </c>
    </row>
    <row r="95" spans="1:12" ht="30" x14ac:dyDescent="0.25">
      <c r="A95" s="10">
        <v>90</v>
      </c>
      <c r="B95" t="s">
        <v>18</v>
      </c>
      <c r="C95" t="s">
        <v>17</v>
      </c>
      <c r="D95" t="s">
        <v>45</v>
      </c>
      <c r="E95" s="52" t="s">
        <v>46</v>
      </c>
      <c r="F95" t="s">
        <v>19</v>
      </c>
      <c r="G95" s="21">
        <v>-2.16</v>
      </c>
      <c r="H95" s="21">
        <v>0</v>
      </c>
      <c r="I95" s="21">
        <v>0</v>
      </c>
      <c r="J95" s="21">
        <v>0</v>
      </c>
      <c r="K95" s="21">
        <v>1.91</v>
      </c>
      <c r="L95" s="21">
        <v>-0.25</v>
      </c>
    </row>
    <row r="96" spans="1:12" ht="30" x14ac:dyDescent="0.25">
      <c r="A96" s="10">
        <v>91</v>
      </c>
      <c r="B96" t="s">
        <v>550</v>
      </c>
      <c r="C96" t="s">
        <v>17</v>
      </c>
      <c r="D96" t="s">
        <v>45</v>
      </c>
      <c r="E96" s="52" t="s">
        <v>46</v>
      </c>
      <c r="F96" t="s">
        <v>551</v>
      </c>
      <c r="G96" s="21">
        <v>-80576.37</v>
      </c>
      <c r="H96" s="21">
        <v>0</v>
      </c>
      <c r="I96" s="21">
        <v>0</v>
      </c>
      <c r="J96" s="21">
        <v>0</v>
      </c>
      <c r="K96" s="21">
        <v>1611.53</v>
      </c>
      <c r="L96" s="21">
        <v>-78964.84</v>
      </c>
    </row>
    <row r="97" spans="1:12" ht="30" x14ac:dyDescent="0.25">
      <c r="A97" s="10">
        <v>92</v>
      </c>
      <c r="B97" t="s">
        <v>550</v>
      </c>
      <c r="C97" t="s">
        <v>13</v>
      </c>
      <c r="D97" t="s">
        <v>45</v>
      </c>
      <c r="E97" s="52" t="s">
        <v>46</v>
      </c>
      <c r="F97" t="s">
        <v>551</v>
      </c>
      <c r="G97" s="21">
        <v>0</v>
      </c>
      <c r="H97" s="21">
        <v>0</v>
      </c>
      <c r="I97" s="21">
        <v>0</v>
      </c>
      <c r="J97" s="21">
        <v>-9669.16</v>
      </c>
      <c r="K97" s="21">
        <v>0</v>
      </c>
      <c r="L97" s="21">
        <v>-9669.16</v>
      </c>
    </row>
    <row r="98" spans="1:12" ht="30" x14ac:dyDescent="0.25">
      <c r="A98" s="10">
        <v>93</v>
      </c>
      <c r="B98" t="s">
        <v>550</v>
      </c>
      <c r="C98" t="s">
        <v>17</v>
      </c>
      <c r="D98" t="s">
        <v>45</v>
      </c>
      <c r="E98" s="52" t="s">
        <v>46</v>
      </c>
      <c r="F98" t="s">
        <v>552</v>
      </c>
      <c r="G98" s="21">
        <v>-5.8</v>
      </c>
      <c r="H98" s="21">
        <v>0</v>
      </c>
      <c r="I98" s="21">
        <v>0</v>
      </c>
      <c r="J98" s="21">
        <v>0</v>
      </c>
      <c r="K98" s="21">
        <v>0.12</v>
      </c>
      <c r="L98" s="21">
        <v>-5.68</v>
      </c>
    </row>
    <row r="99" spans="1:12" ht="30" x14ac:dyDescent="0.25">
      <c r="A99" s="10">
        <v>94</v>
      </c>
      <c r="B99" t="s">
        <v>550</v>
      </c>
      <c r="C99" t="s">
        <v>13</v>
      </c>
      <c r="D99" t="s">
        <v>45</v>
      </c>
      <c r="E99" s="52" t="s">
        <v>46</v>
      </c>
      <c r="F99" t="s">
        <v>552</v>
      </c>
      <c r="G99" s="21">
        <v>0</v>
      </c>
      <c r="H99" s="21">
        <v>0</v>
      </c>
      <c r="I99" s="21">
        <v>0</v>
      </c>
      <c r="J99" s="21">
        <v>-0.7</v>
      </c>
      <c r="K99" s="21">
        <v>0</v>
      </c>
      <c r="L99" s="21">
        <v>-0.7</v>
      </c>
    </row>
    <row r="100" spans="1:12" ht="30" x14ac:dyDescent="0.25">
      <c r="A100" s="10">
        <v>95</v>
      </c>
      <c r="B100" t="s">
        <v>12</v>
      </c>
      <c r="C100" t="s">
        <v>17</v>
      </c>
      <c r="D100" t="s">
        <v>47</v>
      </c>
      <c r="E100" s="52" t="s">
        <v>48</v>
      </c>
      <c r="F100" t="s">
        <v>16</v>
      </c>
      <c r="G100" s="21">
        <v>-2183</v>
      </c>
      <c r="H100" s="21">
        <v>0</v>
      </c>
      <c r="I100" s="21">
        <v>0</v>
      </c>
      <c r="J100" s="21">
        <v>0</v>
      </c>
      <c r="K100" s="21">
        <v>43.68</v>
      </c>
      <c r="L100" s="21">
        <v>-2139.3200000000002</v>
      </c>
    </row>
    <row r="101" spans="1:12" ht="30" x14ac:dyDescent="0.25">
      <c r="A101" s="10">
        <v>96</v>
      </c>
      <c r="B101" t="s">
        <v>12</v>
      </c>
      <c r="C101" t="s">
        <v>49</v>
      </c>
      <c r="D101" t="s">
        <v>47</v>
      </c>
      <c r="E101" s="52" t="s">
        <v>48</v>
      </c>
      <c r="F101" t="s">
        <v>16</v>
      </c>
      <c r="G101" s="21">
        <v>-1.67</v>
      </c>
      <c r="H101" s="21">
        <v>0</v>
      </c>
      <c r="I101" s="21">
        <v>0</v>
      </c>
      <c r="J101" s="21">
        <v>0</v>
      </c>
      <c r="K101" s="21">
        <v>0</v>
      </c>
      <c r="L101" s="21">
        <v>-1.67</v>
      </c>
    </row>
    <row r="102" spans="1:12" ht="30" x14ac:dyDescent="0.25">
      <c r="A102" s="10">
        <v>97</v>
      </c>
      <c r="B102" t="s">
        <v>37</v>
      </c>
      <c r="C102" t="s">
        <v>17</v>
      </c>
      <c r="D102" t="s">
        <v>47</v>
      </c>
      <c r="E102" s="52" t="s">
        <v>48</v>
      </c>
      <c r="F102" t="s">
        <v>38</v>
      </c>
      <c r="G102" s="21">
        <v>-14.31</v>
      </c>
      <c r="H102" s="21">
        <v>0</v>
      </c>
      <c r="I102" s="21">
        <v>0</v>
      </c>
      <c r="J102" s="21">
        <v>0</v>
      </c>
      <c r="K102" s="21">
        <v>0.28999999999999998</v>
      </c>
      <c r="L102" s="21">
        <v>-14.02</v>
      </c>
    </row>
    <row r="103" spans="1:12" ht="30" x14ac:dyDescent="0.25">
      <c r="A103" s="10">
        <v>98</v>
      </c>
      <c r="B103" t="s">
        <v>37</v>
      </c>
      <c r="C103" t="s">
        <v>49</v>
      </c>
      <c r="D103" t="s">
        <v>47</v>
      </c>
      <c r="E103" s="52" t="s">
        <v>48</v>
      </c>
      <c r="F103" t="s">
        <v>38</v>
      </c>
      <c r="G103" s="21">
        <v>-0.01</v>
      </c>
      <c r="H103" s="21">
        <v>0</v>
      </c>
      <c r="I103" s="21">
        <v>0</v>
      </c>
      <c r="J103" s="21">
        <v>0</v>
      </c>
      <c r="K103" s="21">
        <v>0</v>
      </c>
      <c r="L103" s="21">
        <v>-0.01</v>
      </c>
    </row>
    <row r="104" spans="1:12" ht="30" x14ac:dyDescent="0.25">
      <c r="A104" s="10">
        <v>99</v>
      </c>
      <c r="B104" t="s">
        <v>29</v>
      </c>
      <c r="C104" t="s">
        <v>17</v>
      </c>
      <c r="D104" t="s">
        <v>47</v>
      </c>
      <c r="E104" s="52" t="s">
        <v>48</v>
      </c>
      <c r="F104" t="s">
        <v>30</v>
      </c>
      <c r="G104" s="21">
        <v>-1.57</v>
      </c>
      <c r="H104" s="21">
        <v>0</v>
      </c>
      <c r="I104" s="21">
        <v>0</v>
      </c>
      <c r="J104" s="21">
        <v>0</v>
      </c>
      <c r="K104" s="21">
        <v>0.03</v>
      </c>
      <c r="L104" s="21">
        <v>-1.54</v>
      </c>
    </row>
    <row r="105" spans="1:12" ht="30" x14ac:dyDescent="0.25">
      <c r="A105" s="10">
        <v>100</v>
      </c>
      <c r="B105" t="s">
        <v>559</v>
      </c>
      <c r="C105" t="s">
        <v>17</v>
      </c>
      <c r="D105" t="s">
        <v>47</v>
      </c>
      <c r="E105" s="52" t="s">
        <v>48</v>
      </c>
      <c r="F105" t="s">
        <v>560</v>
      </c>
      <c r="G105" s="21">
        <v>-3.02</v>
      </c>
      <c r="H105" s="21">
        <v>0</v>
      </c>
      <c r="I105" s="21">
        <v>0</v>
      </c>
      <c r="J105" s="21">
        <v>0</v>
      </c>
      <c r="K105" s="21">
        <v>0.06</v>
      </c>
      <c r="L105" s="21">
        <v>-2.96</v>
      </c>
    </row>
    <row r="106" spans="1:12" ht="30" x14ac:dyDescent="0.25">
      <c r="A106" s="10">
        <v>101</v>
      </c>
      <c r="B106" t="s">
        <v>559</v>
      </c>
      <c r="C106" t="s">
        <v>13</v>
      </c>
      <c r="D106" t="s">
        <v>47</v>
      </c>
      <c r="E106" s="52" t="s">
        <v>48</v>
      </c>
      <c r="F106" t="s">
        <v>560</v>
      </c>
      <c r="G106" s="21">
        <v>0</v>
      </c>
      <c r="H106" s="21">
        <v>0</v>
      </c>
      <c r="I106" s="21">
        <v>0</v>
      </c>
      <c r="J106" s="21">
        <v>-0.36</v>
      </c>
      <c r="K106" s="21">
        <v>0</v>
      </c>
      <c r="L106" s="21">
        <v>-0.36</v>
      </c>
    </row>
    <row r="107" spans="1:12" ht="30" x14ac:dyDescent="0.25">
      <c r="A107" s="10">
        <v>102</v>
      </c>
      <c r="B107" t="s">
        <v>18</v>
      </c>
      <c r="C107" t="s">
        <v>17</v>
      </c>
      <c r="D107" t="s">
        <v>47</v>
      </c>
      <c r="E107" s="52" t="s">
        <v>48</v>
      </c>
      <c r="F107" t="s">
        <v>19</v>
      </c>
      <c r="G107" s="21">
        <v>-6.89</v>
      </c>
      <c r="H107" s="21">
        <v>0</v>
      </c>
      <c r="I107" s="21">
        <v>0</v>
      </c>
      <c r="J107" s="21">
        <v>0</v>
      </c>
      <c r="K107" s="21">
        <v>6.11</v>
      </c>
      <c r="L107" s="21">
        <v>-0.78</v>
      </c>
    </row>
    <row r="108" spans="1:12" ht="30" x14ac:dyDescent="0.25">
      <c r="A108" s="10">
        <v>103</v>
      </c>
      <c r="B108" t="s">
        <v>20</v>
      </c>
      <c r="C108" t="s">
        <v>13</v>
      </c>
      <c r="D108" t="s">
        <v>47</v>
      </c>
      <c r="E108" s="52" t="s">
        <v>48</v>
      </c>
      <c r="F108" t="s">
        <v>21</v>
      </c>
      <c r="G108" s="21">
        <v>0</v>
      </c>
      <c r="H108" s="21">
        <v>0</v>
      </c>
      <c r="I108" s="21">
        <v>0</v>
      </c>
      <c r="J108" s="21">
        <v>-303.27999999999997</v>
      </c>
      <c r="K108" s="21">
        <v>0</v>
      </c>
      <c r="L108" s="21">
        <v>-303.27999999999997</v>
      </c>
    </row>
    <row r="109" spans="1:12" ht="30" x14ac:dyDescent="0.25">
      <c r="A109" s="10">
        <v>104</v>
      </c>
      <c r="B109" t="s">
        <v>22</v>
      </c>
      <c r="C109" t="s">
        <v>17</v>
      </c>
      <c r="D109" t="s">
        <v>47</v>
      </c>
      <c r="E109" s="52" t="s">
        <v>48</v>
      </c>
      <c r="F109" t="s">
        <v>23</v>
      </c>
      <c r="G109" s="21">
        <v>-667.4</v>
      </c>
      <c r="H109" s="21">
        <v>0</v>
      </c>
      <c r="I109" s="21">
        <v>0</v>
      </c>
      <c r="J109" s="21">
        <v>0</v>
      </c>
      <c r="K109" s="21">
        <v>13.34</v>
      </c>
      <c r="L109" s="21">
        <v>-654.05999999999995</v>
      </c>
    </row>
    <row r="110" spans="1:12" ht="30" x14ac:dyDescent="0.25">
      <c r="A110" s="10">
        <v>105</v>
      </c>
      <c r="B110" t="s">
        <v>22</v>
      </c>
      <c r="C110" t="s">
        <v>49</v>
      </c>
      <c r="D110" t="s">
        <v>47</v>
      </c>
      <c r="E110" s="52" t="s">
        <v>48</v>
      </c>
      <c r="F110" t="s">
        <v>23</v>
      </c>
      <c r="G110" s="21">
        <v>-0.3</v>
      </c>
      <c r="H110" s="21">
        <v>0</v>
      </c>
      <c r="I110" s="21">
        <v>0</v>
      </c>
      <c r="J110" s="21">
        <v>0</v>
      </c>
      <c r="K110" s="21">
        <v>0</v>
      </c>
      <c r="L110" s="21">
        <v>-0.3</v>
      </c>
    </row>
    <row r="111" spans="1:12" ht="30" x14ac:dyDescent="0.25">
      <c r="A111" s="10">
        <v>106</v>
      </c>
      <c r="B111" t="s">
        <v>22</v>
      </c>
      <c r="C111" t="s">
        <v>17</v>
      </c>
      <c r="D111" t="s">
        <v>47</v>
      </c>
      <c r="E111" s="52" t="s">
        <v>48</v>
      </c>
      <c r="F111" t="s">
        <v>24</v>
      </c>
      <c r="G111" s="21">
        <v>-1.3</v>
      </c>
      <c r="H111" s="21">
        <v>0</v>
      </c>
      <c r="I111" s="21">
        <v>0</v>
      </c>
      <c r="J111" s="21">
        <v>0</v>
      </c>
      <c r="K111" s="21">
        <v>0.03</v>
      </c>
      <c r="L111" s="21">
        <v>-1.27</v>
      </c>
    </row>
    <row r="112" spans="1:12" ht="30" x14ac:dyDescent="0.25">
      <c r="A112" s="10">
        <v>107</v>
      </c>
      <c r="B112" t="s">
        <v>550</v>
      </c>
      <c r="C112" t="s">
        <v>17</v>
      </c>
      <c r="D112" t="s">
        <v>47</v>
      </c>
      <c r="E112" s="52" t="s">
        <v>48</v>
      </c>
      <c r="F112" t="s">
        <v>551</v>
      </c>
      <c r="G112" s="21">
        <v>-266269.8</v>
      </c>
      <c r="H112" s="21">
        <v>0</v>
      </c>
      <c r="I112" s="21">
        <v>0</v>
      </c>
      <c r="J112" s="21">
        <v>0</v>
      </c>
      <c r="K112" s="21">
        <v>5325.4</v>
      </c>
      <c r="L112" s="21">
        <v>-260944.4</v>
      </c>
    </row>
    <row r="113" spans="1:12" ht="30" x14ac:dyDescent="0.25">
      <c r="A113" s="10">
        <v>108</v>
      </c>
      <c r="B113" t="s">
        <v>550</v>
      </c>
      <c r="C113" t="s">
        <v>13</v>
      </c>
      <c r="D113" t="s">
        <v>47</v>
      </c>
      <c r="E113" s="52" t="s">
        <v>48</v>
      </c>
      <c r="F113" t="s">
        <v>551</v>
      </c>
      <c r="G113" s="21">
        <v>0</v>
      </c>
      <c r="H113" s="21">
        <v>0</v>
      </c>
      <c r="I113" s="21">
        <v>0</v>
      </c>
      <c r="J113" s="21">
        <v>-31952.38</v>
      </c>
      <c r="K113" s="21">
        <v>0</v>
      </c>
      <c r="L113" s="21">
        <v>-31952.38</v>
      </c>
    </row>
    <row r="114" spans="1:12" ht="30" x14ac:dyDescent="0.25">
      <c r="A114" s="10">
        <v>109</v>
      </c>
      <c r="B114" t="s">
        <v>550</v>
      </c>
      <c r="C114" t="s">
        <v>17</v>
      </c>
      <c r="D114" t="s">
        <v>47</v>
      </c>
      <c r="E114" s="52" t="s">
        <v>48</v>
      </c>
      <c r="F114" t="s">
        <v>552</v>
      </c>
      <c r="G114" s="21">
        <v>-19.149999999999999</v>
      </c>
      <c r="H114" s="21">
        <v>0</v>
      </c>
      <c r="I114" s="21">
        <v>0</v>
      </c>
      <c r="J114" s="21">
        <v>0</v>
      </c>
      <c r="K114" s="21">
        <v>0.38</v>
      </c>
      <c r="L114" s="21">
        <v>-18.77</v>
      </c>
    </row>
    <row r="115" spans="1:12" ht="30" x14ac:dyDescent="0.25">
      <c r="A115" s="10">
        <v>110</v>
      </c>
      <c r="B115" t="s">
        <v>550</v>
      </c>
      <c r="C115" t="s">
        <v>13</v>
      </c>
      <c r="D115" t="s">
        <v>47</v>
      </c>
      <c r="E115" s="52" t="s">
        <v>48</v>
      </c>
      <c r="F115" t="s">
        <v>552</v>
      </c>
      <c r="G115" s="21">
        <v>0</v>
      </c>
      <c r="H115" s="21">
        <v>0</v>
      </c>
      <c r="I115" s="21">
        <v>0</v>
      </c>
      <c r="J115" s="21">
        <v>-2.2999999999999998</v>
      </c>
      <c r="K115" s="21">
        <v>0</v>
      </c>
      <c r="L115" s="21">
        <v>-2.2999999999999998</v>
      </c>
    </row>
    <row r="116" spans="1:12" ht="30" x14ac:dyDescent="0.25">
      <c r="A116" s="10">
        <v>111</v>
      </c>
      <c r="B116" t="s">
        <v>568</v>
      </c>
      <c r="C116" t="s">
        <v>17</v>
      </c>
      <c r="D116" t="s">
        <v>569</v>
      </c>
      <c r="E116" s="52" t="s">
        <v>570</v>
      </c>
      <c r="F116" t="s">
        <v>571</v>
      </c>
      <c r="G116" s="21">
        <v>-0.09</v>
      </c>
      <c r="H116" s="21">
        <v>0</v>
      </c>
      <c r="I116" s="21">
        <v>0</v>
      </c>
      <c r="J116" s="21">
        <v>0</v>
      </c>
      <c r="K116" s="21">
        <v>0</v>
      </c>
      <c r="L116" s="21">
        <v>-0.09</v>
      </c>
    </row>
    <row r="117" spans="1:12" ht="30" x14ac:dyDescent="0.25">
      <c r="A117" s="10">
        <v>112</v>
      </c>
      <c r="B117" t="s">
        <v>568</v>
      </c>
      <c r="C117" t="s">
        <v>13</v>
      </c>
      <c r="D117" t="s">
        <v>569</v>
      </c>
      <c r="E117" s="52" t="s">
        <v>570</v>
      </c>
      <c r="F117" t="s">
        <v>571</v>
      </c>
      <c r="G117" s="21">
        <v>0</v>
      </c>
      <c r="H117" s="21">
        <v>0</v>
      </c>
      <c r="I117" s="21">
        <v>0</v>
      </c>
      <c r="J117" s="21">
        <v>-0.01</v>
      </c>
      <c r="K117" s="21">
        <v>0</v>
      </c>
      <c r="L117" s="21">
        <v>-0.01</v>
      </c>
    </row>
    <row r="118" spans="1:12" ht="30" x14ac:dyDescent="0.25">
      <c r="A118" s="10">
        <v>113</v>
      </c>
      <c r="B118" t="s">
        <v>572</v>
      </c>
      <c r="C118" t="s">
        <v>17</v>
      </c>
      <c r="D118" t="s">
        <v>569</v>
      </c>
      <c r="E118" s="52" t="s">
        <v>570</v>
      </c>
      <c r="F118" t="s">
        <v>573</v>
      </c>
      <c r="G118" s="21">
        <v>-0.09</v>
      </c>
      <c r="H118" s="21">
        <v>0</v>
      </c>
      <c r="I118" s="21">
        <v>0</v>
      </c>
      <c r="J118" s="21">
        <v>0</v>
      </c>
      <c r="K118" s="21">
        <v>0</v>
      </c>
      <c r="L118" s="21">
        <v>-0.09</v>
      </c>
    </row>
    <row r="119" spans="1:12" ht="30" x14ac:dyDescent="0.25">
      <c r="A119" s="10">
        <v>114</v>
      </c>
      <c r="B119" t="s">
        <v>572</v>
      </c>
      <c r="C119" t="s">
        <v>13</v>
      </c>
      <c r="D119" t="s">
        <v>569</v>
      </c>
      <c r="E119" s="52" t="s">
        <v>570</v>
      </c>
      <c r="F119" t="s">
        <v>573</v>
      </c>
      <c r="G119" s="21">
        <v>0</v>
      </c>
      <c r="H119" s="21">
        <v>0</v>
      </c>
      <c r="I119" s="21">
        <v>0</v>
      </c>
      <c r="J119" s="21">
        <v>-0.01</v>
      </c>
      <c r="K119" s="21">
        <v>0</v>
      </c>
      <c r="L119" s="21">
        <v>-0.01</v>
      </c>
    </row>
    <row r="120" spans="1:12" ht="30" x14ac:dyDescent="0.25">
      <c r="A120" s="10">
        <v>115</v>
      </c>
      <c r="B120" t="s">
        <v>557</v>
      </c>
      <c r="C120" t="s">
        <v>17</v>
      </c>
      <c r="D120" t="s">
        <v>569</v>
      </c>
      <c r="E120" s="52" t="s">
        <v>570</v>
      </c>
      <c r="F120" t="s">
        <v>558</v>
      </c>
      <c r="G120" s="21">
        <v>-0.03</v>
      </c>
      <c r="H120" s="21">
        <v>0</v>
      </c>
      <c r="I120" s="21">
        <v>0</v>
      </c>
      <c r="J120" s="21">
        <v>0</v>
      </c>
      <c r="K120" s="21">
        <v>0</v>
      </c>
      <c r="L120" s="21">
        <v>-0.03</v>
      </c>
    </row>
    <row r="121" spans="1:12" ht="30" x14ac:dyDescent="0.25">
      <c r="A121" s="10">
        <v>116</v>
      </c>
      <c r="B121" t="s">
        <v>37</v>
      </c>
      <c r="C121" t="s">
        <v>17</v>
      </c>
      <c r="D121" t="s">
        <v>569</v>
      </c>
      <c r="E121" s="52" t="s">
        <v>570</v>
      </c>
      <c r="F121" t="s">
        <v>38</v>
      </c>
      <c r="G121" s="21">
        <v>0</v>
      </c>
      <c r="H121" s="21">
        <v>0</v>
      </c>
      <c r="I121" s="21">
        <v>0</v>
      </c>
      <c r="J121" s="21">
        <v>0</v>
      </c>
      <c r="K121" s="21">
        <v>0</v>
      </c>
      <c r="L121" s="21">
        <v>0</v>
      </c>
    </row>
    <row r="122" spans="1:12" ht="30" x14ac:dyDescent="0.25">
      <c r="A122" s="10">
        <v>117</v>
      </c>
      <c r="B122" t="s">
        <v>37</v>
      </c>
      <c r="C122" t="s">
        <v>13</v>
      </c>
      <c r="D122" t="s">
        <v>569</v>
      </c>
      <c r="E122" s="52" t="s">
        <v>570</v>
      </c>
      <c r="F122" t="s">
        <v>38</v>
      </c>
      <c r="G122" s="21">
        <v>0</v>
      </c>
      <c r="H122" s="21">
        <v>0</v>
      </c>
      <c r="I122" s="21">
        <v>0</v>
      </c>
      <c r="J122" s="21">
        <v>0</v>
      </c>
      <c r="K122" s="21">
        <v>0</v>
      </c>
      <c r="L122" s="21">
        <v>0</v>
      </c>
    </row>
    <row r="123" spans="1:12" ht="30" x14ac:dyDescent="0.25">
      <c r="A123" s="10">
        <v>118</v>
      </c>
      <c r="B123" t="s">
        <v>18</v>
      </c>
      <c r="C123" t="s">
        <v>17</v>
      </c>
      <c r="D123" t="s">
        <v>569</v>
      </c>
      <c r="E123" s="52" t="s">
        <v>570</v>
      </c>
      <c r="F123" t="s">
        <v>19</v>
      </c>
      <c r="G123" s="21">
        <v>-0.52</v>
      </c>
      <c r="H123" s="21">
        <v>0</v>
      </c>
      <c r="I123" s="21">
        <v>0</v>
      </c>
      <c r="J123" s="21">
        <v>0</v>
      </c>
      <c r="K123" s="21">
        <v>0.01</v>
      </c>
      <c r="L123" s="21">
        <v>-0.51</v>
      </c>
    </row>
    <row r="124" spans="1:12" ht="30" x14ac:dyDescent="0.25">
      <c r="A124" s="10">
        <v>119</v>
      </c>
      <c r="B124" t="s">
        <v>18</v>
      </c>
      <c r="C124" t="s">
        <v>13</v>
      </c>
      <c r="D124" t="s">
        <v>569</v>
      </c>
      <c r="E124" s="52" t="s">
        <v>570</v>
      </c>
      <c r="F124" t="s">
        <v>19</v>
      </c>
      <c r="G124" s="21">
        <v>0</v>
      </c>
      <c r="H124" s="21">
        <v>0</v>
      </c>
      <c r="I124" s="21">
        <v>0</v>
      </c>
      <c r="J124" s="21">
        <v>-0.06</v>
      </c>
      <c r="K124" s="21">
        <v>0</v>
      </c>
      <c r="L124" s="21">
        <v>-0.06</v>
      </c>
    </row>
    <row r="125" spans="1:12" ht="30" x14ac:dyDescent="0.25">
      <c r="A125" s="10">
        <v>120</v>
      </c>
      <c r="B125" t="s">
        <v>20</v>
      </c>
      <c r="C125" t="s">
        <v>17</v>
      </c>
      <c r="D125" t="s">
        <v>569</v>
      </c>
      <c r="E125" s="52" t="s">
        <v>570</v>
      </c>
      <c r="F125" t="s">
        <v>21</v>
      </c>
      <c r="G125" s="21">
        <v>-0.15</v>
      </c>
      <c r="H125" s="21">
        <v>0</v>
      </c>
      <c r="I125" s="21">
        <v>0</v>
      </c>
      <c r="J125" s="21">
        <v>0</v>
      </c>
      <c r="K125" s="21">
        <v>0</v>
      </c>
      <c r="L125" s="21">
        <v>-0.15</v>
      </c>
    </row>
    <row r="126" spans="1:12" ht="30" x14ac:dyDescent="0.25">
      <c r="A126" s="10">
        <v>121</v>
      </c>
      <c r="B126" t="s">
        <v>20</v>
      </c>
      <c r="C126" t="s">
        <v>13</v>
      </c>
      <c r="D126" t="s">
        <v>569</v>
      </c>
      <c r="E126" s="52" t="s">
        <v>570</v>
      </c>
      <c r="F126" t="s">
        <v>21</v>
      </c>
      <c r="G126" s="21">
        <v>0</v>
      </c>
      <c r="H126" s="21">
        <v>0</v>
      </c>
      <c r="I126" s="21">
        <v>0</v>
      </c>
      <c r="J126" s="21">
        <v>-0.02</v>
      </c>
      <c r="K126" s="21">
        <v>0</v>
      </c>
      <c r="L126" s="21">
        <v>-0.02</v>
      </c>
    </row>
    <row r="127" spans="1:12" ht="30" x14ac:dyDescent="0.25">
      <c r="A127" s="10">
        <v>122</v>
      </c>
      <c r="B127" t="s">
        <v>22</v>
      </c>
      <c r="C127" t="s">
        <v>17</v>
      </c>
      <c r="D127" t="s">
        <v>569</v>
      </c>
      <c r="E127" s="52" t="s">
        <v>570</v>
      </c>
      <c r="F127" t="s">
        <v>23</v>
      </c>
      <c r="G127" s="21">
        <v>-21.3</v>
      </c>
      <c r="H127" s="21">
        <v>0</v>
      </c>
      <c r="I127" s="21">
        <v>0</v>
      </c>
      <c r="J127" s="21">
        <v>0</v>
      </c>
      <c r="K127" s="21">
        <v>0.43</v>
      </c>
      <c r="L127" s="21">
        <v>-20.87</v>
      </c>
    </row>
    <row r="128" spans="1:12" ht="30" x14ac:dyDescent="0.25">
      <c r="A128" s="10">
        <v>123</v>
      </c>
      <c r="B128" t="s">
        <v>22</v>
      </c>
      <c r="C128" t="s">
        <v>17</v>
      </c>
      <c r="D128" t="s">
        <v>569</v>
      </c>
      <c r="E128" s="52" t="s">
        <v>570</v>
      </c>
      <c r="F128" t="s">
        <v>23</v>
      </c>
      <c r="G128" s="21">
        <v>-0.17</v>
      </c>
      <c r="H128" s="21">
        <v>0</v>
      </c>
      <c r="I128" s="21">
        <v>0</v>
      </c>
      <c r="J128" s="21">
        <v>0</v>
      </c>
      <c r="K128" s="21">
        <v>0</v>
      </c>
      <c r="L128" s="21">
        <v>-0.17</v>
      </c>
    </row>
    <row r="129" spans="1:12" ht="30" x14ac:dyDescent="0.25">
      <c r="A129" s="10">
        <v>124</v>
      </c>
      <c r="B129" t="s">
        <v>22</v>
      </c>
      <c r="C129" t="s">
        <v>49</v>
      </c>
      <c r="D129" t="s">
        <v>569</v>
      </c>
      <c r="E129" s="52" t="s">
        <v>570</v>
      </c>
      <c r="F129" t="s">
        <v>23</v>
      </c>
      <c r="G129" s="21">
        <v>-0.02</v>
      </c>
      <c r="H129" s="21">
        <v>0</v>
      </c>
      <c r="I129" s="21">
        <v>0</v>
      </c>
      <c r="J129" s="21">
        <v>0</v>
      </c>
      <c r="K129" s="21">
        <v>0</v>
      </c>
      <c r="L129" s="21">
        <v>-0.02</v>
      </c>
    </row>
    <row r="130" spans="1:12" ht="30" x14ac:dyDescent="0.25">
      <c r="A130" s="10">
        <v>125</v>
      </c>
      <c r="B130" t="s">
        <v>22</v>
      </c>
      <c r="C130" t="s">
        <v>17</v>
      </c>
      <c r="D130" t="s">
        <v>569</v>
      </c>
      <c r="E130" s="52" t="s">
        <v>570</v>
      </c>
      <c r="F130" t="s">
        <v>23</v>
      </c>
      <c r="G130" s="21">
        <v>-0.01</v>
      </c>
      <c r="H130" s="21">
        <v>0</v>
      </c>
      <c r="I130" s="21">
        <v>0</v>
      </c>
      <c r="J130" s="21">
        <v>0</v>
      </c>
      <c r="K130" s="21">
        <v>0</v>
      </c>
      <c r="L130" s="21">
        <v>-0.01</v>
      </c>
    </row>
    <row r="131" spans="1:12" ht="30" x14ac:dyDescent="0.25">
      <c r="A131" s="10">
        <v>126</v>
      </c>
      <c r="B131" t="s">
        <v>22</v>
      </c>
      <c r="C131" t="s">
        <v>13</v>
      </c>
      <c r="D131" t="s">
        <v>569</v>
      </c>
      <c r="E131" s="52" t="s">
        <v>570</v>
      </c>
      <c r="F131" t="s">
        <v>23</v>
      </c>
      <c r="G131" s="21">
        <v>0</v>
      </c>
      <c r="H131" s="21">
        <v>0</v>
      </c>
      <c r="I131" s="21">
        <v>0</v>
      </c>
      <c r="J131" s="21">
        <v>-2.56</v>
      </c>
      <c r="K131" s="21">
        <v>0</v>
      </c>
      <c r="L131" s="21">
        <v>-2.56</v>
      </c>
    </row>
    <row r="132" spans="1:12" ht="30" x14ac:dyDescent="0.25">
      <c r="A132" s="10">
        <v>127</v>
      </c>
      <c r="B132" t="s">
        <v>22</v>
      </c>
      <c r="C132" t="s">
        <v>13</v>
      </c>
      <c r="D132" t="s">
        <v>569</v>
      </c>
      <c r="E132" s="52" t="s">
        <v>570</v>
      </c>
      <c r="F132" t="s">
        <v>23</v>
      </c>
      <c r="G132" s="21">
        <v>0</v>
      </c>
      <c r="H132" s="21">
        <v>0</v>
      </c>
      <c r="I132" s="21">
        <v>0</v>
      </c>
      <c r="J132" s="21">
        <v>-0.02</v>
      </c>
      <c r="K132" s="21">
        <v>0</v>
      </c>
      <c r="L132" s="21">
        <v>-0.02</v>
      </c>
    </row>
    <row r="133" spans="1:12" ht="30" x14ac:dyDescent="0.25">
      <c r="A133" s="10">
        <v>128</v>
      </c>
      <c r="B133" t="s">
        <v>22</v>
      </c>
      <c r="C133" t="s">
        <v>17</v>
      </c>
      <c r="D133" t="s">
        <v>569</v>
      </c>
      <c r="E133" s="52" t="s">
        <v>570</v>
      </c>
      <c r="F133" t="s">
        <v>24</v>
      </c>
      <c r="G133" s="21">
        <v>-0.04</v>
      </c>
      <c r="H133" s="21">
        <v>0</v>
      </c>
      <c r="I133" s="21">
        <v>0</v>
      </c>
      <c r="J133" s="21">
        <v>0</v>
      </c>
      <c r="K133" s="21">
        <v>0</v>
      </c>
      <c r="L133" s="21">
        <v>-0.04</v>
      </c>
    </row>
    <row r="134" spans="1:12" ht="30" x14ac:dyDescent="0.25">
      <c r="A134" s="10">
        <v>129</v>
      </c>
      <c r="B134" t="s">
        <v>22</v>
      </c>
      <c r="C134" t="s">
        <v>17</v>
      </c>
      <c r="D134" t="s">
        <v>569</v>
      </c>
      <c r="E134" s="52" t="s">
        <v>570</v>
      </c>
      <c r="F134" t="s">
        <v>24</v>
      </c>
      <c r="G134" s="21">
        <v>0</v>
      </c>
      <c r="H134" s="21">
        <v>0</v>
      </c>
      <c r="I134" s="21">
        <v>0</v>
      </c>
      <c r="J134" s="21">
        <v>0</v>
      </c>
      <c r="K134" s="21">
        <v>0</v>
      </c>
      <c r="L134" s="21">
        <v>0</v>
      </c>
    </row>
    <row r="135" spans="1:12" ht="30" x14ac:dyDescent="0.25">
      <c r="A135" s="10">
        <v>130</v>
      </c>
      <c r="B135" t="s">
        <v>22</v>
      </c>
      <c r="C135" t="s">
        <v>13</v>
      </c>
      <c r="D135" t="s">
        <v>569</v>
      </c>
      <c r="E135" s="52" t="s">
        <v>570</v>
      </c>
      <c r="F135" t="s">
        <v>24</v>
      </c>
      <c r="G135" s="21">
        <v>0</v>
      </c>
      <c r="H135" s="21">
        <v>0</v>
      </c>
      <c r="I135" s="21">
        <v>0</v>
      </c>
      <c r="J135" s="21">
        <v>0</v>
      </c>
      <c r="K135" s="21">
        <v>0</v>
      </c>
      <c r="L135" s="21">
        <v>0</v>
      </c>
    </row>
    <row r="136" spans="1:12" ht="30" x14ac:dyDescent="0.25">
      <c r="A136" s="10">
        <v>131</v>
      </c>
      <c r="B136" t="s">
        <v>550</v>
      </c>
      <c r="C136" t="s">
        <v>17</v>
      </c>
      <c r="D136" t="s">
        <v>569</v>
      </c>
      <c r="E136" s="52" t="s">
        <v>570</v>
      </c>
      <c r="F136" t="s">
        <v>551</v>
      </c>
      <c r="G136" s="21">
        <v>0</v>
      </c>
      <c r="H136" s="21">
        <v>0</v>
      </c>
      <c r="I136" s="21">
        <v>0</v>
      </c>
      <c r="J136" s="21">
        <v>0</v>
      </c>
      <c r="K136" s="21">
        <v>0</v>
      </c>
      <c r="L136" s="21">
        <v>0</v>
      </c>
    </row>
    <row r="137" spans="1:12" x14ac:dyDescent="0.25">
      <c r="A137" s="10">
        <v>132</v>
      </c>
      <c r="B137" t="s">
        <v>18</v>
      </c>
      <c r="C137" t="s">
        <v>17</v>
      </c>
      <c r="D137" t="s">
        <v>50</v>
      </c>
      <c r="E137" s="52" t="s">
        <v>51</v>
      </c>
      <c r="F137" t="s">
        <v>19</v>
      </c>
      <c r="G137" s="21">
        <v>0</v>
      </c>
      <c r="H137" s="21">
        <v>0</v>
      </c>
      <c r="I137" s="21">
        <v>-1.61</v>
      </c>
      <c r="J137" s="21">
        <v>0</v>
      </c>
      <c r="K137" s="21">
        <v>0.19</v>
      </c>
      <c r="L137" s="21">
        <v>-1.42</v>
      </c>
    </row>
    <row r="138" spans="1:12" x14ac:dyDescent="0.25">
      <c r="A138" s="10">
        <v>133</v>
      </c>
      <c r="B138" t="s">
        <v>550</v>
      </c>
      <c r="C138" t="s">
        <v>17</v>
      </c>
      <c r="D138" t="s">
        <v>50</v>
      </c>
      <c r="E138" s="52" t="s">
        <v>51</v>
      </c>
      <c r="F138" t="s">
        <v>551</v>
      </c>
      <c r="G138" s="21">
        <v>0</v>
      </c>
      <c r="H138" s="21">
        <v>0</v>
      </c>
      <c r="I138" s="21">
        <v>-70528.070000000007</v>
      </c>
      <c r="J138" s="21">
        <v>0</v>
      </c>
      <c r="K138" s="21">
        <v>1410.56</v>
      </c>
      <c r="L138" s="21">
        <v>-69117.509999999995</v>
      </c>
    </row>
    <row r="139" spans="1:12" x14ac:dyDescent="0.25">
      <c r="A139" s="10">
        <v>134</v>
      </c>
      <c r="B139" t="s">
        <v>550</v>
      </c>
      <c r="C139" t="s">
        <v>17</v>
      </c>
      <c r="D139" t="s">
        <v>50</v>
      </c>
      <c r="E139" s="52" t="s">
        <v>51</v>
      </c>
      <c r="F139" t="s">
        <v>551</v>
      </c>
      <c r="G139" s="21">
        <v>0</v>
      </c>
      <c r="H139" s="21">
        <v>0</v>
      </c>
      <c r="I139" s="21">
        <v>-60.56</v>
      </c>
      <c r="J139" s="21">
        <v>0</v>
      </c>
      <c r="K139" s="21">
        <v>1.21</v>
      </c>
      <c r="L139" s="21">
        <v>-59.35</v>
      </c>
    </row>
    <row r="140" spans="1:12" x14ac:dyDescent="0.25">
      <c r="A140" s="10">
        <v>135</v>
      </c>
      <c r="B140" t="s">
        <v>550</v>
      </c>
      <c r="C140" t="s">
        <v>17</v>
      </c>
      <c r="D140" t="s">
        <v>50</v>
      </c>
      <c r="E140" s="52" t="s">
        <v>51</v>
      </c>
      <c r="F140" t="s">
        <v>552</v>
      </c>
      <c r="G140" s="21">
        <v>0</v>
      </c>
      <c r="H140" s="21">
        <v>0</v>
      </c>
      <c r="I140" s="21">
        <v>-5.07</v>
      </c>
      <c r="J140" s="21">
        <v>0</v>
      </c>
      <c r="K140" s="21">
        <v>0.1</v>
      </c>
      <c r="L140" s="21">
        <v>-4.97</v>
      </c>
    </row>
    <row r="141" spans="1:12" x14ac:dyDescent="0.25">
      <c r="A141" s="10">
        <v>136</v>
      </c>
      <c r="B141" t="s">
        <v>18</v>
      </c>
      <c r="C141" t="s">
        <v>17</v>
      </c>
      <c r="D141" t="s">
        <v>52</v>
      </c>
      <c r="E141" s="52" t="s">
        <v>51</v>
      </c>
      <c r="F141" t="s">
        <v>19</v>
      </c>
      <c r="G141" s="21">
        <v>0</v>
      </c>
      <c r="H141" s="21">
        <v>0</v>
      </c>
      <c r="I141" s="21">
        <v>-1.01</v>
      </c>
      <c r="J141" s="21">
        <v>0</v>
      </c>
      <c r="K141" s="21">
        <v>0.12</v>
      </c>
      <c r="L141" s="21">
        <v>-0.89</v>
      </c>
    </row>
    <row r="142" spans="1:12" x14ac:dyDescent="0.25">
      <c r="A142" s="10">
        <v>137</v>
      </c>
      <c r="B142" t="s">
        <v>550</v>
      </c>
      <c r="C142" t="s">
        <v>17</v>
      </c>
      <c r="D142" t="s">
        <v>52</v>
      </c>
      <c r="E142" s="52" t="s">
        <v>51</v>
      </c>
      <c r="F142" t="s">
        <v>551</v>
      </c>
      <c r="G142" s="21">
        <v>0</v>
      </c>
      <c r="H142" s="21">
        <v>0</v>
      </c>
      <c r="I142" s="21">
        <v>-74.099999999999994</v>
      </c>
      <c r="J142" s="21">
        <v>0</v>
      </c>
      <c r="K142" s="21">
        <v>1.48</v>
      </c>
      <c r="L142" s="21">
        <v>-72.62</v>
      </c>
    </row>
    <row r="143" spans="1:12" x14ac:dyDescent="0.25">
      <c r="A143" s="10">
        <v>138</v>
      </c>
      <c r="B143" t="s">
        <v>550</v>
      </c>
      <c r="C143" t="s">
        <v>17</v>
      </c>
      <c r="D143" t="s">
        <v>52</v>
      </c>
      <c r="E143" s="52" t="s">
        <v>51</v>
      </c>
      <c r="F143" t="s">
        <v>552</v>
      </c>
      <c r="G143" s="21">
        <v>0</v>
      </c>
      <c r="H143" s="21">
        <v>0</v>
      </c>
      <c r="I143" s="21">
        <v>-0.01</v>
      </c>
      <c r="J143" s="21">
        <v>0</v>
      </c>
      <c r="K143" s="21">
        <v>0</v>
      </c>
      <c r="L143" s="21">
        <v>-0.01</v>
      </c>
    </row>
    <row r="144" spans="1:12" ht="30" x14ac:dyDescent="0.25">
      <c r="A144" s="10">
        <v>139</v>
      </c>
      <c r="B144" t="s">
        <v>555</v>
      </c>
      <c r="C144" t="s">
        <v>17</v>
      </c>
      <c r="D144" t="s">
        <v>53</v>
      </c>
      <c r="E144" s="52" t="s">
        <v>54</v>
      </c>
      <c r="F144" t="s">
        <v>556</v>
      </c>
      <c r="G144" s="21">
        <v>-746.23</v>
      </c>
      <c r="H144" s="21">
        <v>0</v>
      </c>
      <c r="I144" s="21">
        <v>0</v>
      </c>
      <c r="J144" s="21">
        <v>0</v>
      </c>
      <c r="K144" s="21">
        <v>14.92</v>
      </c>
      <c r="L144" s="21">
        <v>-731.31</v>
      </c>
    </row>
    <row r="145" spans="1:12" ht="30" x14ac:dyDescent="0.25">
      <c r="A145" s="10">
        <v>140</v>
      </c>
      <c r="B145" t="s">
        <v>555</v>
      </c>
      <c r="C145" t="s">
        <v>13</v>
      </c>
      <c r="D145" t="s">
        <v>53</v>
      </c>
      <c r="E145" s="52" t="s">
        <v>54</v>
      </c>
      <c r="F145" t="s">
        <v>556</v>
      </c>
      <c r="G145" s="21">
        <v>0</v>
      </c>
      <c r="H145" s="21">
        <v>0</v>
      </c>
      <c r="I145" s="21">
        <v>0</v>
      </c>
      <c r="J145" s="21">
        <v>-89.55</v>
      </c>
      <c r="K145" s="21">
        <v>0</v>
      </c>
      <c r="L145" s="21">
        <v>-89.55</v>
      </c>
    </row>
    <row r="146" spans="1:12" ht="30" x14ac:dyDescent="0.25">
      <c r="A146" s="10">
        <v>141</v>
      </c>
      <c r="B146" t="s">
        <v>557</v>
      </c>
      <c r="C146" t="s">
        <v>17</v>
      </c>
      <c r="D146" t="s">
        <v>53</v>
      </c>
      <c r="E146" s="52" t="s">
        <v>54</v>
      </c>
      <c r="F146" t="s">
        <v>558</v>
      </c>
      <c r="G146" s="21">
        <v>-568.71</v>
      </c>
      <c r="H146" s="21">
        <v>0</v>
      </c>
      <c r="I146" s="21">
        <v>0</v>
      </c>
      <c r="J146" s="21">
        <v>0</v>
      </c>
      <c r="K146" s="21">
        <v>11.37</v>
      </c>
      <c r="L146" s="21">
        <v>-557.34</v>
      </c>
    </row>
    <row r="147" spans="1:12" ht="30" x14ac:dyDescent="0.25">
      <c r="A147" s="10">
        <v>142</v>
      </c>
      <c r="B147" t="s">
        <v>557</v>
      </c>
      <c r="C147" t="s">
        <v>13</v>
      </c>
      <c r="D147" t="s">
        <v>53</v>
      </c>
      <c r="E147" s="52" t="s">
        <v>54</v>
      </c>
      <c r="F147" t="s">
        <v>558</v>
      </c>
      <c r="G147" s="21">
        <v>0</v>
      </c>
      <c r="H147" s="21">
        <v>0</v>
      </c>
      <c r="I147" s="21">
        <v>0</v>
      </c>
      <c r="J147" s="21">
        <v>-68.25</v>
      </c>
      <c r="K147" s="21">
        <v>0</v>
      </c>
      <c r="L147" s="21">
        <v>-68.25</v>
      </c>
    </row>
    <row r="148" spans="1:12" ht="30" x14ac:dyDescent="0.25">
      <c r="A148" s="10">
        <v>143</v>
      </c>
      <c r="B148" t="s">
        <v>18</v>
      </c>
      <c r="C148" t="s">
        <v>17</v>
      </c>
      <c r="D148" t="s">
        <v>53</v>
      </c>
      <c r="E148" s="52" t="s">
        <v>54</v>
      </c>
      <c r="F148" t="s">
        <v>19</v>
      </c>
      <c r="G148" s="21">
        <v>-0.81</v>
      </c>
      <c r="H148" s="21">
        <v>0</v>
      </c>
      <c r="I148" s="21">
        <v>0</v>
      </c>
      <c r="J148" s="21">
        <v>0</v>
      </c>
      <c r="K148" s="21">
        <v>0.72</v>
      </c>
      <c r="L148" s="21">
        <v>-0.09</v>
      </c>
    </row>
    <row r="149" spans="1:12" ht="30" x14ac:dyDescent="0.25">
      <c r="A149" s="10">
        <v>144</v>
      </c>
      <c r="B149" t="s">
        <v>550</v>
      </c>
      <c r="C149" t="s">
        <v>17</v>
      </c>
      <c r="D149" t="s">
        <v>53</v>
      </c>
      <c r="E149" s="52" t="s">
        <v>54</v>
      </c>
      <c r="F149" t="s">
        <v>551</v>
      </c>
      <c r="G149" s="21">
        <v>-22215.43</v>
      </c>
      <c r="H149" s="21">
        <v>0</v>
      </c>
      <c r="I149" s="21">
        <v>0</v>
      </c>
      <c r="J149" s="21">
        <v>0</v>
      </c>
      <c r="K149" s="21">
        <v>444.31</v>
      </c>
      <c r="L149" s="21">
        <v>-21771.119999999999</v>
      </c>
    </row>
    <row r="150" spans="1:12" ht="30" x14ac:dyDescent="0.25">
      <c r="A150" s="10">
        <v>145</v>
      </c>
      <c r="B150" t="s">
        <v>550</v>
      </c>
      <c r="C150" t="s">
        <v>13</v>
      </c>
      <c r="D150" t="s">
        <v>53</v>
      </c>
      <c r="E150" s="52" t="s">
        <v>54</v>
      </c>
      <c r="F150" t="s">
        <v>551</v>
      </c>
      <c r="G150" s="21">
        <v>0</v>
      </c>
      <c r="H150" s="21">
        <v>0</v>
      </c>
      <c r="I150" s="21">
        <v>0</v>
      </c>
      <c r="J150" s="21">
        <v>-2665.85</v>
      </c>
      <c r="K150" s="21">
        <v>0</v>
      </c>
      <c r="L150" s="21">
        <v>-2665.85</v>
      </c>
    </row>
    <row r="151" spans="1:12" ht="30" x14ac:dyDescent="0.25">
      <c r="A151" s="10">
        <v>146</v>
      </c>
      <c r="B151" t="s">
        <v>550</v>
      </c>
      <c r="C151" t="s">
        <v>17</v>
      </c>
      <c r="D151" t="s">
        <v>53</v>
      </c>
      <c r="E151" s="52" t="s">
        <v>54</v>
      </c>
      <c r="F151" t="s">
        <v>552</v>
      </c>
      <c r="G151" s="21">
        <v>-1.6</v>
      </c>
      <c r="H151" s="21">
        <v>0</v>
      </c>
      <c r="I151" s="21">
        <v>0</v>
      </c>
      <c r="J151" s="21">
        <v>0</v>
      </c>
      <c r="K151" s="21">
        <v>0.03</v>
      </c>
      <c r="L151" s="21">
        <v>-1.57</v>
      </c>
    </row>
    <row r="152" spans="1:12" ht="30" x14ac:dyDescent="0.25">
      <c r="A152" s="10">
        <v>147</v>
      </c>
      <c r="B152" t="s">
        <v>550</v>
      </c>
      <c r="C152" t="s">
        <v>13</v>
      </c>
      <c r="D152" t="s">
        <v>53</v>
      </c>
      <c r="E152" s="52" t="s">
        <v>54</v>
      </c>
      <c r="F152" t="s">
        <v>552</v>
      </c>
      <c r="G152" s="21">
        <v>0</v>
      </c>
      <c r="H152" s="21">
        <v>0</v>
      </c>
      <c r="I152" s="21">
        <v>0</v>
      </c>
      <c r="J152" s="21">
        <v>-0.19</v>
      </c>
      <c r="K152" s="21">
        <v>0</v>
      </c>
      <c r="L152" s="21">
        <v>-0.19</v>
      </c>
    </row>
    <row r="153" spans="1:12" ht="30" x14ac:dyDescent="0.25">
      <c r="A153" s="10">
        <v>148</v>
      </c>
      <c r="B153" t="s">
        <v>37</v>
      </c>
      <c r="C153" t="s">
        <v>17</v>
      </c>
      <c r="D153" t="s">
        <v>55</v>
      </c>
      <c r="E153" s="52" t="s">
        <v>56</v>
      </c>
      <c r="F153" t="s">
        <v>38</v>
      </c>
      <c r="G153" s="21">
        <v>0</v>
      </c>
      <c r="H153" s="21">
        <v>0</v>
      </c>
      <c r="I153" s="21">
        <v>-1.72</v>
      </c>
      <c r="J153" s="21">
        <v>0</v>
      </c>
      <c r="K153" s="21">
        <v>0.03</v>
      </c>
      <c r="L153" s="21">
        <v>-1.69</v>
      </c>
    </row>
    <row r="154" spans="1:12" ht="30" x14ac:dyDescent="0.25">
      <c r="A154" s="10">
        <v>149</v>
      </c>
      <c r="B154" t="s">
        <v>29</v>
      </c>
      <c r="C154" t="s">
        <v>17</v>
      </c>
      <c r="D154" t="s">
        <v>55</v>
      </c>
      <c r="E154" s="52" t="s">
        <v>56</v>
      </c>
      <c r="F154" t="s">
        <v>30</v>
      </c>
      <c r="G154" s="21">
        <v>0</v>
      </c>
      <c r="H154" s="21">
        <v>0</v>
      </c>
      <c r="I154" s="21">
        <v>-2.39</v>
      </c>
      <c r="J154" s="21">
        <v>0</v>
      </c>
      <c r="K154" s="21">
        <v>0.05</v>
      </c>
      <c r="L154" s="21">
        <v>-2.34</v>
      </c>
    </row>
    <row r="155" spans="1:12" ht="30" x14ac:dyDescent="0.25">
      <c r="A155" s="10">
        <v>150</v>
      </c>
      <c r="B155" t="s">
        <v>18</v>
      </c>
      <c r="C155" t="s">
        <v>17</v>
      </c>
      <c r="D155" t="s">
        <v>55</v>
      </c>
      <c r="E155" s="52" t="s">
        <v>56</v>
      </c>
      <c r="F155" t="s">
        <v>19</v>
      </c>
      <c r="G155" s="21">
        <v>0</v>
      </c>
      <c r="H155" s="21">
        <v>0</v>
      </c>
      <c r="I155" s="21">
        <v>-0.57999999999999996</v>
      </c>
      <c r="J155" s="21">
        <v>0</v>
      </c>
      <c r="K155" s="21">
        <v>7.0000000000000007E-2</v>
      </c>
      <c r="L155" s="21">
        <v>-0.51</v>
      </c>
    </row>
    <row r="156" spans="1:12" ht="30" x14ac:dyDescent="0.25">
      <c r="A156" s="10">
        <v>151</v>
      </c>
      <c r="B156" t="s">
        <v>550</v>
      </c>
      <c r="C156" t="s">
        <v>17</v>
      </c>
      <c r="D156" t="s">
        <v>55</v>
      </c>
      <c r="E156" s="52" t="s">
        <v>56</v>
      </c>
      <c r="F156" t="s">
        <v>551</v>
      </c>
      <c r="G156" s="21">
        <v>0</v>
      </c>
      <c r="H156" s="21">
        <v>0</v>
      </c>
      <c r="I156" s="21">
        <v>-7.05</v>
      </c>
      <c r="J156" s="21">
        <v>0</v>
      </c>
      <c r="K156" s="21">
        <v>0.14000000000000001</v>
      </c>
      <c r="L156" s="21">
        <v>-6.91</v>
      </c>
    </row>
    <row r="157" spans="1:12" ht="30" x14ac:dyDescent="0.25">
      <c r="A157" s="10">
        <v>152</v>
      </c>
      <c r="B157" t="s">
        <v>550</v>
      </c>
      <c r="C157" t="s">
        <v>17</v>
      </c>
      <c r="D157" t="s">
        <v>55</v>
      </c>
      <c r="E157" s="52" t="s">
        <v>56</v>
      </c>
      <c r="F157" t="s">
        <v>551</v>
      </c>
      <c r="G157" s="21">
        <v>0</v>
      </c>
      <c r="H157" s="21">
        <v>0</v>
      </c>
      <c r="I157" s="21">
        <v>-1.55</v>
      </c>
      <c r="J157" s="21">
        <v>0</v>
      </c>
      <c r="K157" s="21">
        <v>0.03</v>
      </c>
      <c r="L157" s="21">
        <v>-1.52</v>
      </c>
    </row>
    <row r="158" spans="1:12" x14ac:dyDescent="0.25">
      <c r="A158" s="10">
        <v>153</v>
      </c>
      <c r="B158" t="s">
        <v>566</v>
      </c>
      <c r="C158" t="s">
        <v>17</v>
      </c>
      <c r="D158" t="s">
        <v>57</v>
      </c>
      <c r="E158" s="52" t="s">
        <v>58</v>
      </c>
      <c r="F158" t="s">
        <v>567</v>
      </c>
      <c r="G158" s="21">
        <v>-2.15</v>
      </c>
      <c r="H158" s="21">
        <v>0</v>
      </c>
      <c r="I158" s="21">
        <v>0</v>
      </c>
      <c r="J158" s="21">
        <v>0</v>
      </c>
      <c r="K158" s="21">
        <v>0.04</v>
      </c>
      <c r="L158" s="21">
        <v>-2.11</v>
      </c>
    </row>
    <row r="159" spans="1:12" x14ac:dyDescent="0.25">
      <c r="A159" s="10">
        <v>154</v>
      </c>
      <c r="B159" t="s">
        <v>566</v>
      </c>
      <c r="C159" t="s">
        <v>13</v>
      </c>
      <c r="D159" t="s">
        <v>57</v>
      </c>
      <c r="E159" s="52" t="s">
        <v>58</v>
      </c>
      <c r="F159" t="s">
        <v>567</v>
      </c>
      <c r="G159" s="21">
        <v>0</v>
      </c>
      <c r="H159" s="21">
        <v>0</v>
      </c>
      <c r="I159" s="21">
        <v>0</v>
      </c>
      <c r="J159" s="21">
        <v>-0.26</v>
      </c>
      <c r="K159" s="21">
        <v>0</v>
      </c>
      <c r="L159" s="21">
        <v>-0.26</v>
      </c>
    </row>
    <row r="160" spans="1:12" x14ac:dyDescent="0.25">
      <c r="A160" s="10">
        <v>155</v>
      </c>
      <c r="B160" t="s">
        <v>559</v>
      </c>
      <c r="C160" t="s">
        <v>17</v>
      </c>
      <c r="D160" t="s">
        <v>57</v>
      </c>
      <c r="E160" s="52" t="s">
        <v>58</v>
      </c>
      <c r="F160" t="s">
        <v>560</v>
      </c>
      <c r="G160" s="21">
        <v>-0.8</v>
      </c>
      <c r="H160" s="21">
        <v>0</v>
      </c>
      <c r="I160" s="21">
        <v>0</v>
      </c>
      <c r="J160" s="21">
        <v>0</v>
      </c>
      <c r="K160" s="21">
        <v>0.02</v>
      </c>
      <c r="L160" s="21">
        <v>-0.78</v>
      </c>
    </row>
    <row r="161" spans="1:12" x14ac:dyDescent="0.25">
      <c r="A161" s="10">
        <v>156</v>
      </c>
      <c r="B161" t="s">
        <v>559</v>
      </c>
      <c r="C161" t="s">
        <v>13</v>
      </c>
      <c r="D161" t="s">
        <v>57</v>
      </c>
      <c r="E161" s="52" t="s">
        <v>58</v>
      </c>
      <c r="F161" t="s">
        <v>560</v>
      </c>
      <c r="G161" s="21">
        <v>0</v>
      </c>
      <c r="H161" s="21">
        <v>0</v>
      </c>
      <c r="I161" s="21">
        <v>0</v>
      </c>
      <c r="J161" s="21">
        <v>-0.1</v>
      </c>
      <c r="K161" s="21">
        <v>0</v>
      </c>
      <c r="L161" s="21">
        <v>-0.1</v>
      </c>
    </row>
    <row r="162" spans="1:12" x14ac:dyDescent="0.25">
      <c r="A162" s="10">
        <v>157</v>
      </c>
      <c r="B162" t="s">
        <v>18</v>
      </c>
      <c r="C162" t="s">
        <v>17</v>
      </c>
      <c r="D162" t="s">
        <v>57</v>
      </c>
      <c r="E162" s="52" t="s">
        <v>58</v>
      </c>
      <c r="F162" t="s">
        <v>19</v>
      </c>
      <c r="G162" s="21">
        <v>0</v>
      </c>
      <c r="H162" s="21">
        <v>0</v>
      </c>
      <c r="I162" s="21">
        <v>0</v>
      </c>
      <c r="J162" s="21">
        <v>0</v>
      </c>
      <c r="K162" s="21">
        <v>0</v>
      </c>
      <c r="L162" s="21">
        <v>0</v>
      </c>
    </row>
    <row r="163" spans="1:12" x14ac:dyDescent="0.25">
      <c r="A163" s="10">
        <v>158</v>
      </c>
      <c r="B163" t="s">
        <v>18</v>
      </c>
      <c r="C163" t="s">
        <v>17</v>
      </c>
      <c r="D163" t="s">
        <v>57</v>
      </c>
      <c r="E163" s="52" t="s">
        <v>58</v>
      </c>
      <c r="F163" t="s">
        <v>19</v>
      </c>
      <c r="G163" s="21">
        <v>0</v>
      </c>
      <c r="H163" s="21">
        <v>0</v>
      </c>
      <c r="I163" s="21">
        <v>-1.21</v>
      </c>
      <c r="J163" s="21">
        <v>0</v>
      </c>
      <c r="K163" s="21">
        <v>0.14000000000000001</v>
      </c>
      <c r="L163" s="21">
        <v>-1.07</v>
      </c>
    </row>
    <row r="164" spans="1:12" x14ac:dyDescent="0.25">
      <c r="A164" s="10">
        <v>159</v>
      </c>
      <c r="B164" t="s">
        <v>18</v>
      </c>
      <c r="C164" t="s">
        <v>17</v>
      </c>
      <c r="D164" t="s">
        <v>57</v>
      </c>
      <c r="E164" s="52" t="s">
        <v>58</v>
      </c>
      <c r="F164" t="s">
        <v>19</v>
      </c>
      <c r="G164" s="21">
        <v>-0.05</v>
      </c>
      <c r="H164" s="21">
        <v>0</v>
      </c>
      <c r="I164" s="21">
        <v>0</v>
      </c>
      <c r="J164" s="21">
        <v>0</v>
      </c>
      <c r="K164" s="21">
        <v>0.04</v>
      </c>
      <c r="L164" s="21">
        <v>-0.01</v>
      </c>
    </row>
    <row r="165" spans="1:12" x14ac:dyDescent="0.25">
      <c r="A165" s="10">
        <v>160</v>
      </c>
      <c r="B165" t="s">
        <v>18</v>
      </c>
      <c r="C165" t="s">
        <v>17</v>
      </c>
      <c r="D165" t="s">
        <v>57</v>
      </c>
      <c r="E165" s="52" t="s">
        <v>58</v>
      </c>
      <c r="F165" t="s">
        <v>19</v>
      </c>
      <c r="G165" s="21">
        <v>-0.33</v>
      </c>
      <c r="H165" s="21">
        <v>0</v>
      </c>
      <c r="I165" s="21">
        <v>0</v>
      </c>
      <c r="J165" s="21">
        <v>0</v>
      </c>
      <c r="K165" s="21">
        <v>0.3</v>
      </c>
      <c r="L165" s="21">
        <v>-0.03</v>
      </c>
    </row>
    <row r="166" spans="1:12" x14ac:dyDescent="0.25">
      <c r="A166" s="10">
        <v>161</v>
      </c>
      <c r="B166" t="s">
        <v>18</v>
      </c>
      <c r="C166" t="s">
        <v>17</v>
      </c>
      <c r="D166" t="s">
        <v>57</v>
      </c>
      <c r="E166" s="52" t="s">
        <v>58</v>
      </c>
      <c r="F166" t="s">
        <v>19</v>
      </c>
      <c r="G166" s="21">
        <v>-0.76</v>
      </c>
      <c r="H166" s="21">
        <v>0</v>
      </c>
      <c r="I166" s="21">
        <v>0</v>
      </c>
      <c r="J166" s="21">
        <v>0</v>
      </c>
      <c r="K166" s="21">
        <v>0.68</v>
      </c>
      <c r="L166" s="21">
        <v>-0.08</v>
      </c>
    </row>
    <row r="167" spans="1:12" x14ac:dyDescent="0.25">
      <c r="A167" s="10">
        <v>162</v>
      </c>
      <c r="B167" t="s">
        <v>18</v>
      </c>
      <c r="C167" t="s">
        <v>17</v>
      </c>
      <c r="D167" t="s">
        <v>57</v>
      </c>
      <c r="E167" s="52" t="s">
        <v>58</v>
      </c>
      <c r="F167" t="s">
        <v>19</v>
      </c>
      <c r="G167" s="21">
        <v>0</v>
      </c>
      <c r="H167" s="21">
        <v>0</v>
      </c>
      <c r="I167" s="21">
        <v>-73.66</v>
      </c>
      <c r="J167" s="21">
        <v>0</v>
      </c>
      <c r="K167" s="21">
        <v>8.66</v>
      </c>
      <c r="L167" s="21">
        <v>-65</v>
      </c>
    </row>
    <row r="168" spans="1:12" x14ac:dyDescent="0.25">
      <c r="A168" s="10">
        <v>163</v>
      </c>
      <c r="B168" t="s">
        <v>18</v>
      </c>
      <c r="C168" t="s">
        <v>17</v>
      </c>
      <c r="D168" t="s">
        <v>57</v>
      </c>
      <c r="E168" s="52" t="s">
        <v>58</v>
      </c>
      <c r="F168" t="s">
        <v>19</v>
      </c>
      <c r="G168" s="21">
        <v>0</v>
      </c>
      <c r="H168" s="21">
        <v>0</v>
      </c>
      <c r="I168" s="21">
        <v>-0.13</v>
      </c>
      <c r="J168" s="21">
        <v>0</v>
      </c>
      <c r="K168" s="21">
        <v>0.02</v>
      </c>
      <c r="L168" s="21">
        <v>-0.11</v>
      </c>
    </row>
    <row r="169" spans="1:12" x14ac:dyDescent="0.25">
      <c r="A169" s="10">
        <v>164</v>
      </c>
      <c r="B169" t="s">
        <v>550</v>
      </c>
      <c r="C169" t="s">
        <v>17</v>
      </c>
      <c r="D169" t="s">
        <v>57</v>
      </c>
      <c r="E169" s="52" t="s">
        <v>58</v>
      </c>
      <c r="F169" t="s">
        <v>551</v>
      </c>
      <c r="G169" s="21">
        <v>0</v>
      </c>
      <c r="H169" s="21">
        <v>0</v>
      </c>
      <c r="I169" s="21">
        <v>-443000.07</v>
      </c>
      <c r="J169" s="21">
        <v>0</v>
      </c>
      <c r="K169" s="21">
        <v>8860</v>
      </c>
      <c r="L169" s="21">
        <v>-434140.07</v>
      </c>
    </row>
    <row r="170" spans="1:12" x14ac:dyDescent="0.25">
      <c r="A170" s="10">
        <v>165</v>
      </c>
      <c r="B170" t="s">
        <v>550</v>
      </c>
      <c r="C170" t="s">
        <v>17</v>
      </c>
      <c r="D170" t="s">
        <v>57</v>
      </c>
      <c r="E170" s="52" t="s">
        <v>58</v>
      </c>
      <c r="F170" t="s">
        <v>551</v>
      </c>
      <c r="G170" s="21">
        <v>0</v>
      </c>
      <c r="H170" s="21">
        <v>0</v>
      </c>
      <c r="I170" s="21">
        <v>-1850.44</v>
      </c>
      <c r="J170" s="21">
        <v>0</v>
      </c>
      <c r="K170" s="21">
        <v>37.01</v>
      </c>
      <c r="L170" s="21">
        <v>-1813.43</v>
      </c>
    </row>
    <row r="171" spans="1:12" x14ac:dyDescent="0.25">
      <c r="A171" s="10">
        <v>166</v>
      </c>
      <c r="B171" t="s">
        <v>550</v>
      </c>
      <c r="C171" t="s">
        <v>17</v>
      </c>
      <c r="D171" t="s">
        <v>57</v>
      </c>
      <c r="E171" s="52" t="s">
        <v>58</v>
      </c>
      <c r="F171" t="s">
        <v>551</v>
      </c>
      <c r="G171" s="21">
        <v>-0.12</v>
      </c>
      <c r="H171" s="21">
        <v>0</v>
      </c>
      <c r="I171" s="21">
        <v>0</v>
      </c>
      <c r="J171" s="21">
        <v>0</v>
      </c>
      <c r="K171" s="21">
        <v>0</v>
      </c>
      <c r="L171" s="21">
        <v>-0.12</v>
      </c>
    </row>
    <row r="172" spans="1:12" x14ac:dyDescent="0.25">
      <c r="A172" s="10">
        <v>167</v>
      </c>
      <c r="B172" t="s">
        <v>550</v>
      </c>
      <c r="C172" t="s">
        <v>17</v>
      </c>
      <c r="D172" t="s">
        <v>57</v>
      </c>
      <c r="E172" s="52" t="s">
        <v>58</v>
      </c>
      <c r="F172" t="s">
        <v>551</v>
      </c>
      <c r="G172" s="21">
        <v>0</v>
      </c>
      <c r="H172" s="21">
        <v>0</v>
      </c>
      <c r="I172" s="21">
        <v>-16.39</v>
      </c>
      <c r="J172" s="21">
        <v>0</v>
      </c>
      <c r="K172" s="21">
        <v>0.33</v>
      </c>
      <c r="L172" s="21">
        <v>-16.059999999999999</v>
      </c>
    </row>
    <row r="173" spans="1:12" x14ac:dyDescent="0.25">
      <c r="A173" s="10">
        <v>168</v>
      </c>
      <c r="B173" t="s">
        <v>550</v>
      </c>
      <c r="C173" t="s">
        <v>17</v>
      </c>
      <c r="D173" t="s">
        <v>57</v>
      </c>
      <c r="E173" s="52" t="s">
        <v>58</v>
      </c>
      <c r="F173" t="s">
        <v>551</v>
      </c>
      <c r="G173" s="21">
        <v>-22674.95</v>
      </c>
      <c r="H173" s="21">
        <v>0</v>
      </c>
      <c r="I173" s="21">
        <v>0</v>
      </c>
      <c r="J173" s="21">
        <v>0</v>
      </c>
      <c r="K173" s="21">
        <v>453.5</v>
      </c>
      <c r="L173" s="21">
        <v>-22221.45</v>
      </c>
    </row>
    <row r="174" spans="1:12" x14ac:dyDescent="0.25">
      <c r="A174" s="10">
        <v>169</v>
      </c>
      <c r="B174" t="s">
        <v>550</v>
      </c>
      <c r="C174" t="s">
        <v>13</v>
      </c>
      <c r="D174" t="s">
        <v>57</v>
      </c>
      <c r="E174" s="52" t="s">
        <v>58</v>
      </c>
      <c r="F174" t="s">
        <v>551</v>
      </c>
      <c r="G174" s="21">
        <v>0</v>
      </c>
      <c r="H174" s="21">
        <v>0</v>
      </c>
      <c r="I174" s="21">
        <v>0</v>
      </c>
      <c r="J174" s="21">
        <v>-3609.15</v>
      </c>
      <c r="K174" s="21">
        <v>0</v>
      </c>
      <c r="L174" s="21">
        <v>-3609.15</v>
      </c>
    </row>
    <row r="175" spans="1:12" x14ac:dyDescent="0.25">
      <c r="A175" s="10">
        <v>170</v>
      </c>
      <c r="B175" t="s">
        <v>550</v>
      </c>
      <c r="C175" t="s">
        <v>17</v>
      </c>
      <c r="D175" t="s">
        <v>57</v>
      </c>
      <c r="E175" s="52" t="s">
        <v>58</v>
      </c>
      <c r="F175" t="s">
        <v>551</v>
      </c>
      <c r="G175" s="21">
        <v>-4893.5</v>
      </c>
      <c r="H175" s="21">
        <v>0</v>
      </c>
      <c r="I175" s="21">
        <v>0</v>
      </c>
      <c r="J175" s="21">
        <v>0</v>
      </c>
      <c r="K175" s="21">
        <v>97.87</v>
      </c>
      <c r="L175" s="21">
        <v>-4795.63</v>
      </c>
    </row>
    <row r="176" spans="1:12" x14ac:dyDescent="0.25">
      <c r="A176" s="10">
        <v>171</v>
      </c>
      <c r="B176" t="s">
        <v>550</v>
      </c>
      <c r="C176" t="s">
        <v>17</v>
      </c>
      <c r="D176" t="s">
        <v>57</v>
      </c>
      <c r="E176" s="52" t="s">
        <v>58</v>
      </c>
      <c r="F176" t="s">
        <v>551</v>
      </c>
      <c r="G176" s="21">
        <v>-30076.25</v>
      </c>
      <c r="H176" s="21">
        <v>0</v>
      </c>
      <c r="I176" s="21">
        <v>0</v>
      </c>
      <c r="J176" s="21">
        <v>0</v>
      </c>
      <c r="K176" s="21">
        <v>601.52</v>
      </c>
      <c r="L176" s="21">
        <v>-29474.73</v>
      </c>
    </row>
    <row r="177" spans="1:12" x14ac:dyDescent="0.25">
      <c r="A177" s="10">
        <v>172</v>
      </c>
      <c r="B177" t="s">
        <v>550</v>
      </c>
      <c r="C177" t="s">
        <v>13</v>
      </c>
      <c r="D177" t="s">
        <v>57</v>
      </c>
      <c r="E177" s="52" t="s">
        <v>58</v>
      </c>
      <c r="F177" t="s">
        <v>551</v>
      </c>
      <c r="G177" s="21">
        <v>0</v>
      </c>
      <c r="H177" s="21">
        <v>0</v>
      </c>
      <c r="I177" s="21">
        <v>0</v>
      </c>
      <c r="J177" s="21">
        <v>-0.01</v>
      </c>
      <c r="K177" s="21">
        <v>0</v>
      </c>
      <c r="L177" s="21">
        <v>-0.01</v>
      </c>
    </row>
    <row r="178" spans="1:12" x14ac:dyDescent="0.25">
      <c r="A178" s="10">
        <v>173</v>
      </c>
      <c r="B178" t="s">
        <v>550</v>
      </c>
      <c r="C178" t="s">
        <v>13</v>
      </c>
      <c r="D178" t="s">
        <v>57</v>
      </c>
      <c r="E178" s="52" t="s">
        <v>58</v>
      </c>
      <c r="F178" t="s">
        <v>551</v>
      </c>
      <c r="G178" s="21">
        <v>0</v>
      </c>
      <c r="H178" s="21">
        <v>0</v>
      </c>
      <c r="I178" s="21">
        <v>0</v>
      </c>
      <c r="J178" s="21">
        <v>-2720.99</v>
      </c>
      <c r="K178" s="21">
        <v>0</v>
      </c>
      <c r="L178" s="21">
        <v>-2720.99</v>
      </c>
    </row>
    <row r="179" spans="1:12" x14ac:dyDescent="0.25">
      <c r="A179" s="10">
        <v>174</v>
      </c>
      <c r="B179" t="s">
        <v>550</v>
      </c>
      <c r="C179" t="s">
        <v>13</v>
      </c>
      <c r="D179" t="s">
        <v>57</v>
      </c>
      <c r="E179" s="52" t="s">
        <v>58</v>
      </c>
      <c r="F179" t="s">
        <v>551</v>
      </c>
      <c r="G179" s="21">
        <v>0</v>
      </c>
      <c r="H179" s="21">
        <v>0</v>
      </c>
      <c r="I179" s="21">
        <v>0</v>
      </c>
      <c r="J179" s="21">
        <v>-587.22</v>
      </c>
      <c r="K179" s="21">
        <v>0</v>
      </c>
      <c r="L179" s="21">
        <v>-587.22</v>
      </c>
    </row>
    <row r="180" spans="1:12" x14ac:dyDescent="0.25">
      <c r="A180" s="10">
        <v>175</v>
      </c>
      <c r="B180" t="s">
        <v>550</v>
      </c>
      <c r="C180" t="s">
        <v>17</v>
      </c>
      <c r="D180" t="s">
        <v>57</v>
      </c>
      <c r="E180" s="52" t="s">
        <v>58</v>
      </c>
      <c r="F180" t="s">
        <v>552</v>
      </c>
      <c r="G180" s="21">
        <v>0</v>
      </c>
      <c r="H180" s="21">
        <v>0</v>
      </c>
      <c r="I180" s="21">
        <v>-31.86</v>
      </c>
      <c r="J180" s="21">
        <v>0</v>
      </c>
      <c r="K180" s="21">
        <v>0.64</v>
      </c>
      <c r="L180" s="21">
        <v>-31.22</v>
      </c>
    </row>
    <row r="181" spans="1:12" x14ac:dyDescent="0.25">
      <c r="A181" s="10">
        <v>176</v>
      </c>
      <c r="B181" t="s">
        <v>550</v>
      </c>
      <c r="C181" t="s">
        <v>17</v>
      </c>
      <c r="D181" t="s">
        <v>57</v>
      </c>
      <c r="E181" s="52" t="s">
        <v>58</v>
      </c>
      <c r="F181" t="s">
        <v>552</v>
      </c>
      <c r="G181" s="21">
        <v>0</v>
      </c>
      <c r="H181" s="21">
        <v>0</v>
      </c>
      <c r="I181" s="21">
        <v>-0.13</v>
      </c>
      <c r="J181" s="21">
        <v>0</v>
      </c>
      <c r="K181" s="21">
        <v>0</v>
      </c>
      <c r="L181" s="21">
        <v>-0.13</v>
      </c>
    </row>
    <row r="182" spans="1:12" x14ac:dyDescent="0.25">
      <c r="A182" s="10">
        <v>177</v>
      </c>
      <c r="B182" t="s">
        <v>550</v>
      </c>
      <c r="C182" t="s">
        <v>17</v>
      </c>
      <c r="D182" t="s">
        <v>57</v>
      </c>
      <c r="E182" s="52" t="s">
        <v>58</v>
      </c>
      <c r="F182" t="s">
        <v>552</v>
      </c>
      <c r="G182" s="21">
        <v>-1.63</v>
      </c>
      <c r="H182" s="21">
        <v>0</v>
      </c>
      <c r="I182" s="21">
        <v>0</v>
      </c>
      <c r="J182" s="21">
        <v>0</v>
      </c>
      <c r="K182" s="21">
        <v>0.03</v>
      </c>
      <c r="L182" s="21">
        <v>-1.6</v>
      </c>
    </row>
    <row r="183" spans="1:12" x14ac:dyDescent="0.25">
      <c r="A183" s="10">
        <v>178</v>
      </c>
      <c r="B183" t="s">
        <v>550</v>
      </c>
      <c r="C183" t="s">
        <v>13</v>
      </c>
      <c r="D183" t="s">
        <v>57</v>
      </c>
      <c r="E183" s="52" t="s">
        <v>58</v>
      </c>
      <c r="F183" t="s">
        <v>552</v>
      </c>
      <c r="G183" s="21">
        <v>0</v>
      </c>
      <c r="H183" s="21">
        <v>0</v>
      </c>
      <c r="I183" s="21">
        <v>0</v>
      </c>
      <c r="J183" s="21">
        <v>-0.26</v>
      </c>
      <c r="K183" s="21">
        <v>0</v>
      </c>
      <c r="L183" s="21">
        <v>-0.26</v>
      </c>
    </row>
    <row r="184" spans="1:12" x14ac:dyDescent="0.25">
      <c r="A184" s="10">
        <v>179</v>
      </c>
      <c r="B184" t="s">
        <v>550</v>
      </c>
      <c r="C184" t="s">
        <v>17</v>
      </c>
      <c r="D184" t="s">
        <v>57</v>
      </c>
      <c r="E184" s="52" t="s">
        <v>58</v>
      </c>
      <c r="F184" t="s">
        <v>552</v>
      </c>
      <c r="G184" s="21">
        <v>-0.35</v>
      </c>
      <c r="H184" s="21">
        <v>0</v>
      </c>
      <c r="I184" s="21">
        <v>0</v>
      </c>
      <c r="J184" s="21">
        <v>0</v>
      </c>
      <c r="K184" s="21">
        <v>0.01</v>
      </c>
      <c r="L184" s="21">
        <v>-0.34</v>
      </c>
    </row>
    <row r="185" spans="1:12" x14ac:dyDescent="0.25">
      <c r="A185" s="10">
        <v>180</v>
      </c>
      <c r="B185" t="s">
        <v>550</v>
      </c>
      <c r="C185" t="s">
        <v>17</v>
      </c>
      <c r="D185" t="s">
        <v>57</v>
      </c>
      <c r="E185" s="52" t="s">
        <v>58</v>
      </c>
      <c r="F185" t="s">
        <v>552</v>
      </c>
      <c r="G185" s="21">
        <v>-2.16</v>
      </c>
      <c r="H185" s="21">
        <v>0</v>
      </c>
      <c r="I185" s="21">
        <v>0</v>
      </c>
      <c r="J185" s="21">
        <v>0</v>
      </c>
      <c r="K185" s="21">
        <v>0.04</v>
      </c>
      <c r="L185" s="21">
        <v>-2.12</v>
      </c>
    </row>
    <row r="186" spans="1:12" x14ac:dyDescent="0.25">
      <c r="A186" s="10">
        <v>181</v>
      </c>
      <c r="B186" t="s">
        <v>550</v>
      </c>
      <c r="C186" t="s">
        <v>13</v>
      </c>
      <c r="D186" t="s">
        <v>57</v>
      </c>
      <c r="E186" s="52" t="s">
        <v>58</v>
      </c>
      <c r="F186" t="s">
        <v>552</v>
      </c>
      <c r="G186" s="21">
        <v>0</v>
      </c>
      <c r="H186" s="21">
        <v>0</v>
      </c>
      <c r="I186" s="21">
        <v>0</v>
      </c>
      <c r="J186" s="21">
        <v>-0.2</v>
      </c>
      <c r="K186" s="21">
        <v>0</v>
      </c>
      <c r="L186" s="21">
        <v>-0.2</v>
      </c>
    </row>
    <row r="187" spans="1:12" x14ac:dyDescent="0.25">
      <c r="A187" s="10">
        <v>182</v>
      </c>
      <c r="B187" t="s">
        <v>550</v>
      </c>
      <c r="C187" t="s">
        <v>13</v>
      </c>
      <c r="D187" t="s">
        <v>57</v>
      </c>
      <c r="E187" s="52" t="s">
        <v>58</v>
      </c>
      <c r="F187" t="s">
        <v>552</v>
      </c>
      <c r="G187" s="21">
        <v>0</v>
      </c>
      <c r="H187" s="21">
        <v>0</v>
      </c>
      <c r="I187" s="21">
        <v>0</v>
      </c>
      <c r="J187" s="21">
        <v>-0.04</v>
      </c>
      <c r="K187" s="21">
        <v>0</v>
      </c>
      <c r="L187" s="21">
        <v>-0.04</v>
      </c>
    </row>
    <row r="188" spans="1:12" x14ac:dyDescent="0.25">
      <c r="A188" s="10">
        <v>183</v>
      </c>
      <c r="B188" t="s">
        <v>18</v>
      </c>
      <c r="C188" t="s">
        <v>17</v>
      </c>
      <c r="D188" t="s">
        <v>59</v>
      </c>
      <c r="E188" s="52" t="s">
        <v>60</v>
      </c>
      <c r="F188" t="s">
        <v>19</v>
      </c>
      <c r="G188" s="21">
        <v>0</v>
      </c>
      <c r="H188" s="21">
        <v>0</v>
      </c>
      <c r="I188" s="21">
        <v>0</v>
      </c>
      <c r="J188" s="21">
        <v>0</v>
      </c>
      <c r="K188" s="21">
        <v>0</v>
      </c>
      <c r="L188" s="21">
        <v>0</v>
      </c>
    </row>
    <row r="189" spans="1:12" x14ac:dyDescent="0.25">
      <c r="A189" s="10">
        <v>184</v>
      </c>
      <c r="B189" t="s">
        <v>550</v>
      </c>
      <c r="C189" t="s">
        <v>17</v>
      </c>
      <c r="D189" t="s">
        <v>59</v>
      </c>
      <c r="E189" s="52" t="s">
        <v>60</v>
      </c>
      <c r="F189" t="s">
        <v>551</v>
      </c>
      <c r="G189" s="21">
        <v>-5.16</v>
      </c>
      <c r="H189" s="21">
        <v>0</v>
      </c>
      <c r="I189" s="21">
        <v>0</v>
      </c>
      <c r="J189" s="21">
        <v>0</v>
      </c>
      <c r="K189" s="21">
        <v>0.1</v>
      </c>
      <c r="L189" s="21">
        <v>-5.0599999999999996</v>
      </c>
    </row>
    <row r="190" spans="1:12" x14ac:dyDescent="0.25">
      <c r="A190" s="10">
        <v>185</v>
      </c>
      <c r="B190" t="s">
        <v>550</v>
      </c>
      <c r="C190" t="s">
        <v>13</v>
      </c>
      <c r="D190" t="s">
        <v>59</v>
      </c>
      <c r="E190" s="52" t="s">
        <v>60</v>
      </c>
      <c r="F190" t="s">
        <v>551</v>
      </c>
      <c r="G190" s="21">
        <v>0</v>
      </c>
      <c r="H190" s="21">
        <v>0</v>
      </c>
      <c r="I190" s="21">
        <v>0</v>
      </c>
      <c r="J190" s="21">
        <v>-0.62</v>
      </c>
      <c r="K190" s="21">
        <v>0</v>
      </c>
      <c r="L190" s="21">
        <v>-0.62</v>
      </c>
    </row>
    <row r="191" spans="1:12" ht="30" x14ac:dyDescent="0.25">
      <c r="A191" s="10">
        <v>186</v>
      </c>
      <c r="B191" t="s">
        <v>550</v>
      </c>
      <c r="C191" t="s">
        <v>17</v>
      </c>
      <c r="D191" t="s">
        <v>574</v>
      </c>
      <c r="E191" s="52" t="s">
        <v>62</v>
      </c>
      <c r="F191" t="s">
        <v>551</v>
      </c>
      <c r="G191" s="21">
        <v>0</v>
      </c>
      <c r="H191" s="21">
        <v>0</v>
      </c>
      <c r="I191" s="21">
        <v>-56.99</v>
      </c>
      <c r="J191" s="21">
        <v>0</v>
      </c>
      <c r="K191" s="21">
        <v>1.1399999999999999</v>
      </c>
      <c r="L191" s="21">
        <v>-55.85</v>
      </c>
    </row>
    <row r="192" spans="1:12" ht="30" x14ac:dyDescent="0.25">
      <c r="A192" s="10">
        <v>187</v>
      </c>
      <c r="B192" t="s">
        <v>18</v>
      </c>
      <c r="C192" t="s">
        <v>17</v>
      </c>
      <c r="D192" t="s">
        <v>63</v>
      </c>
      <c r="E192" s="52" t="s">
        <v>64</v>
      </c>
      <c r="F192" t="s">
        <v>19</v>
      </c>
      <c r="G192" s="21">
        <v>-1.4</v>
      </c>
      <c r="H192" s="21">
        <v>0</v>
      </c>
      <c r="I192" s="21">
        <v>0</v>
      </c>
      <c r="J192" s="21">
        <v>0</v>
      </c>
      <c r="K192" s="21">
        <v>1.24</v>
      </c>
      <c r="L192" s="21">
        <v>-0.16</v>
      </c>
    </row>
    <row r="193" spans="1:12" ht="30" x14ac:dyDescent="0.25">
      <c r="A193" s="10">
        <v>188</v>
      </c>
      <c r="B193" t="s">
        <v>550</v>
      </c>
      <c r="C193" t="s">
        <v>17</v>
      </c>
      <c r="D193" t="s">
        <v>63</v>
      </c>
      <c r="E193" s="52" t="s">
        <v>64</v>
      </c>
      <c r="F193" t="s">
        <v>551</v>
      </c>
      <c r="G193" s="21">
        <v>-50397.17</v>
      </c>
      <c r="H193" s="21">
        <v>0</v>
      </c>
      <c r="I193" s="21">
        <v>0</v>
      </c>
      <c r="J193" s="21">
        <v>0</v>
      </c>
      <c r="K193" s="21">
        <v>1007.94</v>
      </c>
      <c r="L193" s="21">
        <v>-49389.23</v>
      </c>
    </row>
    <row r="194" spans="1:12" ht="30" x14ac:dyDescent="0.25">
      <c r="A194" s="10">
        <v>189</v>
      </c>
      <c r="B194" t="s">
        <v>550</v>
      </c>
      <c r="C194" t="s">
        <v>13</v>
      </c>
      <c r="D194" t="s">
        <v>63</v>
      </c>
      <c r="E194" s="52" t="s">
        <v>64</v>
      </c>
      <c r="F194" t="s">
        <v>551</v>
      </c>
      <c r="G194" s="21">
        <v>0</v>
      </c>
      <c r="H194" s="21">
        <v>0</v>
      </c>
      <c r="I194" s="21">
        <v>0</v>
      </c>
      <c r="J194" s="21">
        <v>-6047.66</v>
      </c>
      <c r="K194" s="21">
        <v>0</v>
      </c>
      <c r="L194" s="21">
        <v>-6047.66</v>
      </c>
    </row>
    <row r="195" spans="1:12" ht="30" x14ac:dyDescent="0.25">
      <c r="A195" s="10">
        <v>190</v>
      </c>
      <c r="B195" t="s">
        <v>550</v>
      </c>
      <c r="C195" t="s">
        <v>17</v>
      </c>
      <c r="D195" t="s">
        <v>63</v>
      </c>
      <c r="E195" s="52" t="s">
        <v>64</v>
      </c>
      <c r="F195" t="s">
        <v>552</v>
      </c>
      <c r="G195" s="21">
        <v>-3.62</v>
      </c>
      <c r="H195" s="21">
        <v>0</v>
      </c>
      <c r="I195" s="21">
        <v>0</v>
      </c>
      <c r="J195" s="21">
        <v>0</v>
      </c>
      <c r="K195" s="21">
        <v>7.0000000000000007E-2</v>
      </c>
      <c r="L195" s="21">
        <v>-3.55</v>
      </c>
    </row>
    <row r="196" spans="1:12" ht="30" x14ac:dyDescent="0.25">
      <c r="A196" s="10">
        <v>191</v>
      </c>
      <c r="B196" t="s">
        <v>550</v>
      </c>
      <c r="C196" t="s">
        <v>13</v>
      </c>
      <c r="D196" t="s">
        <v>63</v>
      </c>
      <c r="E196" s="52" t="s">
        <v>64</v>
      </c>
      <c r="F196" t="s">
        <v>552</v>
      </c>
      <c r="G196" s="21">
        <v>0</v>
      </c>
      <c r="H196" s="21">
        <v>0</v>
      </c>
      <c r="I196" s="21">
        <v>0</v>
      </c>
      <c r="J196" s="21">
        <v>-0.43</v>
      </c>
      <c r="K196" s="21">
        <v>0</v>
      </c>
      <c r="L196" s="21">
        <v>-0.43</v>
      </c>
    </row>
    <row r="197" spans="1:12" ht="30" x14ac:dyDescent="0.25">
      <c r="A197" s="10">
        <v>192</v>
      </c>
      <c r="B197" t="s">
        <v>566</v>
      </c>
      <c r="C197" t="s">
        <v>17</v>
      </c>
      <c r="D197" t="s">
        <v>65</v>
      </c>
      <c r="E197" s="52" t="s">
        <v>66</v>
      </c>
      <c r="F197" t="s">
        <v>567</v>
      </c>
      <c r="G197" s="21">
        <v>-0.27</v>
      </c>
      <c r="H197" s="21">
        <v>0</v>
      </c>
      <c r="I197" s="21">
        <v>0</v>
      </c>
      <c r="J197" s="21">
        <v>0</v>
      </c>
      <c r="K197" s="21">
        <v>0.01</v>
      </c>
      <c r="L197" s="21">
        <v>-0.26</v>
      </c>
    </row>
    <row r="198" spans="1:12" ht="30" x14ac:dyDescent="0.25">
      <c r="A198" s="10">
        <v>193</v>
      </c>
      <c r="B198" t="s">
        <v>566</v>
      </c>
      <c r="C198" t="s">
        <v>13</v>
      </c>
      <c r="D198" t="s">
        <v>65</v>
      </c>
      <c r="E198" s="52" t="s">
        <v>66</v>
      </c>
      <c r="F198" t="s">
        <v>567</v>
      </c>
      <c r="G198" s="21">
        <v>0</v>
      </c>
      <c r="H198" s="21">
        <v>0</v>
      </c>
      <c r="I198" s="21">
        <v>0</v>
      </c>
      <c r="J198" s="21">
        <v>-0.03</v>
      </c>
      <c r="K198" s="21">
        <v>0</v>
      </c>
      <c r="L198" s="21">
        <v>-0.03</v>
      </c>
    </row>
    <row r="199" spans="1:12" ht="30" x14ac:dyDescent="0.25">
      <c r="A199" s="10">
        <v>194</v>
      </c>
      <c r="B199" t="s">
        <v>559</v>
      </c>
      <c r="C199" t="s">
        <v>17</v>
      </c>
      <c r="D199" t="s">
        <v>65</v>
      </c>
      <c r="E199" s="52" t="s">
        <v>66</v>
      </c>
      <c r="F199" t="s">
        <v>560</v>
      </c>
      <c r="G199" s="21">
        <v>-16.93</v>
      </c>
      <c r="H199" s="21">
        <v>0</v>
      </c>
      <c r="I199" s="21">
        <v>0</v>
      </c>
      <c r="J199" s="21">
        <v>0</v>
      </c>
      <c r="K199" s="21">
        <v>0.34</v>
      </c>
      <c r="L199" s="21">
        <v>-16.59</v>
      </c>
    </row>
    <row r="200" spans="1:12" ht="30" x14ac:dyDescent="0.25">
      <c r="A200" s="10">
        <v>195</v>
      </c>
      <c r="B200" t="s">
        <v>559</v>
      </c>
      <c r="C200" t="s">
        <v>13</v>
      </c>
      <c r="D200" t="s">
        <v>65</v>
      </c>
      <c r="E200" s="52" t="s">
        <v>66</v>
      </c>
      <c r="F200" t="s">
        <v>560</v>
      </c>
      <c r="G200" s="21">
        <v>0</v>
      </c>
      <c r="H200" s="21">
        <v>0</v>
      </c>
      <c r="I200" s="21">
        <v>0</v>
      </c>
      <c r="J200" s="21">
        <v>-2.0299999999999998</v>
      </c>
      <c r="K200" s="21">
        <v>0</v>
      </c>
      <c r="L200" s="21">
        <v>-2.0299999999999998</v>
      </c>
    </row>
    <row r="201" spans="1:12" ht="30" x14ac:dyDescent="0.25">
      <c r="A201" s="10">
        <v>196</v>
      </c>
      <c r="B201" t="s">
        <v>18</v>
      </c>
      <c r="C201" t="s">
        <v>17</v>
      </c>
      <c r="D201" t="s">
        <v>65</v>
      </c>
      <c r="E201" s="52" t="s">
        <v>66</v>
      </c>
      <c r="F201" t="s">
        <v>19</v>
      </c>
      <c r="G201" s="21">
        <v>-14.87</v>
      </c>
      <c r="H201" s="21">
        <v>0</v>
      </c>
      <c r="I201" s="21">
        <v>0</v>
      </c>
      <c r="J201" s="21">
        <v>0</v>
      </c>
      <c r="K201" s="21">
        <v>13.19</v>
      </c>
      <c r="L201" s="21">
        <v>-1.68</v>
      </c>
    </row>
    <row r="202" spans="1:12" ht="30" x14ac:dyDescent="0.25">
      <c r="A202" s="10">
        <v>197</v>
      </c>
      <c r="B202" t="s">
        <v>550</v>
      </c>
      <c r="C202" t="s">
        <v>17</v>
      </c>
      <c r="D202" t="s">
        <v>65</v>
      </c>
      <c r="E202" s="52" t="s">
        <v>66</v>
      </c>
      <c r="F202" t="s">
        <v>551</v>
      </c>
      <c r="G202" s="21">
        <v>-260343.21</v>
      </c>
      <c r="H202" s="21">
        <v>0</v>
      </c>
      <c r="I202" s="21">
        <v>0</v>
      </c>
      <c r="J202" s="21">
        <v>0</v>
      </c>
      <c r="K202" s="21">
        <v>5206.8599999999997</v>
      </c>
      <c r="L202" s="21">
        <v>-255136.35</v>
      </c>
    </row>
    <row r="203" spans="1:12" ht="30" x14ac:dyDescent="0.25">
      <c r="A203" s="10">
        <v>198</v>
      </c>
      <c r="B203" t="s">
        <v>550</v>
      </c>
      <c r="C203" t="s">
        <v>13</v>
      </c>
      <c r="D203" t="s">
        <v>65</v>
      </c>
      <c r="E203" s="52" t="s">
        <v>66</v>
      </c>
      <c r="F203" t="s">
        <v>551</v>
      </c>
      <c r="G203" s="21">
        <v>0</v>
      </c>
      <c r="H203" s="21">
        <v>0</v>
      </c>
      <c r="I203" s="21">
        <v>0</v>
      </c>
      <c r="J203" s="21">
        <v>-31241.19</v>
      </c>
      <c r="K203" s="21">
        <v>0</v>
      </c>
      <c r="L203" s="21">
        <v>-31241.19</v>
      </c>
    </row>
    <row r="204" spans="1:12" ht="30" x14ac:dyDescent="0.25">
      <c r="A204" s="10">
        <v>199</v>
      </c>
      <c r="B204" t="s">
        <v>550</v>
      </c>
      <c r="C204" t="s">
        <v>17</v>
      </c>
      <c r="D204" t="s">
        <v>65</v>
      </c>
      <c r="E204" s="52" t="s">
        <v>66</v>
      </c>
      <c r="F204" t="s">
        <v>552</v>
      </c>
      <c r="G204" s="21">
        <v>-18.73</v>
      </c>
      <c r="H204" s="21">
        <v>0</v>
      </c>
      <c r="I204" s="21">
        <v>0</v>
      </c>
      <c r="J204" s="21">
        <v>0</v>
      </c>
      <c r="K204" s="21">
        <v>0.37</v>
      </c>
      <c r="L204" s="21">
        <v>-18.36</v>
      </c>
    </row>
    <row r="205" spans="1:12" ht="30" x14ac:dyDescent="0.25">
      <c r="A205" s="10">
        <v>200</v>
      </c>
      <c r="B205" t="s">
        <v>550</v>
      </c>
      <c r="C205" t="s">
        <v>13</v>
      </c>
      <c r="D205" t="s">
        <v>65</v>
      </c>
      <c r="E205" s="52" t="s">
        <v>66</v>
      </c>
      <c r="F205" t="s">
        <v>552</v>
      </c>
      <c r="G205" s="21">
        <v>0</v>
      </c>
      <c r="H205" s="21">
        <v>0</v>
      </c>
      <c r="I205" s="21">
        <v>0</v>
      </c>
      <c r="J205" s="21">
        <v>-2.25</v>
      </c>
      <c r="K205" s="21">
        <v>0</v>
      </c>
      <c r="L205" s="21">
        <v>-2.25</v>
      </c>
    </row>
    <row r="206" spans="1:12" ht="30" x14ac:dyDescent="0.25">
      <c r="A206" s="10">
        <v>201</v>
      </c>
      <c r="B206" t="s">
        <v>22</v>
      </c>
      <c r="C206" t="s">
        <v>17</v>
      </c>
      <c r="D206" t="s">
        <v>575</v>
      </c>
      <c r="E206" s="52" t="s">
        <v>576</v>
      </c>
      <c r="F206" t="s">
        <v>23</v>
      </c>
      <c r="G206" s="21">
        <v>0</v>
      </c>
      <c r="H206" s="21">
        <v>0</v>
      </c>
      <c r="I206" s="21">
        <v>-1.95</v>
      </c>
      <c r="J206" s="21">
        <v>0</v>
      </c>
      <c r="K206" s="21">
        <v>0</v>
      </c>
      <c r="L206" s="21">
        <v>-1.95</v>
      </c>
    </row>
    <row r="207" spans="1:12" ht="30" x14ac:dyDescent="0.25">
      <c r="A207" s="10">
        <v>202</v>
      </c>
      <c r="B207" t="s">
        <v>550</v>
      </c>
      <c r="C207" t="s">
        <v>17</v>
      </c>
      <c r="D207" t="s">
        <v>575</v>
      </c>
      <c r="E207" s="52" t="s">
        <v>576</v>
      </c>
      <c r="F207" t="s">
        <v>551</v>
      </c>
      <c r="G207" s="21">
        <v>0</v>
      </c>
      <c r="H207" s="21">
        <v>0</v>
      </c>
      <c r="I207" s="21">
        <v>-18.510000000000002</v>
      </c>
      <c r="J207" s="21">
        <v>0</v>
      </c>
      <c r="K207" s="21">
        <v>0</v>
      </c>
      <c r="L207" s="21">
        <v>-18.510000000000002</v>
      </c>
    </row>
    <row r="208" spans="1:12" ht="30" x14ac:dyDescent="0.25">
      <c r="A208" s="10">
        <v>203</v>
      </c>
      <c r="B208" t="s">
        <v>550</v>
      </c>
      <c r="C208" t="s">
        <v>49</v>
      </c>
      <c r="D208" t="s">
        <v>575</v>
      </c>
      <c r="E208" s="52" t="s">
        <v>576</v>
      </c>
      <c r="F208" t="s">
        <v>551</v>
      </c>
      <c r="G208" s="21">
        <v>0</v>
      </c>
      <c r="H208" s="21">
        <v>0</v>
      </c>
      <c r="I208" s="21">
        <v>-0.02</v>
      </c>
      <c r="J208" s="21">
        <v>0</v>
      </c>
      <c r="K208" s="21">
        <v>0</v>
      </c>
      <c r="L208" s="21">
        <v>-0.02</v>
      </c>
    </row>
    <row r="209" spans="1:12" ht="30" x14ac:dyDescent="0.25">
      <c r="A209" s="10">
        <v>204</v>
      </c>
      <c r="B209" t="s">
        <v>555</v>
      </c>
      <c r="C209" t="s">
        <v>17</v>
      </c>
      <c r="D209" t="s">
        <v>67</v>
      </c>
      <c r="E209" s="52" t="s">
        <v>68</v>
      </c>
      <c r="F209" t="s">
        <v>556</v>
      </c>
      <c r="G209" s="21">
        <v>0</v>
      </c>
      <c r="H209" s="21">
        <v>0</v>
      </c>
      <c r="I209" s="21">
        <v>-11.88</v>
      </c>
      <c r="J209" s="21">
        <v>0</v>
      </c>
      <c r="K209" s="21">
        <v>0.24</v>
      </c>
      <c r="L209" s="21">
        <v>-11.64</v>
      </c>
    </row>
    <row r="210" spans="1:12" ht="30" x14ac:dyDescent="0.25">
      <c r="A210" s="10">
        <v>205</v>
      </c>
      <c r="B210" t="s">
        <v>557</v>
      </c>
      <c r="C210" t="s">
        <v>17</v>
      </c>
      <c r="D210" t="s">
        <v>67</v>
      </c>
      <c r="E210" s="52" t="s">
        <v>68</v>
      </c>
      <c r="F210" t="s">
        <v>558</v>
      </c>
      <c r="G210" s="21">
        <v>0</v>
      </c>
      <c r="H210" s="21">
        <v>0</v>
      </c>
      <c r="I210" s="21">
        <v>-7.27</v>
      </c>
      <c r="J210" s="21">
        <v>0</v>
      </c>
      <c r="K210" s="21">
        <v>0.15</v>
      </c>
      <c r="L210" s="21">
        <v>-7.12</v>
      </c>
    </row>
    <row r="211" spans="1:12" ht="30" x14ac:dyDescent="0.25">
      <c r="A211" s="10">
        <v>206</v>
      </c>
      <c r="B211" t="s">
        <v>18</v>
      </c>
      <c r="C211" t="s">
        <v>17</v>
      </c>
      <c r="D211" t="s">
        <v>67</v>
      </c>
      <c r="E211" s="52" t="s">
        <v>68</v>
      </c>
      <c r="F211" t="s">
        <v>19</v>
      </c>
      <c r="G211" s="21">
        <v>0</v>
      </c>
      <c r="H211" s="21">
        <v>0</v>
      </c>
      <c r="I211" s="21">
        <v>-1.1499999999999999</v>
      </c>
      <c r="J211" s="21">
        <v>0</v>
      </c>
      <c r="K211" s="21">
        <v>0.14000000000000001</v>
      </c>
      <c r="L211" s="21">
        <v>-1.01</v>
      </c>
    </row>
    <row r="212" spans="1:12" ht="30" x14ac:dyDescent="0.25">
      <c r="A212" s="10">
        <v>207</v>
      </c>
      <c r="B212" t="s">
        <v>550</v>
      </c>
      <c r="C212" t="s">
        <v>17</v>
      </c>
      <c r="D212" t="s">
        <v>67</v>
      </c>
      <c r="E212" s="52" t="s">
        <v>68</v>
      </c>
      <c r="F212" t="s">
        <v>551</v>
      </c>
      <c r="G212" s="21">
        <v>0</v>
      </c>
      <c r="H212" s="21">
        <v>0</v>
      </c>
      <c r="I212" s="21">
        <v>-1261.8800000000001</v>
      </c>
      <c r="J212" s="21">
        <v>0</v>
      </c>
      <c r="K212" s="21">
        <v>25.24</v>
      </c>
      <c r="L212" s="21">
        <v>-1236.6400000000001</v>
      </c>
    </row>
    <row r="213" spans="1:12" ht="30" x14ac:dyDescent="0.25">
      <c r="A213" s="10">
        <v>208</v>
      </c>
      <c r="B213" t="s">
        <v>550</v>
      </c>
      <c r="C213" t="s">
        <v>17</v>
      </c>
      <c r="D213" t="s">
        <v>67</v>
      </c>
      <c r="E213" s="52" t="s">
        <v>68</v>
      </c>
      <c r="F213" t="s">
        <v>552</v>
      </c>
      <c r="G213" s="21">
        <v>0</v>
      </c>
      <c r="H213" s="21">
        <v>0</v>
      </c>
      <c r="I213" s="21">
        <v>-0.09</v>
      </c>
      <c r="J213" s="21">
        <v>0</v>
      </c>
      <c r="K213" s="21">
        <v>0</v>
      </c>
      <c r="L213" s="21">
        <v>-0.09</v>
      </c>
    </row>
    <row r="214" spans="1:12" x14ac:dyDescent="0.25">
      <c r="A214" s="10">
        <v>209</v>
      </c>
      <c r="B214" t="s">
        <v>559</v>
      </c>
      <c r="C214" t="s">
        <v>17</v>
      </c>
      <c r="D214" t="s">
        <v>69</v>
      </c>
      <c r="E214" s="52" t="s">
        <v>70</v>
      </c>
      <c r="F214" t="s">
        <v>560</v>
      </c>
      <c r="G214" s="21">
        <v>0</v>
      </c>
      <c r="H214" s="21">
        <v>0</v>
      </c>
      <c r="I214" s="21">
        <v>-0.06</v>
      </c>
      <c r="J214" s="21">
        <v>0</v>
      </c>
      <c r="K214" s="21">
        <v>0</v>
      </c>
      <c r="L214" s="21">
        <v>-0.06</v>
      </c>
    </row>
    <row r="215" spans="1:12" x14ac:dyDescent="0.25">
      <c r="A215" s="10">
        <v>210</v>
      </c>
      <c r="B215" t="s">
        <v>18</v>
      </c>
      <c r="C215" t="s">
        <v>17</v>
      </c>
      <c r="D215" t="s">
        <v>69</v>
      </c>
      <c r="E215" s="52" t="s">
        <v>70</v>
      </c>
      <c r="F215" t="s">
        <v>19</v>
      </c>
      <c r="G215" s="21">
        <v>0</v>
      </c>
      <c r="H215" s="21">
        <v>0</v>
      </c>
      <c r="I215" s="21">
        <v>-0.01</v>
      </c>
      <c r="J215" s="21">
        <v>0</v>
      </c>
      <c r="K215" s="21">
        <v>0</v>
      </c>
      <c r="L215" s="21">
        <v>-0.01</v>
      </c>
    </row>
    <row r="216" spans="1:12" x14ac:dyDescent="0.25">
      <c r="A216" s="10">
        <v>211</v>
      </c>
      <c r="B216" t="s">
        <v>550</v>
      </c>
      <c r="C216" t="s">
        <v>17</v>
      </c>
      <c r="D216" t="s">
        <v>69</v>
      </c>
      <c r="E216" s="52" t="s">
        <v>70</v>
      </c>
      <c r="F216" t="s">
        <v>551</v>
      </c>
      <c r="G216" s="21">
        <v>0</v>
      </c>
      <c r="H216" s="21">
        <v>0</v>
      </c>
      <c r="I216" s="21">
        <v>-455104.32</v>
      </c>
      <c r="J216" s="21">
        <v>0</v>
      </c>
      <c r="K216" s="21">
        <v>9102.09</v>
      </c>
      <c r="L216" s="21">
        <v>-446002.23</v>
      </c>
    </row>
    <row r="217" spans="1:12" x14ac:dyDescent="0.25">
      <c r="A217" s="10">
        <v>212</v>
      </c>
      <c r="B217" t="s">
        <v>550</v>
      </c>
      <c r="C217" t="s">
        <v>17</v>
      </c>
      <c r="D217" t="s">
        <v>69</v>
      </c>
      <c r="E217" s="52" t="s">
        <v>70</v>
      </c>
      <c r="F217" t="s">
        <v>552</v>
      </c>
      <c r="G217" s="21">
        <v>0</v>
      </c>
      <c r="H217" s="21">
        <v>0</v>
      </c>
      <c r="I217" s="21">
        <v>-32.729999999999997</v>
      </c>
      <c r="J217" s="21">
        <v>0</v>
      </c>
      <c r="K217" s="21">
        <v>0.65</v>
      </c>
      <c r="L217" s="21">
        <v>-32.08</v>
      </c>
    </row>
    <row r="218" spans="1:12" x14ac:dyDescent="0.25">
      <c r="A218" s="10">
        <v>213</v>
      </c>
      <c r="B218" t="s">
        <v>550</v>
      </c>
      <c r="C218" t="s">
        <v>17</v>
      </c>
      <c r="D218" t="s">
        <v>577</v>
      </c>
      <c r="E218" s="52" t="s">
        <v>578</v>
      </c>
      <c r="F218" t="s">
        <v>551</v>
      </c>
      <c r="G218" s="21">
        <v>0</v>
      </c>
      <c r="H218" s="21">
        <v>0</v>
      </c>
      <c r="I218" s="21">
        <v>-702.9</v>
      </c>
      <c r="J218" s="21">
        <v>0</v>
      </c>
      <c r="K218" s="21">
        <v>14.06</v>
      </c>
      <c r="L218" s="21">
        <v>-688.84</v>
      </c>
    </row>
    <row r="219" spans="1:12" x14ac:dyDescent="0.25">
      <c r="A219" s="10">
        <v>214</v>
      </c>
      <c r="B219" t="s">
        <v>550</v>
      </c>
      <c r="C219" t="s">
        <v>17</v>
      </c>
      <c r="D219" t="s">
        <v>577</v>
      </c>
      <c r="E219" s="52" t="s">
        <v>578</v>
      </c>
      <c r="F219" t="s">
        <v>552</v>
      </c>
      <c r="G219" s="21">
        <v>0</v>
      </c>
      <c r="H219" s="21">
        <v>0</v>
      </c>
      <c r="I219" s="21">
        <v>-0.05</v>
      </c>
      <c r="J219" s="21">
        <v>0</v>
      </c>
      <c r="K219" s="21">
        <v>0</v>
      </c>
      <c r="L219" s="21">
        <v>-0.05</v>
      </c>
    </row>
    <row r="220" spans="1:12" x14ac:dyDescent="0.25">
      <c r="A220" s="10">
        <v>215</v>
      </c>
      <c r="B220" t="s">
        <v>555</v>
      </c>
      <c r="C220" t="s">
        <v>17</v>
      </c>
      <c r="D220" t="s">
        <v>71</v>
      </c>
      <c r="E220" s="52" t="s">
        <v>70</v>
      </c>
      <c r="F220" t="s">
        <v>556</v>
      </c>
      <c r="G220" s="21">
        <v>-192.23</v>
      </c>
      <c r="H220" s="21">
        <v>0</v>
      </c>
      <c r="I220" s="21">
        <v>0</v>
      </c>
      <c r="J220" s="21">
        <v>0</v>
      </c>
      <c r="K220" s="21">
        <v>3.84</v>
      </c>
      <c r="L220" s="21">
        <v>-188.39</v>
      </c>
    </row>
    <row r="221" spans="1:12" x14ac:dyDescent="0.25">
      <c r="A221" s="10">
        <v>216</v>
      </c>
      <c r="B221" t="s">
        <v>555</v>
      </c>
      <c r="C221" t="s">
        <v>13</v>
      </c>
      <c r="D221" t="s">
        <v>71</v>
      </c>
      <c r="E221" s="52" t="s">
        <v>70</v>
      </c>
      <c r="F221" t="s">
        <v>556</v>
      </c>
      <c r="G221" s="21">
        <v>0</v>
      </c>
      <c r="H221" s="21">
        <v>0</v>
      </c>
      <c r="I221" s="21">
        <v>0</v>
      </c>
      <c r="J221" s="21">
        <v>-23.07</v>
      </c>
      <c r="K221" s="21">
        <v>0</v>
      </c>
      <c r="L221" s="21">
        <v>-23.07</v>
      </c>
    </row>
    <row r="222" spans="1:12" x14ac:dyDescent="0.25">
      <c r="A222" s="10">
        <v>217</v>
      </c>
      <c r="B222" t="s">
        <v>557</v>
      </c>
      <c r="C222" t="s">
        <v>17</v>
      </c>
      <c r="D222" t="s">
        <v>71</v>
      </c>
      <c r="E222" s="52" t="s">
        <v>70</v>
      </c>
      <c r="F222" t="s">
        <v>558</v>
      </c>
      <c r="G222" s="21">
        <v>-158.61000000000001</v>
      </c>
      <c r="H222" s="21">
        <v>0</v>
      </c>
      <c r="I222" s="21">
        <v>0</v>
      </c>
      <c r="J222" s="21">
        <v>0</v>
      </c>
      <c r="K222" s="21">
        <v>3.17</v>
      </c>
      <c r="L222" s="21">
        <v>-155.44</v>
      </c>
    </row>
    <row r="223" spans="1:12" x14ac:dyDescent="0.25">
      <c r="A223" s="10">
        <v>218</v>
      </c>
      <c r="B223" t="s">
        <v>557</v>
      </c>
      <c r="C223" t="s">
        <v>13</v>
      </c>
      <c r="D223" t="s">
        <v>71</v>
      </c>
      <c r="E223" s="52" t="s">
        <v>70</v>
      </c>
      <c r="F223" t="s">
        <v>558</v>
      </c>
      <c r="G223" s="21">
        <v>0</v>
      </c>
      <c r="H223" s="21">
        <v>0</v>
      </c>
      <c r="I223" s="21">
        <v>0</v>
      </c>
      <c r="J223" s="21">
        <v>-19.010000000000002</v>
      </c>
      <c r="K223" s="21">
        <v>0</v>
      </c>
      <c r="L223" s="21">
        <v>-19.010000000000002</v>
      </c>
    </row>
    <row r="224" spans="1:12" x14ac:dyDescent="0.25">
      <c r="A224" s="10">
        <v>219</v>
      </c>
      <c r="B224" t="s">
        <v>18</v>
      </c>
      <c r="C224" t="s">
        <v>17</v>
      </c>
      <c r="D224" t="s">
        <v>71</v>
      </c>
      <c r="E224" s="52" t="s">
        <v>70</v>
      </c>
      <c r="F224" t="s">
        <v>19</v>
      </c>
      <c r="G224" s="21">
        <v>0</v>
      </c>
      <c r="H224" s="21">
        <v>0</v>
      </c>
      <c r="I224" s="21">
        <v>-79.260000000000005</v>
      </c>
      <c r="J224" s="21">
        <v>0</v>
      </c>
      <c r="K224" s="21">
        <v>9.32</v>
      </c>
      <c r="L224" s="21">
        <v>-69.94</v>
      </c>
    </row>
    <row r="225" spans="1:12" x14ac:dyDescent="0.25">
      <c r="A225" s="10">
        <v>220</v>
      </c>
      <c r="B225" t="s">
        <v>18</v>
      </c>
      <c r="C225" t="s">
        <v>17</v>
      </c>
      <c r="D225" t="s">
        <v>71</v>
      </c>
      <c r="E225" s="52" t="s">
        <v>70</v>
      </c>
      <c r="F225" t="s">
        <v>19</v>
      </c>
      <c r="G225" s="21">
        <v>-0.36</v>
      </c>
      <c r="H225" s="21">
        <v>0</v>
      </c>
      <c r="I225" s="21">
        <v>0</v>
      </c>
      <c r="J225" s="21">
        <v>0</v>
      </c>
      <c r="K225" s="21">
        <v>0.32</v>
      </c>
      <c r="L225" s="21">
        <v>-0.04</v>
      </c>
    </row>
    <row r="226" spans="1:12" x14ac:dyDescent="0.25">
      <c r="A226" s="10">
        <v>221</v>
      </c>
      <c r="B226" t="s">
        <v>550</v>
      </c>
      <c r="C226" t="s">
        <v>17</v>
      </c>
      <c r="D226" t="s">
        <v>71</v>
      </c>
      <c r="E226" s="52" t="s">
        <v>70</v>
      </c>
      <c r="F226" t="s">
        <v>551</v>
      </c>
      <c r="G226" s="21">
        <v>-137.08000000000001</v>
      </c>
      <c r="H226" s="21">
        <v>0</v>
      </c>
      <c r="I226" s="21">
        <v>0</v>
      </c>
      <c r="J226" s="21">
        <v>0</v>
      </c>
      <c r="K226" s="21">
        <v>2.74</v>
      </c>
      <c r="L226" s="21">
        <v>-134.34</v>
      </c>
    </row>
    <row r="227" spans="1:12" x14ac:dyDescent="0.25">
      <c r="A227" s="10">
        <v>222</v>
      </c>
      <c r="B227" t="s">
        <v>550</v>
      </c>
      <c r="C227" t="s">
        <v>17</v>
      </c>
      <c r="D227" t="s">
        <v>71</v>
      </c>
      <c r="E227" s="52" t="s">
        <v>70</v>
      </c>
      <c r="F227" t="s">
        <v>551</v>
      </c>
      <c r="G227" s="21">
        <v>0</v>
      </c>
      <c r="H227" s="21">
        <v>0</v>
      </c>
      <c r="I227" s="21">
        <v>-100450.22</v>
      </c>
      <c r="J227" s="21">
        <v>0</v>
      </c>
      <c r="K227" s="21">
        <v>2009</v>
      </c>
      <c r="L227" s="21">
        <v>-98441.22</v>
      </c>
    </row>
    <row r="228" spans="1:12" x14ac:dyDescent="0.25">
      <c r="A228" s="10">
        <v>223</v>
      </c>
      <c r="B228" t="s">
        <v>550</v>
      </c>
      <c r="C228" t="s">
        <v>17</v>
      </c>
      <c r="D228" t="s">
        <v>71</v>
      </c>
      <c r="E228" s="52" t="s">
        <v>70</v>
      </c>
      <c r="F228" t="s">
        <v>551</v>
      </c>
      <c r="G228" s="21">
        <v>-1047.49</v>
      </c>
      <c r="H228" s="21">
        <v>0</v>
      </c>
      <c r="I228" s="21">
        <v>0</v>
      </c>
      <c r="J228" s="21">
        <v>0</v>
      </c>
      <c r="K228" s="21">
        <v>20.95</v>
      </c>
      <c r="L228" s="21">
        <v>-1026.54</v>
      </c>
    </row>
    <row r="229" spans="1:12" x14ac:dyDescent="0.25">
      <c r="A229" s="10">
        <v>224</v>
      </c>
      <c r="B229" t="s">
        <v>550</v>
      </c>
      <c r="C229" t="s">
        <v>13</v>
      </c>
      <c r="D229" t="s">
        <v>71</v>
      </c>
      <c r="E229" s="52" t="s">
        <v>70</v>
      </c>
      <c r="F229" t="s">
        <v>551</v>
      </c>
      <c r="G229" s="21">
        <v>0</v>
      </c>
      <c r="H229" s="21">
        <v>0</v>
      </c>
      <c r="I229" s="21">
        <v>0</v>
      </c>
      <c r="J229" s="21">
        <v>-16.45</v>
      </c>
      <c r="K229" s="21">
        <v>0</v>
      </c>
      <c r="L229" s="21">
        <v>-16.45</v>
      </c>
    </row>
    <row r="230" spans="1:12" x14ac:dyDescent="0.25">
      <c r="A230" s="10">
        <v>225</v>
      </c>
      <c r="B230" t="s">
        <v>550</v>
      </c>
      <c r="C230" t="s">
        <v>13</v>
      </c>
      <c r="D230" t="s">
        <v>71</v>
      </c>
      <c r="E230" s="52" t="s">
        <v>70</v>
      </c>
      <c r="F230" t="s">
        <v>551</v>
      </c>
      <c r="G230" s="21">
        <v>0</v>
      </c>
      <c r="H230" s="21">
        <v>0</v>
      </c>
      <c r="I230" s="21">
        <v>0</v>
      </c>
      <c r="J230" s="21">
        <v>-125.7</v>
      </c>
      <c r="K230" s="21">
        <v>0</v>
      </c>
      <c r="L230" s="21">
        <v>-125.7</v>
      </c>
    </row>
    <row r="231" spans="1:12" x14ac:dyDescent="0.25">
      <c r="A231" s="10">
        <v>226</v>
      </c>
      <c r="B231" t="s">
        <v>550</v>
      </c>
      <c r="C231" t="s">
        <v>17</v>
      </c>
      <c r="D231" t="s">
        <v>71</v>
      </c>
      <c r="E231" s="52" t="s">
        <v>70</v>
      </c>
      <c r="F231" t="s">
        <v>552</v>
      </c>
      <c r="G231" s="21">
        <v>-0.01</v>
      </c>
      <c r="H231" s="21">
        <v>0</v>
      </c>
      <c r="I231" s="21">
        <v>0</v>
      </c>
      <c r="J231" s="21">
        <v>0</v>
      </c>
      <c r="K231" s="21">
        <v>0</v>
      </c>
      <c r="L231" s="21">
        <v>-0.01</v>
      </c>
    </row>
    <row r="232" spans="1:12" x14ac:dyDescent="0.25">
      <c r="A232" s="10">
        <v>227</v>
      </c>
      <c r="B232" t="s">
        <v>550</v>
      </c>
      <c r="C232" t="s">
        <v>17</v>
      </c>
      <c r="D232" t="s">
        <v>71</v>
      </c>
      <c r="E232" s="52" t="s">
        <v>70</v>
      </c>
      <c r="F232" t="s">
        <v>552</v>
      </c>
      <c r="G232" s="21">
        <v>0</v>
      </c>
      <c r="H232" s="21">
        <v>0</v>
      </c>
      <c r="I232" s="21">
        <v>-7.23</v>
      </c>
      <c r="J232" s="21">
        <v>0</v>
      </c>
      <c r="K232" s="21">
        <v>0.14000000000000001</v>
      </c>
      <c r="L232" s="21">
        <v>-7.09</v>
      </c>
    </row>
    <row r="233" spans="1:12" x14ac:dyDescent="0.25">
      <c r="A233" s="10">
        <v>228</v>
      </c>
      <c r="B233" t="s">
        <v>550</v>
      </c>
      <c r="C233" t="s">
        <v>17</v>
      </c>
      <c r="D233" t="s">
        <v>71</v>
      </c>
      <c r="E233" s="52" t="s">
        <v>70</v>
      </c>
      <c r="F233" t="s">
        <v>552</v>
      </c>
      <c r="G233" s="21">
        <v>-0.08</v>
      </c>
      <c r="H233" s="21">
        <v>0</v>
      </c>
      <c r="I233" s="21">
        <v>0</v>
      </c>
      <c r="J233" s="21">
        <v>0</v>
      </c>
      <c r="K233" s="21">
        <v>0</v>
      </c>
      <c r="L233" s="21">
        <v>-0.08</v>
      </c>
    </row>
    <row r="234" spans="1:12" x14ac:dyDescent="0.25">
      <c r="A234" s="10">
        <v>229</v>
      </c>
      <c r="B234" t="s">
        <v>550</v>
      </c>
      <c r="C234" t="s">
        <v>13</v>
      </c>
      <c r="D234" t="s">
        <v>71</v>
      </c>
      <c r="E234" s="52" t="s">
        <v>70</v>
      </c>
      <c r="F234" t="s">
        <v>552</v>
      </c>
      <c r="G234" s="21">
        <v>0</v>
      </c>
      <c r="H234" s="21">
        <v>0</v>
      </c>
      <c r="I234" s="21">
        <v>0</v>
      </c>
      <c r="J234" s="21">
        <v>0</v>
      </c>
      <c r="K234" s="21">
        <v>0</v>
      </c>
      <c r="L234" s="21">
        <v>0</v>
      </c>
    </row>
    <row r="235" spans="1:12" x14ac:dyDescent="0.25">
      <c r="A235" s="10">
        <v>230</v>
      </c>
      <c r="B235" t="s">
        <v>550</v>
      </c>
      <c r="C235" t="s">
        <v>13</v>
      </c>
      <c r="D235" t="s">
        <v>71</v>
      </c>
      <c r="E235" s="52" t="s">
        <v>70</v>
      </c>
      <c r="F235" t="s">
        <v>552</v>
      </c>
      <c r="G235" s="21">
        <v>0</v>
      </c>
      <c r="H235" s="21">
        <v>0</v>
      </c>
      <c r="I235" s="21">
        <v>0</v>
      </c>
      <c r="J235" s="21">
        <v>-0.01</v>
      </c>
      <c r="K235" s="21">
        <v>0</v>
      </c>
      <c r="L235" s="21">
        <v>-0.01</v>
      </c>
    </row>
    <row r="236" spans="1:12" ht="30" x14ac:dyDescent="0.25">
      <c r="A236" s="10">
        <v>231</v>
      </c>
      <c r="B236" t="s">
        <v>555</v>
      </c>
      <c r="C236" t="s">
        <v>17</v>
      </c>
      <c r="D236" t="s">
        <v>72</v>
      </c>
      <c r="E236" s="52" t="s">
        <v>73</v>
      </c>
      <c r="F236" t="s">
        <v>556</v>
      </c>
      <c r="G236" s="21">
        <v>-257.32</v>
      </c>
      <c r="H236" s="21">
        <v>0</v>
      </c>
      <c r="I236" s="21">
        <v>0</v>
      </c>
      <c r="J236" s="21">
        <v>0</v>
      </c>
      <c r="K236" s="21">
        <v>5.15</v>
      </c>
      <c r="L236" s="21">
        <v>-252.17</v>
      </c>
    </row>
    <row r="237" spans="1:12" ht="30" x14ac:dyDescent="0.25">
      <c r="A237" s="10">
        <v>232</v>
      </c>
      <c r="B237" t="s">
        <v>555</v>
      </c>
      <c r="C237" t="s">
        <v>13</v>
      </c>
      <c r="D237" t="s">
        <v>72</v>
      </c>
      <c r="E237" s="52" t="s">
        <v>73</v>
      </c>
      <c r="F237" t="s">
        <v>556</v>
      </c>
      <c r="G237" s="21">
        <v>0</v>
      </c>
      <c r="H237" s="21">
        <v>0</v>
      </c>
      <c r="I237" s="21">
        <v>0</v>
      </c>
      <c r="J237" s="21">
        <v>-30.88</v>
      </c>
      <c r="K237" s="21">
        <v>0</v>
      </c>
      <c r="L237" s="21">
        <v>-30.88</v>
      </c>
    </row>
    <row r="238" spans="1:12" ht="30" x14ac:dyDescent="0.25">
      <c r="A238" s="10">
        <v>233</v>
      </c>
      <c r="B238" t="s">
        <v>557</v>
      </c>
      <c r="C238" t="s">
        <v>17</v>
      </c>
      <c r="D238" t="s">
        <v>72</v>
      </c>
      <c r="E238" s="52" t="s">
        <v>73</v>
      </c>
      <c r="F238" t="s">
        <v>558</v>
      </c>
      <c r="G238" s="21">
        <v>-191.13</v>
      </c>
      <c r="H238" s="21">
        <v>0</v>
      </c>
      <c r="I238" s="21">
        <v>0</v>
      </c>
      <c r="J238" s="21">
        <v>0</v>
      </c>
      <c r="K238" s="21">
        <v>3.82</v>
      </c>
      <c r="L238" s="21">
        <v>-187.31</v>
      </c>
    </row>
    <row r="239" spans="1:12" ht="30" x14ac:dyDescent="0.25">
      <c r="A239" s="10">
        <v>234</v>
      </c>
      <c r="B239" t="s">
        <v>557</v>
      </c>
      <c r="C239" t="s">
        <v>13</v>
      </c>
      <c r="D239" t="s">
        <v>72</v>
      </c>
      <c r="E239" s="52" t="s">
        <v>73</v>
      </c>
      <c r="F239" t="s">
        <v>558</v>
      </c>
      <c r="G239" s="21">
        <v>0</v>
      </c>
      <c r="H239" s="21">
        <v>0</v>
      </c>
      <c r="I239" s="21">
        <v>0</v>
      </c>
      <c r="J239" s="21">
        <v>-22.94</v>
      </c>
      <c r="K239" s="21">
        <v>0</v>
      </c>
      <c r="L239" s="21">
        <v>-22.94</v>
      </c>
    </row>
    <row r="240" spans="1:12" ht="30" x14ac:dyDescent="0.25">
      <c r="A240" s="10">
        <v>235</v>
      </c>
      <c r="B240" t="s">
        <v>18</v>
      </c>
      <c r="C240" t="s">
        <v>17</v>
      </c>
      <c r="D240" t="s">
        <v>72</v>
      </c>
      <c r="E240" s="52" t="s">
        <v>73</v>
      </c>
      <c r="F240" t="s">
        <v>19</v>
      </c>
      <c r="G240" s="21">
        <v>-0.17</v>
      </c>
      <c r="H240" s="21">
        <v>0</v>
      </c>
      <c r="I240" s="21">
        <v>0</v>
      </c>
      <c r="J240" s="21">
        <v>0</v>
      </c>
      <c r="K240" s="21">
        <v>0.15</v>
      </c>
      <c r="L240" s="21">
        <v>-0.02</v>
      </c>
    </row>
    <row r="241" spans="1:12" ht="30" x14ac:dyDescent="0.25">
      <c r="A241" s="10">
        <v>236</v>
      </c>
      <c r="B241" t="s">
        <v>550</v>
      </c>
      <c r="C241" t="s">
        <v>17</v>
      </c>
      <c r="D241" t="s">
        <v>72</v>
      </c>
      <c r="E241" s="52" t="s">
        <v>73</v>
      </c>
      <c r="F241" t="s">
        <v>551</v>
      </c>
      <c r="G241" s="21">
        <v>-8465.01</v>
      </c>
      <c r="H241" s="21">
        <v>0</v>
      </c>
      <c r="I241" s="21">
        <v>0</v>
      </c>
      <c r="J241" s="21">
        <v>0</v>
      </c>
      <c r="K241" s="21">
        <v>169.3</v>
      </c>
      <c r="L241" s="21">
        <v>-8295.7099999999991</v>
      </c>
    </row>
    <row r="242" spans="1:12" ht="30" x14ac:dyDescent="0.25">
      <c r="A242" s="10">
        <v>237</v>
      </c>
      <c r="B242" t="s">
        <v>550</v>
      </c>
      <c r="C242" t="s">
        <v>17</v>
      </c>
      <c r="D242" t="s">
        <v>72</v>
      </c>
      <c r="E242" s="52" t="s">
        <v>73</v>
      </c>
      <c r="F242" t="s">
        <v>552</v>
      </c>
      <c r="G242" s="21">
        <v>-0.61</v>
      </c>
      <c r="H242" s="21">
        <v>0</v>
      </c>
      <c r="I242" s="21">
        <v>0</v>
      </c>
      <c r="J242" s="21">
        <v>0</v>
      </c>
      <c r="K242" s="21">
        <v>0.01</v>
      </c>
      <c r="L242" s="21">
        <v>-0.6</v>
      </c>
    </row>
    <row r="243" spans="1:12" x14ac:dyDescent="0.25">
      <c r="A243" s="10">
        <v>238</v>
      </c>
      <c r="B243" t="s">
        <v>557</v>
      </c>
      <c r="C243" t="s">
        <v>17</v>
      </c>
      <c r="D243" t="s">
        <v>74</v>
      </c>
      <c r="E243" s="52" t="s">
        <v>75</v>
      </c>
      <c r="F243" t="s">
        <v>558</v>
      </c>
      <c r="G243" s="21">
        <v>-0.33</v>
      </c>
      <c r="H243" s="21">
        <v>0</v>
      </c>
      <c r="I243" s="21">
        <v>0</v>
      </c>
      <c r="J243" s="21">
        <v>0</v>
      </c>
      <c r="K243" s="21">
        <v>0.01</v>
      </c>
      <c r="L243" s="21">
        <v>-0.32</v>
      </c>
    </row>
    <row r="244" spans="1:12" x14ac:dyDescent="0.25">
      <c r="A244" s="10">
        <v>239</v>
      </c>
      <c r="B244" t="s">
        <v>557</v>
      </c>
      <c r="C244" t="s">
        <v>13</v>
      </c>
      <c r="D244" t="s">
        <v>74</v>
      </c>
      <c r="E244" s="52" t="s">
        <v>75</v>
      </c>
      <c r="F244" t="s">
        <v>558</v>
      </c>
      <c r="G244" s="21">
        <v>0</v>
      </c>
      <c r="H244" s="21">
        <v>0</v>
      </c>
      <c r="I244" s="21">
        <v>0</v>
      </c>
      <c r="J244" s="21">
        <v>-0.04</v>
      </c>
      <c r="K244" s="21">
        <v>0</v>
      </c>
      <c r="L244" s="21">
        <v>-0.04</v>
      </c>
    </row>
    <row r="245" spans="1:12" x14ac:dyDescent="0.25">
      <c r="A245" s="10">
        <v>240</v>
      </c>
      <c r="B245" t="s">
        <v>18</v>
      </c>
      <c r="C245" t="s">
        <v>17</v>
      </c>
      <c r="D245" t="s">
        <v>74</v>
      </c>
      <c r="E245" s="52" t="s">
        <v>75</v>
      </c>
      <c r="F245" t="s">
        <v>19</v>
      </c>
      <c r="G245" s="21">
        <v>0</v>
      </c>
      <c r="H245" s="21">
        <v>0</v>
      </c>
      <c r="I245" s="21">
        <v>0</v>
      </c>
      <c r="J245" s="21">
        <v>0</v>
      </c>
      <c r="K245" s="21">
        <v>0</v>
      </c>
      <c r="L245" s="21">
        <v>0</v>
      </c>
    </row>
    <row r="246" spans="1:12" x14ac:dyDescent="0.25">
      <c r="A246" s="10">
        <v>241</v>
      </c>
      <c r="B246" t="s">
        <v>555</v>
      </c>
      <c r="C246" t="s">
        <v>17</v>
      </c>
      <c r="D246" t="s">
        <v>76</v>
      </c>
      <c r="E246" s="52" t="s">
        <v>77</v>
      </c>
      <c r="F246" t="s">
        <v>556</v>
      </c>
      <c r="G246" s="21">
        <v>-556.54999999999995</v>
      </c>
      <c r="H246" s="21">
        <v>0</v>
      </c>
      <c r="I246" s="21">
        <v>0</v>
      </c>
      <c r="J246" s="21">
        <v>0</v>
      </c>
      <c r="K246" s="21">
        <v>11.13</v>
      </c>
      <c r="L246" s="21">
        <v>-545.41999999999996</v>
      </c>
    </row>
    <row r="247" spans="1:12" x14ac:dyDescent="0.25">
      <c r="A247" s="10">
        <v>242</v>
      </c>
      <c r="B247" t="s">
        <v>555</v>
      </c>
      <c r="C247" t="s">
        <v>13</v>
      </c>
      <c r="D247" t="s">
        <v>76</v>
      </c>
      <c r="E247" s="52" t="s">
        <v>77</v>
      </c>
      <c r="F247" t="s">
        <v>556</v>
      </c>
      <c r="G247" s="21">
        <v>0</v>
      </c>
      <c r="H247" s="21">
        <v>0</v>
      </c>
      <c r="I247" s="21">
        <v>0</v>
      </c>
      <c r="J247" s="21">
        <v>-66.790000000000006</v>
      </c>
      <c r="K247" s="21">
        <v>0</v>
      </c>
      <c r="L247" s="21">
        <v>-66.790000000000006</v>
      </c>
    </row>
    <row r="248" spans="1:12" x14ac:dyDescent="0.25">
      <c r="A248" s="10">
        <v>243</v>
      </c>
      <c r="B248" t="s">
        <v>557</v>
      </c>
      <c r="C248" t="s">
        <v>17</v>
      </c>
      <c r="D248" t="s">
        <v>76</v>
      </c>
      <c r="E248" s="52" t="s">
        <v>77</v>
      </c>
      <c r="F248" t="s">
        <v>558</v>
      </c>
      <c r="G248" s="21">
        <v>-61.06</v>
      </c>
      <c r="H248" s="21">
        <v>0</v>
      </c>
      <c r="I248" s="21">
        <v>0</v>
      </c>
      <c r="J248" s="21">
        <v>0</v>
      </c>
      <c r="K248" s="21">
        <v>1.22</v>
      </c>
      <c r="L248" s="21">
        <v>-59.84</v>
      </c>
    </row>
    <row r="249" spans="1:12" x14ac:dyDescent="0.25">
      <c r="A249" s="10">
        <v>244</v>
      </c>
      <c r="B249" t="s">
        <v>557</v>
      </c>
      <c r="C249" t="s">
        <v>13</v>
      </c>
      <c r="D249" t="s">
        <v>76</v>
      </c>
      <c r="E249" s="52" t="s">
        <v>77</v>
      </c>
      <c r="F249" t="s">
        <v>558</v>
      </c>
      <c r="G249" s="21">
        <v>0</v>
      </c>
      <c r="H249" s="21">
        <v>0</v>
      </c>
      <c r="I249" s="21">
        <v>0</v>
      </c>
      <c r="J249" s="21">
        <v>-7.33</v>
      </c>
      <c r="K249" s="21">
        <v>0</v>
      </c>
      <c r="L249" s="21">
        <v>-7.33</v>
      </c>
    </row>
    <row r="250" spans="1:12" x14ac:dyDescent="0.25">
      <c r="A250" s="10">
        <v>245</v>
      </c>
      <c r="B250" t="s">
        <v>550</v>
      </c>
      <c r="C250" t="s">
        <v>17</v>
      </c>
      <c r="D250" t="s">
        <v>76</v>
      </c>
      <c r="E250" s="52" t="s">
        <v>77</v>
      </c>
      <c r="F250" t="s">
        <v>551</v>
      </c>
      <c r="G250" s="21">
        <v>-25783.360000000001</v>
      </c>
      <c r="H250" s="21">
        <v>0</v>
      </c>
      <c r="I250" s="21">
        <v>0</v>
      </c>
      <c r="J250" s="21">
        <v>0</v>
      </c>
      <c r="K250" s="21">
        <v>515.66999999999996</v>
      </c>
      <c r="L250" s="21">
        <v>-25267.69</v>
      </c>
    </row>
    <row r="251" spans="1:12" x14ac:dyDescent="0.25">
      <c r="A251" s="10">
        <v>246</v>
      </c>
      <c r="B251" t="s">
        <v>550</v>
      </c>
      <c r="C251" t="s">
        <v>13</v>
      </c>
      <c r="D251" t="s">
        <v>76</v>
      </c>
      <c r="E251" s="52" t="s">
        <v>77</v>
      </c>
      <c r="F251" t="s">
        <v>551</v>
      </c>
      <c r="G251" s="21">
        <v>0</v>
      </c>
      <c r="H251" s="21">
        <v>0</v>
      </c>
      <c r="I251" s="21">
        <v>0</v>
      </c>
      <c r="J251" s="21">
        <v>-3094</v>
      </c>
      <c r="K251" s="21">
        <v>0</v>
      </c>
      <c r="L251" s="21">
        <v>-3094</v>
      </c>
    </row>
    <row r="252" spans="1:12" x14ac:dyDescent="0.25">
      <c r="A252" s="10">
        <v>247</v>
      </c>
      <c r="B252" t="s">
        <v>550</v>
      </c>
      <c r="C252" t="s">
        <v>17</v>
      </c>
      <c r="D252" t="s">
        <v>76</v>
      </c>
      <c r="E252" s="52" t="s">
        <v>77</v>
      </c>
      <c r="F252" t="s">
        <v>552</v>
      </c>
      <c r="G252" s="21">
        <v>-1.85</v>
      </c>
      <c r="H252" s="21">
        <v>0</v>
      </c>
      <c r="I252" s="21">
        <v>0</v>
      </c>
      <c r="J252" s="21">
        <v>0</v>
      </c>
      <c r="K252" s="21">
        <v>0.04</v>
      </c>
      <c r="L252" s="21">
        <v>-1.81</v>
      </c>
    </row>
    <row r="253" spans="1:12" x14ac:dyDescent="0.25">
      <c r="A253" s="10">
        <v>248</v>
      </c>
      <c r="B253" t="s">
        <v>550</v>
      </c>
      <c r="C253" t="s">
        <v>13</v>
      </c>
      <c r="D253" t="s">
        <v>76</v>
      </c>
      <c r="E253" s="52" t="s">
        <v>77</v>
      </c>
      <c r="F253" t="s">
        <v>552</v>
      </c>
      <c r="G253" s="21">
        <v>0</v>
      </c>
      <c r="H253" s="21">
        <v>0</v>
      </c>
      <c r="I253" s="21">
        <v>0</v>
      </c>
      <c r="J253" s="21">
        <v>-0.22</v>
      </c>
      <c r="K253" s="21">
        <v>0</v>
      </c>
      <c r="L253" s="21">
        <v>-0.22</v>
      </c>
    </row>
    <row r="254" spans="1:12" ht="30" x14ac:dyDescent="0.25">
      <c r="A254" s="10">
        <v>249</v>
      </c>
      <c r="B254" t="s">
        <v>555</v>
      </c>
      <c r="C254" t="s">
        <v>17</v>
      </c>
      <c r="D254" t="s">
        <v>78</v>
      </c>
      <c r="E254" s="52" t="s">
        <v>79</v>
      </c>
      <c r="F254" t="s">
        <v>556</v>
      </c>
      <c r="G254" s="21">
        <v>-1244.8599999999999</v>
      </c>
      <c r="H254" s="21">
        <v>0</v>
      </c>
      <c r="I254" s="21">
        <v>0</v>
      </c>
      <c r="J254" s="21">
        <v>0</v>
      </c>
      <c r="K254" s="21">
        <v>24.9</v>
      </c>
      <c r="L254" s="21">
        <v>-1219.96</v>
      </c>
    </row>
    <row r="255" spans="1:12" ht="30" x14ac:dyDescent="0.25">
      <c r="A255" s="10">
        <v>250</v>
      </c>
      <c r="B255" t="s">
        <v>555</v>
      </c>
      <c r="C255" t="s">
        <v>13</v>
      </c>
      <c r="D255" t="s">
        <v>78</v>
      </c>
      <c r="E255" s="52" t="s">
        <v>79</v>
      </c>
      <c r="F255" t="s">
        <v>556</v>
      </c>
      <c r="G255" s="21">
        <v>0</v>
      </c>
      <c r="H255" s="21">
        <v>0</v>
      </c>
      <c r="I255" s="21">
        <v>0</v>
      </c>
      <c r="J255" s="21">
        <v>-149.38</v>
      </c>
      <c r="K255" s="21">
        <v>0</v>
      </c>
      <c r="L255" s="21">
        <v>-149.38</v>
      </c>
    </row>
    <row r="256" spans="1:12" ht="30" x14ac:dyDescent="0.25">
      <c r="A256" s="10">
        <v>251</v>
      </c>
      <c r="B256" t="s">
        <v>550</v>
      </c>
      <c r="C256" t="s">
        <v>17</v>
      </c>
      <c r="D256" t="s">
        <v>78</v>
      </c>
      <c r="E256" s="52" t="s">
        <v>79</v>
      </c>
      <c r="F256" t="s">
        <v>551</v>
      </c>
      <c r="G256" s="21">
        <v>-63885.68</v>
      </c>
      <c r="H256" s="21">
        <v>0</v>
      </c>
      <c r="I256" s="21">
        <v>0</v>
      </c>
      <c r="J256" s="21">
        <v>0</v>
      </c>
      <c r="K256" s="21">
        <v>1277.71</v>
      </c>
      <c r="L256" s="21">
        <v>-62607.97</v>
      </c>
    </row>
    <row r="257" spans="1:12" ht="30" x14ac:dyDescent="0.25">
      <c r="A257" s="10">
        <v>252</v>
      </c>
      <c r="B257" t="s">
        <v>550</v>
      </c>
      <c r="C257" t="s">
        <v>13</v>
      </c>
      <c r="D257" t="s">
        <v>78</v>
      </c>
      <c r="E257" s="52" t="s">
        <v>79</v>
      </c>
      <c r="F257" t="s">
        <v>551</v>
      </c>
      <c r="G257" s="21">
        <v>0</v>
      </c>
      <c r="H257" s="21">
        <v>0</v>
      </c>
      <c r="I257" s="21">
        <v>0</v>
      </c>
      <c r="J257" s="21">
        <v>-7666.28</v>
      </c>
      <c r="K257" s="21">
        <v>0</v>
      </c>
      <c r="L257" s="21">
        <v>-7666.28</v>
      </c>
    </row>
    <row r="258" spans="1:12" ht="30" x14ac:dyDescent="0.25">
      <c r="A258" s="10">
        <v>253</v>
      </c>
      <c r="B258" t="s">
        <v>550</v>
      </c>
      <c r="C258" t="s">
        <v>17</v>
      </c>
      <c r="D258" t="s">
        <v>78</v>
      </c>
      <c r="E258" s="52" t="s">
        <v>79</v>
      </c>
      <c r="F258" t="s">
        <v>552</v>
      </c>
      <c r="G258" s="21">
        <v>-4.5999999999999996</v>
      </c>
      <c r="H258" s="21">
        <v>0</v>
      </c>
      <c r="I258" s="21">
        <v>0</v>
      </c>
      <c r="J258" s="21">
        <v>0</v>
      </c>
      <c r="K258" s="21">
        <v>0.09</v>
      </c>
      <c r="L258" s="21">
        <v>-4.51</v>
      </c>
    </row>
    <row r="259" spans="1:12" ht="30" x14ac:dyDescent="0.25">
      <c r="A259" s="10">
        <v>254</v>
      </c>
      <c r="B259" t="s">
        <v>550</v>
      </c>
      <c r="C259" t="s">
        <v>13</v>
      </c>
      <c r="D259" t="s">
        <v>78</v>
      </c>
      <c r="E259" s="52" t="s">
        <v>79</v>
      </c>
      <c r="F259" t="s">
        <v>552</v>
      </c>
      <c r="G259" s="21">
        <v>0</v>
      </c>
      <c r="H259" s="21">
        <v>0</v>
      </c>
      <c r="I259" s="21">
        <v>0</v>
      </c>
      <c r="J259" s="21">
        <v>-0.55000000000000004</v>
      </c>
      <c r="K259" s="21">
        <v>0</v>
      </c>
      <c r="L259" s="21">
        <v>-0.55000000000000004</v>
      </c>
    </row>
    <row r="260" spans="1:12" ht="30" x14ac:dyDescent="0.25">
      <c r="A260" s="10">
        <v>255</v>
      </c>
      <c r="B260" t="s">
        <v>555</v>
      </c>
      <c r="C260" t="s">
        <v>17</v>
      </c>
      <c r="D260" t="s">
        <v>80</v>
      </c>
      <c r="E260" s="52" t="s">
        <v>81</v>
      </c>
      <c r="F260" t="s">
        <v>556</v>
      </c>
      <c r="G260" s="21">
        <v>-851.26</v>
      </c>
      <c r="H260" s="21">
        <v>0</v>
      </c>
      <c r="I260" s="21">
        <v>0</v>
      </c>
      <c r="J260" s="21">
        <v>0</v>
      </c>
      <c r="K260" s="21">
        <v>17.03</v>
      </c>
      <c r="L260" s="21">
        <v>-834.23</v>
      </c>
    </row>
    <row r="261" spans="1:12" ht="30" x14ac:dyDescent="0.25">
      <c r="A261" s="10">
        <v>256</v>
      </c>
      <c r="B261" t="s">
        <v>555</v>
      </c>
      <c r="C261" t="s">
        <v>13</v>
      </c>
      <c r="D261" t="s">
        <v>80</v>
      </c>
      <c r="E261" s="52" t="s">
        <v>81</v>
      </c>
      <c r="F261" t="s">
        <v>556</v>
      </c>
      <c r="G261" s="21">
        <v>0</v>
      </c>
      <c r="H261" s="21">
        <v>0</v>
      </c>
      <c r="I261" s="21">
        <v>0</v>
      </c>
      <c r="J261" s="21">
        <v>-102.15</v>
      </c>
      <c r="K261" s="21">
        <v>0</v>
      </c>
      <c r="L261" s="21">
        <v>-102.15</v>
      </c>
    </row>
    <row r="262" spans="1:12" ht="30" x14ac:dyDescent="0.25">
      <c r="A262" s="10">
        <v>257</v>
      </c>
      <c r="B262" t="s">
        <v>557</v>
      </c>
      <c r="C262" t="s">
        <v>17</v>
      </c>
      <c r="D262" t="s">
        <v>80</v>
      </c>
      <c r="E262" s="52" t="s">
        <v>81</v>
      </c>
      <c r="F262" t="s">
        <v>558</v>
      </c>
      <c r="G262" s="21">
        <v>-100.5</v>
      </c>
      <c r="H262" s="21">
        <v>0</v>
      </c>
      <c r="I262" s="21">
        <v>0</v>
      </c>
      <c r="J262" s="21">
        <v>0</v>
      </c>
      <c r="K262" s="21">
        <v>2.0099999999999998</v>
      </c>
      <c r="L262" s="21">
        <v>-98.49</v>
      </c>
    </row>
    <row r="263" spans="1:12" ht="30" x14ac:dyDescent="0.25">
      <c r="A263" s="10">
        <v>258</v>
      </c>
      <c r="B263" t="s">
        <v>557</v>
      </c>
      <c r="C263" t="s">
        <v>13</v>
      </c>
      <c r="D263" t="s">
        <v>80</v>
      </c>
      <c r="E263" s="52" t="s">
        <v>81</v>
      </c>
      <c r="F263" t="s">
        <v>558</v>
      </c>
      <c r="G263" s="21">
        <v>0</v>
      </c>
      <c r="H263" s="21">
        <v>0</v>
      </c>
      <c r="I263" s="21">
        <v>0</v>
      </c>
      <c r="J263" s="21">
        <v>-12.06</v>
      </c>
      <c r="K263" s="21">
        <v>0</v>
      </c>
      <c r="L263" s="21">
        <v>-12.06</v>
      </c>
    </row>
    <row r="264" spans="1:12" ht="30" x14ac:dyDescent="0.25">
      <c r="A264" s="10">
        <v>259</v>
      </c>
      <c r="B264" t="s">
        <v>550</v>
      </c>
      <c r="C264" t="s">
        <v>17</v>
      </c>
      <c r="D264" t="s">
        <v>80</v>
      </c>
      <c r="E264" s="52" t="s">
        <v>81</v>
      </c>
      <c r="F264" t="s">
        <v>551</v>
      </c>
      <c r="G264" s="21">
        <v>-25587.03</v>
      </c>
      <c r="H264" s="21">
        <v>0</v>
      </c>
      <c r="I264" s="21">
        <v>0</v>
      </c>
      <c r="J264" s="21">
        <v>0</v>
      </c>
      <c r="K264" s="21">
        <v>511.74</v>
      </c>
      <c r="L264" s="21">
        <v>-25075.29</v>
      </c>
    </row>
    <row r="265" spans="1:12" ht="30" x14ac:dyDescent="0.25">
      <c r="A265" s="10">
        <v>260</v>
      </c>
      <c r="B265" t="s">
        <v>550</v>
      </c>
      <c r="C265" t="s">
        <v>13</v>
      </c>
      <c r="D265" t="s">
        <v>80</v>
      </c>
      <c r="E265" s="52" t="s">
        <v>81</v>
      </c>
      <c r="F265" t="s">
        <v>551</v>
      </c>
      <c r="G265" s="21">
        <v>0</v>
      </c>
      <c r="H265" s="21">
        <v>0</v>
      </c>
      <c r="I265" s="21">
        <v>0</v>
      </c>
      <c r="J265" s="21">
        <v>-3070.44</v>
      </c>
      <c r="K265" s="21">
        <v>0</v>
      </c>
      <c r="L265" s="21">
        <v>-3070.44</v>
      </c>
    </row>
    <row r="266" spans="1:12" ht="30" x14ac:dyDescent="0.25">
      <c r="A266" s="10">
        <v>261</v>
      </c>
      <c r="B266" t="s">
        <v>550</v>
      </c>
      <c r="C266" t="s">
        <v>17</v>
      </c>
      <c r="D266" t="s">
        <v>80</v>
      </c>
      <c r="E266" s="52" t="s">
        <v>81</v>
      </c>
      <c r="F266" t="s">
        <v>552</v>
      </c>
      <c r="G266" s="21">
        <v>-1.84</v>
      </c>
      <c r="H266" s="21">
        <v>0</v>
      </c>
      <c r="I266" s="21">
        <v>0</v>
      </c>
      <c r="J266" s="21">
        <v>0</v>
      </c>
      <c r="K266" s="21">
        <v>0.04</v>
      </c>
      <c r="L266" s="21">
        <v>-1.8</v>
      </c>
    </row>
    <row r="267" spans="1:12" ht="30" x14ac:dyDescent="0.25">
      <c r="A267" s="10">
        <v>262</v>
      </c>
      <c r="B267" t="s">
        <v>550</v>
      </c>
      <c r="C267" t="s">
        <v>13</v>
      </c>
      <c r="D267" t="s">
        <v>80</v>
      </c>
      <c r="E267" s="52" t="s">
        <v>81</v>
      </c>
      <c r="F267" t="s">
        <v>552</v>
      </c>
      <c r="G267" s="21">
        <v>0</v>
      </c>
      <c r="H267" s="21">
        <v>0</v>
      </c>
      <c r="I267" s="21">
        <v>0</v>
      </c>
      <c r="J267" s="21">
        <v>-0.22</v>
      </c>
      <c r="K267" s="21">
        <v>0</v>
      </c>
      <c r="L267" s="21">
        <v>-0.22</v>
      </c>
    </row>
    <row r="268" spans="1:12" x14ac:dyDescent="0.25">
      <c r="A268" s="10">
        <v>263</v>
      </c>
      <c r="B268" t="s">
        <v>22</v>
      </c>
      <c r="C268" t="s">
        <v>17</v>
      </c>
      <c r="D268" t="s">
        <v>579</v>
      </c>
      <c r="E268" s="52" t="s">
        <v>580</v>
      </c>
      <c r="F268" t="s">
        <v>23</v>
      </c>
      <c r="G268" s="21">
        <v>0</v>
      </c>
      <c r="H268" s="21">
        <v>0</v>
      </c>
      <c r="I268" s="21">
        <v>-0.03</v>
      </c>
      <c r="J268" s="21">
        <v>0</v>
      </c>
      <c r="K268" s="21">
        <v>0</v>
      </c>
      <c r="L268" s="21">
        <v>-0.03</v>
      </c>
    </row>
    <row r="269" spans="1:12" x14ac:dyDescent="0.25">
      <c r="A269" s="10">
        <v>264</v>
      </c>
      <c r="B269" t="s">
        <v>550</v>
      </c>
      <c r="C269" t="s">
        <v>17</v>
      </c>
      <c r="D269" t="s">
        <v>579</v>
      </c>
      <c r="E269" s="52" t="s">
        <v>580</v>
      </c>
      <c r="F269" t="s">
        <v>551</v>
      </c>
      <c r="G269" s="21">
        <v>0</v>
      </c>
      <c r="H269" s="21">
        <v>0</v>
      </c>
      <c r="I269" s="21">
        <v>-0.4</v>
      </c>
      <c r="J269" s="21">
        <v>0</v>
      </c>
      <c r="K269" s="21">
        <v>0.01</v>
      </c>
      <c r="L269" s="21">
        <v>-0.39</v>
      </c>
    </row>
    <row r="270" spans="1:12" ht="30" x14ac:dyDescent="0.25">
      <c r="A270" s="10">
        <v>265</v>
      </c>
      <c r="B270" t="s">
        <v>18</v>
      </c>
      <c r="C270" t="s">
        <v>17</v>
      </c>
      <c r="D270" t="s">
        <v>82</v>
      </c>
      <c r="E270" s="52" t="s">
        <v>83</v>
      </c>
      <c r="F270" t="s">
        <v>19</v>
      </c>
      <c r="G270" s="21">
        <v>-0.36</v>
      </c>
      <c r="H270" s="21">
        <v>0</v>
      </c>
      <c r="I270" s="21">
        <v>0</v>
      </c>
      <c r="J270" s="21">
        <v>0</v>
      </c>
      <c r="K270" s="21">
        <v>0.32</v>
      </c>
      <c r="L270" s="21">
        <v>-0.04</v>
      </c>
    </row>
    <row r="271" spans="1:12" ht="30" x14ac:dyDescent="0.25">
      <c r="A271" s="10">
        <v>266</v>
      </c>
      <c r="B271" t="s">
        <v>550</v>
      </c>
      <c r="C271" t="s">
        <v>17</v>
      </c>
      <c r="D271" t="s">
        <v>82</v>
      </c>
      <c r="E271" s="52" t="s">
        <v>83</v>
      </c>
      <c r="F271" t="s">
        <v>551</v>
      </c>
      <c r="G271" s="21">
        <v>-2498.09</v>
      </c>
      <c r="H271" s="21">
        <v>0</v>
      </c>
      <c r="I271" s="21">
        <v>0</v>
      </c>
      <c r="J271" s="21">
        <v>0</v>
      </c>
      <c r="K271" s="21">
        <v>49.96</v>
      </c>
      <c r="L271" s="21">
        <v>-2448.13</v>
      </c>
    </row>
    <row r="272" spans="1:12" ht="30" x14ac:dyDescent="0.25">
      <c r="A272" s="10">
        <v>267</v>
      </c>
      <c r="B272" t="s">
        <v>550</v>
      </c>
      <c r="C272" t="s">
        <v>13</v>
      </c>
      <c r="D272" t="s">
        <v>82</v>
      </c>
      <c r="E272" s="52" t="s">
        <v>83</v>
      </c>
      <c r="F272" t="s">
        <v>551</v>
      </c>
      <c r="G272" s="21">
        <v>0</v>
      </c>
      <c r="H272" s="21">
        <v>0</v>
      </c>
      <c r="I272" s="21">
        <v>0</v>
      </c>
      <c r="J272" s="21">
        <v>-299.77</v>
      </c>
      <c r="K272" s="21">
        <v>0</v>
      </c>
      <c r="L272" s="21">
        <v>-299.77</v>
      </c>
    </row>
    <row r="273" spans="1:12" ht="30" x14ac:dyDescent="0.25">
      <c r="A273" s="10">
        <v>268</v>
      </c>
      <c r="B273" t="s">
        <v>550</v>
      </c>
      <c r="C273" t="s">
        <v>17</v>
      </c>
      <c r="D273" t="s">
        <v>82</v>
      </c>
      <c r="E273" s="52" t="s">
        <v>83</v>
      </c>
      <c r="F273" t="s">
        <v>552</v>
      </c>
      <c r="G273" s="21">
        <v>-0.18</v>
      </c>
      <c r="H273" s="21">
        <v>0</v>
      </c>
      <c r="I273" s="21">
        <v>0</v>
      </c>
      <c r="J273" s="21">
        <v>0</v>
      </c>
      <c r="K273" s="21">
        <v>0</v>
      </c>
      <c r="L273" s="21">
        <v>-0.18</v>
      </c>
    </row>
    <row r="274" spans="1:12" ht="30" x14ac:dyDescent="0.25">
      <c r="A274" s="10">
        <v>269</v>
      </c>
      <c r="B274" t="s">
        <v>550</v>
      </c>
      <c r="C274" t="s">
        <v>13</v>
      </c>
      <c r="D274" t="s">
        <v>82</v>
      </c>
      <c r="E274" s="52" t="s">
        <v>83</v>
      </c>
      <c r="F274" t="s">
        <v>552</v>
      </c>
      <c r="G274" s="21">
        <v>0</v>
      </c>
      <c r="H274" s="21">
        <v>0</v>
      </c>
      <c r="I274" s="21">
        <v>0</v>
      </c>
      <c r="J274" s="21">
        <v>-0.02</v>
      </c>
      <c r="K274" s="21">
        <v>0</v>
      </c>
      <c r="L274" s="21">
        <v>-0.02</v>
      </c>
    </row>
    <row r="275" spans="1:12" x14ac:dyDescent="0.25">
      <c r="A275" s="10">
        <v>270</v>
      </c>
      <c r="B275" t="s">
        <v>18</v>
      </c>
      <c r="C275" t="s">
        <v>17</v>
      </c>
      <c r="D275" t="s">
        <v>84</v>
      </c>
      <c r="E275" s="52" t="s">
        <v>85</v>
      </c>
      <c r="F275" t="s">
        <v>19</v>
      </c>
      <c r="G275" s="21">
        <v>0</v>
      </c>
      <c r="H275" s="21">
        <v>0</v>
      </c>
      <c r="I275" s="21">
        <v>-0.01</v>
      </c>
      <c r="J275" s="21">
        <v>0</v>
      </c>
      <c r="K275" s="21">
        <v>0</v>
      </c>
      <c r="L275" s="21">
        <v>-0.01</v>
      </c>
    </row>
    <row r="276" spans="1:12" x14ac:dyDescent="0.25">
      <c r="A276" s="10">
        <v>271</v>
      </c>
      <c r="B276" t="s">
        <v>550</v>
      </c>
      <c r="C276" t="s">
        <v>17</v>
      </c>
      <c r="D276" t="s">
        <v>84</v>
      </c>
      <c r="E276" s="52" t="s">
        <v>85</v>
      </c>
      <c r="F276" t="s">
        <v>551</v>
      </c>
      <c r="G276" s="21">
        <v>0</v>
      </c>
      <c r="H276" s="21">
        <v>0</v>
      </c>
      <c r="I276" s="21">
        <v>-16.649999999999999</v>
      </c>
      <c r="J276" s="21">
        <v>0</v>
      </c>
      <c r="K276" s="21">
        <v>0</v>
      </c>
      <c r="L276" s="21">
        <v>-16.649999999999999</v>
      </c>
    </row>
    <row r="277" spans="1:12" x14ac:dyDescent="0.25">
      <c r="A277" s="10">
        <v>272</v>
      </c>
      <c r="B277" t="s">
        <v>550</v>
      </c>
      <c r="C277" t="s">
        <v>17</v>
      </c>
      <c r="D277" t="s">
        <v>84</v>
      </c>
      <c r="E277" s="52" t="s">
        <v>85</v>
      </c>
      <c r="F277" t="s">
        <v>551</v>
      </c>
      <c r="G277" s="21">
        <v>0</v>
      </c>
      <c r="H277" s="21">
        <v>0</v>
      </c>
      <c r="I277" s="21">
        <v>-26.98</v>
      </c>
      <c r="J277" s="21">
        <v>0</v>
      </c>
      <c r="K277" s="21">
        <v>0</v>
      </c>
      <c r="L277" s="21">
        <v>-26.98</v>
      </c>
    </row>
    <row r="278" spans="1:12" ht="30" x14ac:dyDescent="0.25">
      <c r="A278" s="10">
        <v>273</v>
      </c>
      <c r="B278" t="s">
        <v>18</v>
      </c>
      <c r="C278" t="s">
        <v>17</v>
      </c>
      <c r="D278" t="s">
        <v>86</v>
      </c>
      <c r="E278" s="52" t="s">
        <v>66</v>
      </c>
      <c r="F278" t="s">
        <v>19</v>
      </c>
      <c r="G278" s="21">
        <v>0</v>
      </c>
      <c r="H278" s="21">
        <v>0</v>
      </c>
      <c r="I278" s="21">
        <v>0</v>
      </c>
      <c r="J278" s="21">
        <v>0</v>
      </c>
      <c r="K278" s="21">
        <v>0</v>
      </c>
      <c r="L278" s="21">
        <v>0</v>
      </c>
    </row>
    <row r="279" spans="1:12" ht="30" x14ac:dyDescent="0.25">
      <c r="A279" s="10">
        <v>274</v>
      </c>
      <c r="B279" t="s">
        <v>550</v>
      </c>
      <c r="C279" t="s">
        <v>17</v>
      </c>
      <c r="D279" t="s">
        <v>86</v>
      </c>
      <c r="E279" s="52" t="s">
        <v>66</v>
      </c>
      <c r="F279" t="s">
        <v>551</v>
      </c>
      <c r="G279" s="21">
        <v>-233.62</v>
      </c>
      <c r="H279" s="21">
        <v>0</v>
      </c>
      <c r="I279" s="21">
        <v>0</v>
      </c>
      <c r="J279" s="21">
        <v>0</v>
      </c>
      <c r="K279" s="21">
        <v>4.67</v>
      </c>
      <c r="L279" s="21">
        <v>-228.95</v>
      </c>
    </row>
    <row r="280" spans="1:12" ht="30" x14ac:dyDescent="0.25">
      <c r="A280" s="10">
        <v>275</v>
      </c>
      <c r="B280" t="s">
        <v>550</v>
      </c>
      <c r="C280" t="s">
        <v>13</v>
      </c>
      <c r="D280" t="s">
        <v>86</v>
      </c>
      <c r="E280" s="52" t="s">
        <v>66</v>
      </c>
      <c r="F280" t="s">
        <v>551</v>
      </c>
      <c r="G280" s="21">
        <v>0</v>
      </c>
      <c r="H280" s="21">
        <v>0</v>
      </c>
      <c r="I280" s="21">
        <v>0</v>
      </c>
      <c r="J280" s="21">
        <v>-28.03</v>
      </c>
      <c r="K280" s="21">
        <v>0</v>
      </c>
      <c r="L280" s="21">
        <v>-28.03</v>
      </c>
    </row>
    <row r="281" spans="1:12" ht="30" x14ac:dyDescent="0.25">
      <c r="A281" s="10">
        <v>276</v>
      </c>
      <c r="B281" t="s">
        <v>550</v>
      </c>
      <c r="C281" t="s">
        <v>17</v>
      </c>
      <c r="D281" t="s">
        <v>86</v>
      </c>
      <c r="E281" s="52" t="s">
        <v>66</v>
      </c>
      <c r="F281" t="s">
        <v>552</v>
      </c>
      <c r="G281" s="21">
        <v>-0.02</v>
      </c>
      <c r="H281" s="21">
        <v>0</v>
      </c>
      <c r="I281" s="21">
        <v>0</v>
      </c>
      <c r="J281" s="21">
        <v>0</v>
      </c>
      <c r="K281" s="21">
        <v>0</v>
      </c>
      <c r="L281" s="21">
        <v>-0.02</v>
      </c>
    </row>
    <row r="282" spans="1:12" ht="30" x14ac:dyDescent="0.25">
      <c r="A282" s="10">
        <v>277</v>
      </c>
      <c r="B282" t="s">
        <v>550</v>
      </c>
      <c r="C282" t="s">
        <v>13</v>
      </c>
      <c r="D282" t="s">
        <v>86</v>
      </c>
      <c r="E282" s="52" t="s">
        <v>66</v>
      </c>
      <c r="F282" t="s">
        <v>552</v>
      </c>
      <c r="G282" s="21">
        <v>0</v>
      </c>
      <c r="H282" s="21">
        <v>0</v>
      </c>
      <c r="I282" s="21">
        <v>0</v>
      </c>
      <c r="J282" s="21">
        <v>0</v>
      </c>
      <c r="K282" s="21">
        <v>0</v>
      </c>
      <c r="L282" s="21">
        <v>0</v>
      </c>
    </row>
    <row r="283" spans="1:12" ht="30" x14ac:dyDescent="0.25">
      <c r="A283" s="10">
        <v>278</v>
      </c>
      <c r="B283" t="s">
        <v>550</v>
      </c>
      <c r="C283" t="s">
        <v>17</v>
      </c>
      <c r="D283" t="s">
        <v>581</v>
      </c>
      <c r="E283" s="52" t="s">
        <v>88</v>
      </c>
      <c r="F283" t="s">
        <v>551</v>
      </c>
      <c r="G283" s="21">
        <v>-28.43</v>
      </c>
      <c r="H283" s="21">
        <v>0</v>
      </c>
      <c r="I283" s="21">
        <v>0</v>
      </c>
      <c r="J283" s="21">
        <v>0</v>
      </c>
      <c r="K283" s="21">
        <v>0.56999999999999995</v>
      </c>
      <c r="L283" s="21">
        <v>-27.86</v>
      </c>
    </row>
    <row r="284" spans="1:12" ht="30" x14ac:dyDescent="0.25">
      <c r="A284" s="10">
        <v>279</v>
      </c>
      <c r="B284" t="s">
        <v>550</v>
      </c>
      <c r="C284" t="s">
        <v>17</v>
      </c>
      <c r="D284" t="s">
        <v>581</v>
      </c>
      <c r="E284" s="52" t="s">
        <v>88</v>
      </c>
      <c r="F284" t="s">
        <v>551</v>
      </c>
      <c r="G284" s="21">
        <v>-360.05</v>
      </c>
      <c r="H284" s="21">
        <v>0</v>
      </c>
      <c r="I284" s="21">
        <v>0</v>
      </c>
      <c r="J284" s="21">
        <v>0</v>
      </c>
      <c r="K284" s="21">
        <v>7.2</v>
      </c>
      <c r="L284" s="21">
        <v>-352.85</v>
      </c>
    </row>
    <row r="285" spans="1:12" ht="30" x14ac:dyDescent="0.25">
      <c r="A285" s="10">
        <v>280</v>
      </c>
      <c r="B285" t="s">
        <v>550</v>
      </c>
      <c r="C285" t="s">
        <v>13</v>
      </c>
      <c r="D285" t="s">
        <v>581</v>
      </c>
      <c r="E285" s="52" t="s">
        <v>88</v>
      </c>
      <c r="F285" t="s">
        <v>551</v>
      </c>
      <c r="G285" s="21">
        <v>0</v>
      </c>
      <c r="H285" s="21">
        <v>0</v>
      </c>
      <c r="I285" s="21">
        <v>0</v>
      </c>
      <c r="J285" s="21">
        <v>-3.41</v>
      </c>
      <c r="K285" s="21">
        <v>0</v>
      </c>
      <c r="L285" s="21">
        <v>-3.41</v>
      </c>
    </row>
    <row r="286" spans="1:12" ht="30" x14ac:dyDescent="0.25">
      <c r="A286" s="10">
        <v>281</v>
      </c>
      <c r="B286" t="s">
        <v>550</v>
      </c>
      <c r="C286" t="s">
        <v>13</v>
      </c>
      <c r="D286" t="s">
        <v>581</v>
      </c>
      <c r="E286" s="52" t="s">
        <v>88</v>
      </c>
      <c r="F286" t="s">
        <v>551</v>
      </c>
      <c r="G286" s="21">
        <v>0</v>
      </c>
      <c r="H286" s="21">
        <v>0</v>
      </c>
      <c r="I286" s="21">
        <v>0</v>
      </c>
      <c r="J286" s="21">
        <v>-43.21</v>
      </c>
      <c r="K286" s="21">
        <v>0</v>
      </c>
      <c r="L286" s="21">
        <v>-43.21</v>
      </c>
    </row>
    <row r="287" spans="1:12" ht="30" x14ac:dyDescent="0.25">
      <c r="A287" s="10">
        <v>282</v>
      </c>
      <c r="B287" t="s">
        <v>550</v>
      </c>
      <c r="C287" t="s">
        <v>17</v>
      </c>
      <c r="D287" t="s">
        <v>581</v>
      </c>
      <c r="E287" s="52" t="s">
        <v>88</v>
      </c>
      <c r="F287" t="s">
        <v>552</v>
      </c>
      <c r="G287" s="21">
        <v>-0.03</v>
      </c>
      <c r="H287" s="21">
        <v>0</v>
      </c>
      <c r="I287" s="21">
        <v>0</v>
      </c>
      <c r="J287" s="21">
        <v>0</v>
      </c>
      <c r="K287" s="21">
        <v>0</v>
      </c>
      <c r="L287" s="21">
        <v>-0.03</v>
      </c>
    </row>
    <row r="288" spans="1:12" ht="30" x14ac:dyDescent="0.25">
      <c r="A288" s="10">
        <v>283</v>
      </c>
      <c r="B288" t="s">
        <v>550</v>
      </c>
      <c r="C288" t="s">
        <v>13</v>
      </c>
      <c r="D288" t="s">
        <v>581</v>
      </c>
      <c r="E288" s="52" t="s">
        <v>88</v>
      </c>
      <c r="F288" t="s">
        <v>552</v>
      </c>
      <c r="G288" s="21">
        <v>0</v>
      </c>
      <c r="H288" s="21">
        <v>0</v>
      </c>
      <c r="I288" s="21">
        <v>0</v>
      </c>
      <c r="J288" s="21">
        <v>0</v>
      </c>
      <c r="K288" s="21">
        <v>0</v>
      </c>
      <c r="L288" s="21">
        <v>0</v>
      </c>
    </row>
    <row r="289" spans="1:12" x14ac:dyDescent="0.25">
      <c r="A289" s="10">
        <v>284</v>
      </c>
      <c r="B289" t="s">
        <v>550</v>
      </c>
      <c r="C289" t="s">
        <v>17</v>
      </c>
      <c r="D289" t="s">
        <v>582</v>
      </c>
      <c r="E289" s="52" t="s">
        <v>90</v>
      </c>
      <c r="F289" t="s">
        <v>551</v>
      </c>
      <c r="G289" s="21">
        <v>0</v>
      </c>
      <c r="H289" s="21">
        <v>0</v>
      </c>
      <c r="I289" s="21">
        <v>-11.34</v>
      </c>
      <c r="J289" s="21">
        <v>0</v>
      </c>
      <c r="K289" s="21">
        <v>0.23</v>
      </c>
      <c r="L289" s="21">
        <v>-11.11</v>
      </c>
    </row>
    <row r="290" spans="1:12" ht="30" x14ac:dyDescent="0.25">
      <c r="A290" s="10">
        <v>285</v>
      </c>
      <c r="B290" t="s">
        <v>555</v>
      </c>
      <c r="C290" t="s">
        <v>17</v>
      </c>
      <c r="D290" t="s">
        <v>91</v>
      </c>
      <c r="E290" s="52" t="s">
        <v>92</v>
      </c>
      <c r="F290" t="s">
        <v>556</v>
      </c>
      <c r="G290" s="21">
        <v>-0.01</v>
      </c>
      <c r="H290" s="21">
        <v>0</v>
      </c>
      <c r="I290" s="21">
        <v>0</v>
      </c>
      <c r="J290" s="21">
        <v>0</v>
      </c>
      <c r="K290" s="21">
        <v>0</v>
      </c>
      <c r="L290" s="21">
        <v>-0.01</v>
      </c>
    </row>
    <row r="291" spans="1:12" ht="30" x14ac:dyDescent="0.25">
      <c r="A291" s="10">
        <v>286</v>
      </c>
      <c r="B291" t="s">
        <v>557</v>
      </c>
      <c r="C291" t="s">
        <v>17</v>
      </c>
      <c r="D291" t="s">
        <v>91</v>
      </c>
      <c r="E291" s="52" t="s">
        <v>92</v>
      </c>
      <c r="F291" t="s">
        <v>558</v>
      </c>
      <c r="G291" s="21">
        <v>-0.01</v>
      </c>
      <c r="H291" s="21">
        <v>0</v>
      </c>
      <c r="I291" s="21">
        <v>0</v>
      </c>
      <c r="J291" s="21">
        <v>0</v>
      </c>
      <c r="K291" s="21">
        <v>0</v>
      </c>
      <c r="L291" s="21">
        <v>-0.01</v>
      </c>
    </row>
    <row r="292" spans="1:12" ht="30" x14ac:dyDescent="0.25">
      <c r="A292" s="10">
        <v>287</v>
      </c>
      <c r="B292" t="s">
        <v>29</v>
      </c>
      <c r="C292" t="s">
        <v>13</v>
      </c>
      <c r="D292" t="s">
        <v>91</v>
      </c>
      <c r="E292" s="52" t="s">
        <v>92</v>
      </c>
      <c r="F292" t="s">
        <v>30</v>
      </c>
      <c r="G292" s="21">
        <v>0</v>
      </c>
      <c r="H292" s="21">
        <v>0</v>
      </c>
      <c r="I292" s="21">
        <v>0</v>
      </c>
      <c r="J292" s="21">
        <v>0</v>
      </c>
      <c r="K292" s="21">
        <v>0</v>
      </c>
      <c r="L292" s="21">
        <v>0</v>
      </c>
    </row>
    <row r="293" spans="1:12" ht="30" x14ac:dyDescent="0.25">
      <c r="A293" s="10">
        <v>288</v>
      </c>
      <c r="B293" t="s">
        <v>18</v>
      </c>
      <c r="C293" t="s">
        <v>17</v>
      </c>
      <c r="D293" t="s">
        <v>91</v>
      </c>
      <c r="E293" s="52" t="s">
        <v>92</v>
      </c>
      <c r="F293" t="s">
        <v>19</v>
      </c>
      <c r="G293" s="21">
        <v>-0.05</v>
      </c>
      <c r="H293" s="21">
        <v>0</v>
      </c>
      <c r="I293" s="21">
        <v>0</v>
      </c>
      <c r="J293" s="21">
        <v>0</v>
      </c>
      <c r="K293" s="21">
        <v>0.04</v>
      </c>
      <c r="L293" s="21">
        <v>-0.01</v>
      </c>
    </row>
    <row r="294" spans="1:12" ht="30" x14ac:dyDescent="0.25">
      <c r="A294" s="10">
        <v>289</v>
      </c>
      <c r="B294" t="s">
        <v>550</v>
      </c>
      <c r="C294" t="s">
        <v>17</v>
      </c>
      <c r="D294" t="s">
        <v>91</v>
      </c>
      <c r="E294" s="52" t="s">
        <v>92</v>
      </c>
      <c r="F294" t="s">
        <v>551</v>
      </c>
      <c r="G294" s="21">
        <v>-316.13</v>
      </c>
      <c r="H294" s="21">
        <v>0</v>
      </c>
      <c r="I294" s="21">
        <v>0</v>
      </c>
      <c r="J294" s="21">
        <v>0</v>
      </c>
      <c r="K294" s="21">
        <v>6.32</v>
      </c>
      <c r="L294" s="21">
        <v>-309.81</v>
      </c>
    </row>
    <row r="295" spans="1:12" ht="30" x14ac:dyDescent="0.25">
      <c r="A295" s="10">
        <v>290</v>
      </c>
      <c r="B295" t="s">
        <v>550</v>
      </c>
      <c r="C295" t="s">
        <v>13</v>
      </c>
      <c r="D295" t="s">
        <v>91</v>
      </c>
      <c r="E295" s="52" t="s">
        <v>92</v>
      </c>
      <c r="F295" t="s">
        <v>551</v>
      </c>
      <c r="G295" s="21">
        <v>0</v>
      </c>
      <c r="H295" s="21">
        <v>0</v>
      </c>
      <c r="I295" s="21">
        <v>0</v>
      </c>
      <c r="J295" s="21">
        <v>-37.94</v>
      </c>
      <c r="K295" s="21">
        <v>0</v>
      </c>
      <c r="L295" s="21">
        <v>-37.94</v>
      </c>
    </row>
    <row r="296" spans="1:12" ht="30" x14ac:dyDescent="0.25">
      <c r="A296" s="10">
        <v>291</v>
      </c>
      <c r="B296" t="s">
        <v>550</v>
      </c>
      <c r="C296" t="s">
        <v>17</v>
      </c>
      <c r="D296" t="s">
        <v>91</v>
      </c>
      <c r="E296" s="52" t="s">
        <v>92</v>
      </c>
      <c r="F296" t="s">
        <v>552</v>
      </c>
      <c r="G296" s="21">
        <v>-0.02</v>
      </c>
      <c r="H296" s="21">
        <v>0</v>
      </c>
      <c r="I296" s="21">
        <v>0</v>
      </c>
      <c r="J296" s="21">
        <v>0</v>
      </c>
      <c r="K296" s="21">
        <v>0</v>
      </c>
      <c r="L296" s="21">
        <v>-0.02</v>
      </c>
    </row>
    <row r="297" spans="1:12" ht="30" x14ac:dyDescent="0.25">
      <c r="A297" s="10">
        <v>292</v>
      </c>
      <c r="B297" t="s">
        <v>550</v>
      </c>
      <c r="C297" t="s">
        <v>13</v>
      </c>
      <c r="D297" t="s">
        <v>91</v>
      </c>
      <c r="E297" s="52" t="s">
        <v>92</v>
      </c>
      <c r="F297" t="s">
        <v>552</v>
      </c>
      <c r="G297" s="21">
        <v>0</v>
      </c>
      <c r="H297" s="21">
        <v>0</v>
      </c>
      <c r="I297" s="21">
        <v>0</v>
      </c>
      <c r="J297" s="21">
        <v>0</v>
      </c>
      <c r="K297" s="21">
        <v>0</v>
      </c>
      <c r="L297" s="21">
        <v>0</v>
      </c>
    </row>
    <row r="298" spans="1:12" ht="30" x14ac:dyDescent="0.25">
      <c r="A298" s="10">
        <v>293</v>
      </c>
      <c r="B298" t="s">
        <v>18</v>
      </c>
      <c r="C298" t="s">
        <v>17</v>
      </c>
      <c r="D298" t="s">
        <v>93</v>
      </c>
      <c r="E298" s="52" t="s">
        <v>94</v>
      </c>
      <c r="F298" t="s">
        <v>19</v>
      </c>
      <c r="G298" s="21">
        <v>-0.3</v>
      </c>
      <c r="H298" s="21">
        <v>0</v>
      </c>
      <c r="I298" s="21">
        <v>0</v>
      </c>
      <c r="J298" s="21">
        <v>0</v>
      </c>
      <c r="K298" s="21">
        <v>0.27</v>
      </c>
      <c r="L298" s="21">
        <v>-0.03</v>
      </c>
    </row>
    <row r="299" spans="1:12" ht="30" x14ac:dyDescent="0.25">
      <c r="A299" s="10">
        <v>294</v>
      </c>
      <c r="B299" t="s">
        <v>18</v>
      </c>
      <c r="C299" t="s">
        <v>13</v>
      </c>
      <c r="D299" t="s">
        <v>93</v>
      </c>
      <c r="E299" s="52" t="s">
        <v>94</v>
      </c>
      <c r="F299" t="s">
        <v>19</v>
      </c>
      <c r="G299" s="21">
        <v>0</v>
      </c>
      <c r="H299" s="21">
        <v>0</v>
      </c>
      <c r="I299" s="21">
        <v>0</v>
      </c>
      <c r="J299" s="21">
        <v>-0.82</v>
      </c>
      <c r="K299" s="21">
        <v>0</v>
      </c>
      <c r="L299" s="21">
        <v>-0.82</v>
      </c>
    </row>
    <row r="300" spans="1:12" ht="30" x14ac:dyDescent="0.25">
      <c r="A300" s="10">
        <v>295</v>
      </c>
      <c r="B300" t="s">
        <v>20</v>
      </c>
      <c r="C300" t="s">
        <v>13</v>
      </c>
      <c r="D300" t="s">
        <v>93</v>
      </c>
      <c r="E300" s="52" t="s">
        <v>94</v>
      </c>
      <c r="F300" t="s">
        <v>21</v>
      </c>
      <c r="G300" s="21">
        <v>0</v>
      </c>
      <c r="H300" s="21">
        <v>0</v>
      </c>
      <c r="I300" s="21">
        <v>0</v>
      </c>
      <c r="J300" s="21">
        <v>-9.2200000000000006</v>
      </c>
      <c r="K300" s="21">
        <v>0</v>
      </c>
      <c r="L300" s="21">
        <v>-9.2200000000000006</v>
      </c>
    </row>
    <row r="301" spans="1:12" ht="30" x14ac:dyDescent="0.25">
      <c r="A301" s="10">
        <v>296</v>
      </c>
      <c r="B301" t="s">
        <v>22</v>
      </c>
      <c r="C301" t="s">
        <v>17</v>
      </c>
      <c r="D301" t="s">
        <v>93</v>
      </c>
      <c r="E301" s="52" t="s">
        <v>94</v>
      </c>
      <c r="F301" t="s">
        <v>23</v>
      </c>
      <c r="G301" s="21">
        <v>-3.03</v>
      </c>
      <c r="H301" s="21">
        <v>0</v>
      </c>
      <c r="I301" s="21">
        <v>0</v>
      </c>
      <c r="J301" s="21">
        <v>0</v>
      </c>
      <c r="K301" s="21">
        <v>0.06</v>
      </c>
      <c r="L301" s="21">
        <v>-2.97</v>
      </c>
    </row>
    <row r="302" spans="1:12" ht="30" x14ac:dyDescent="0.25">
      <c r="A302" s="10">
        <v>297</v>
      </c>
      <c r="B302" t="s">
        <v>22</v>
      </c>
      <c r="C302" t="s">
        <v>13</v>
      </c>
      <c r="D302" t="s">
        <v>93</v>
      </c>
      <c r="E302" s="52" t="s">
        <v>94</v>
      </c>
      <c r="F302" t="s">
        <v>23</v>
      </c>
      <c r="G302" s="21">
        <v>0</v>
      </c>
      <c r="H302" s="21">
        <v>0</v>
      </c>
      <c r="I302" s="21">
        <v>0</v>
      </c>
      <c r="J302" s="21">
        <v>-140.13</v>
      </c>
      <c r="K302" s="21">
        <v>0</v>
      </c>
      <c r="L302" s="21">
        <v>-140.13</v>
      </c>
    </row>
    <row r="303" spans="1:12" ht="30" x14ac:dyDescent="0.25">
      <c r="A303" s="10">
        <v>298</v>
      </c>
      <c r="B303" t="s">
        <v>22</v>
      </c>
      <c r="C303" t="s">
        <v>17</v>
      </c>
      <c r="D303" t="s">
        <v>93</v>
      </c>
      <c r="E303" s="52" t="s">
        <v>94</v>
      </c>
      <c r="F303" t="s">
        <v>24</v>
      </c>
      <c r="G303" s="21">
        <v>-0.01</v>
      </c>
      <c r="H303" s="21">
        <v>0</v>
      </c>
      <c r="I303" s="21">
        <v>0</v>
      </c>
      <c r="J303" s="21">
        <v>0</v>
      </c>
      <c r="K303" s="21">
        <v>0</v>
      </c>
      <c r="L303" s="21">
        <v>-0.01</v>
      </c>
    </row>
    <row r="304" spans="1:12" ht="30" x14ac:dyDescent="0.25">
      <c r="A304" s="10">
        <v>299</v>
      </c>
      <c r="B304" t="s">
        <v>22</v>
      </c>
      <c r="C304" t="s">
        <v>13</v>
      </c>
      <c r="D304" t="s">
        <v>93</v>
      </c>
      <c r="E304" s="52" t="s">
        <v>94</v>
      </c>
      <c r="F304" t="s">
        <v>24</v>
      </c>
      <c r="G304" s="21">
        <v>0</v>
      </c>
      <c r="H304" s="21">
        <v>0</v>
      </c>
      <c r="I304" s="21">
        <v>0</v>
      </c>
      <c r="J304" s="21">
        <v>-0.27</v>
      </c>
      <c r="K304" s="21">
        <v>0</v>
      </c>
      <c r="L304" s="21">
        <v>-0.27</v>
      </c>
    </row>
    <row r="305" spans="1:12" ht="30" x14ac:dyDescent="0.25">
      <c r="A305" s="10">
        <v>300</v>
      </c>
      <c r="B305" t="s">
        <v>550</v>
      </c>
      <c r="C305" t="s">
        <v>17</v>
      </c>
      <c r="D305" t="s">
        <v>93</v>
      </c>
      <c r="E305" s="52" t="s">
        <v>94</v>
      </c>
      <c r="F305" t="s">
        <v>551</v>
      </c>
      <c r="G305" s="21">
        <v>-3836.56</v>
      </c>
      <c r="H305" s="21">
        <v>0</v>
      </c>
      <c r="I305" s="21">
        <v>0</v>
      </c>
      <c r="J305" s="21">
        <v>0</v>
      </c>
      <c r="K305" s="21">
        <v>76.73</v>
      </c>
      <c r="L305" s="21">
        <v>-3759.83</v>
      </c>
    </row>
    <row r="306" spans="1:12" ht="30" x14ac:dyDescent="0.25">
      <c r="A306" s="10">
        <v>301</v>
      </c>
      <c r="B306" t="s">
        <v>550</v>
      </c>
      <c r="C306" t="s">
        <v>13</v>
      </c>
      <c r="D306" t="s">
        <v>93</v>
      </c>
      <c r="E306" s="52" t="s">
        <v>94</v>
      </c>
      <c r="F306" t="s">
        <v>551</v>
      </c>
      <c r="G306" s="21">
        <v>0</v>
      </c>
      <c r="H306" s="21">
        <v>0</v>
      </c>
      <c r="I306" s="21">
        <v>0</v>
      </c>
      <c r="J306" s="21">
        <v>-460.39</v>
      </c>
      <c r="K306" s="21">
        <v>0</v>
      </c>
      <c r="L306" s="21">
        <v>-460.39</v>
      </c>
    </row>
    <row r="307" spans="1:12" ht="30" x14ac:dyDescent="0.25">
      <c r="A307" s="10">
        <v>302</v>
      </c>
      <c r="B307" t="s">
        <v>550</v>
      </c>
      <c r="C307" t="s">
        <v>17</v>
      </c>
      <c r="D307" t="s">
        <v>93</v>
      </c>
      <c r="E307" s="52" t="s">
        <v>94</v>
      </c>
      <c r="F307" t="s">
        <v>552</v>
      </c>
      <c r="G307" s="21">
        <v>-0.28000000000000003</v>
      </c>
      <c r="H307" s="21">
        <v>0</v>
      </c>
      <c r="I307" s="21">
        <v>0</v>
      </c>
      <c r="J307" s="21">
        <v>0</v>
      </c>
      <c r="K307" s="21">
        <v>0.01</v>
      </c>
      <c r="L307" s="21">
        <v>-0.27</v>
      </c>
    </row>
    <row r="308" spans="1:12" ht="30" x14ac:dyDescent="0.25">
      <c r="A308" s="10">
        <v>303</v>
      </c>
      <c r="B308" t="s">
        <v>550</v>
      </c>
      <c r="C308" t="s">
        <v>13</v>
      </c>
      <c r="D308" t="s">
        <v>93</v>
      </c>
      <c r="E308" s="52" t="s">
        <v>94</v>
      </c>
      <c r="F308" t="s">
        <v>552</v>
      </c>
      <c r="G308" s="21">
        <v>0</v>
      </c>
      <c r="H308" s="21">
        <v>0</v>
      </c>
      <c r="I308" s="21">
        <v>0</v>
      </c>
      <c r="J308" s="21">
        <v>-0.03</v>
      </c>
      <c r="K308" s="21">
        <v>0</v>
      </c>
      <c r="L308" s="21">
        <v>-0.03</v>
      </c>
    </row>
    <row r="309" spans="1:12" ht="30" x14ac:dyDescent="0.25">
      <c r="A309" s="10">
        <v>304</v>
      </c>
      <c r="B309" t="s">
        <v>559</v>
      </c>
      <c r="C309" t="s">
        <v>17</v>
      </c>
      <c r="D309" t="s">
        <v>95</v>
      </c>
      <c r="E309" s="52" t="s">
        <v>96</v>
      </c>
      <c r="F309" t="s">
        <v>560</v>
      </c>
      <c r="G309" s="21">
        <v>-3.95</v>
      </c>
      <c r="H309" s="21">
        <v>0</v>
      </c>
      <c r="I309" s="21">
        <v>0</v>
      </c>
      <c r="J309" s="21">
        <v>0</v>
      </c>
      <c r="K309" s="21">
        <v>0.08</v>
      </c>
      <c r="L309" s="21">
        <v>-3.87</v>
      </c>
    </row>
    <row r="310" spans="1:12" ht="30" x14ac:dyDescent="0.25">
      <c r="A310" s="10">
        <v>305</v>
      </c>
      <c r="B310" t="s">
        <v>559</v>
      </c>
      <c r="C310" t="s">
        <v>13</v>
      </c>
      <c r="D310" t="s">
        <v>95</v>
      </c>
      <c r="E310" s="52" t="s">
        <v>96</v>
      </c>
      <c r="F310" t="s">
        <v>560</v>
      </c>
      <c r="G310" s="21">
        <v>0</v>
      </c>
      <c r="H310" s="21">
        <v>0</v>
      </c>
      <c r="I310" s="21">
        <v>0</v>
      </c>
      <c r="J310" s="21">
        <v>-0.47</v>
      </c>
      <c r="K310" s="21">
        <v>0</v>
      </c>
      <c r="L310" s="21">
        <v>-0.47</v>
      </c>
    </row>
    <row r="311" spans="1:12" ht="30" x14ac:dyDescent="0.25">
      <c r="A311" s="10">
        <v>306</v>
      </c>
      <c r="B311" t="s">
        <v>18</v>
      </c>
      <c r="C311" t="s">
        <v>17</v>
      </c>
      <c r="D311" t="s">
        <v>95</v>
      </c>
      <c r="E311" s="52" t="s">
        <v>96</v>
      </c>
      <c r="F311" t="s">
        <v>19</v>
      </c>
      <c r="G311" s="21">
        <v>-1.71</v>
      </c>
      <c r="H311" s="21">
        <v>0</v>
      </c>
      <c r="I311" s="21">
        <v>0</v>
      </c>
      <c r="J311" s="21">
        <v>0</v>
      </c>
      <c r="K311" s="21">
        <v>1.51</v>
      </c>
      <c r="L311" s="21">
        <v>-0.2</v>
      </c>
    </row>
    <row r="312" spans="1:12" ht="30" x14ac:dyDescent="0.25">
      <c r="A312" s="10">
        <v>307</v>
      </c>
      <c r="B312" t="s">
        <v>550</v>
      </c>
      <c r="C312" t="s">
        <v>17</v>
      </c>
      <c r="D312" t="s">
        <v>95</v>
      </c>
      <c r="E312" s="52" t="s">
        <v>96</v>
      </c>
      <c r="F312" t="s">
        <v>551</v>
      </c>
      <c r="G312" s="21">
        <v>-42839.19</v>
      </c>
      <c r="H312" s="21">
        <v>0</v>
      </c>
      <c r="I312" s="21">
        <v>0</v>
      </c>
      <c r="J312" s="21">
        <v>0</v>
      </c>
      <c r="K312" s="21">
        <v>856.78</v>
      </c>
      <c r="L312" s="21">
        <v>-41982.41</v>
      </c>
    </row>
    <row r="313" spans="1:12" ht="30" x14ac:dyDescent="0.25">
      <c r="A313" s="10">
        <v>308</v>
      </c>
      <c r="B313" t="s">
        <v>550</v>
      </c>
      <c r="C313" t="s">
        <v>13</v>
      </c>
      <c r="D313" t="s">
        <v>95</v>
      </c>
      <c r="E313" s="52" t="s">
        <v>96</v>
      </c>
      <c r="F313" t="s">
        <v>551</v>
      </c>
      <c r="G313" s="21">
        <v>0</v>
      </c>
      <c r="H313" s="21">
        <v>0</v>
      </c>
      <c r="I313" s="21">
        <v>0</v>
      </c>
      <c r="J313" s="21">
        <v>-5140.7</v>
      </c>
      <c r="K313" s="21">
        <v>0</v>
      </c>
      <c r="L313" s="21">
        <v>-5140.7</v>
      </c>
    </row>
    <row r="314" spans="1:12" ht="30" x14ac:dyDescent="0.25">
      <c r="A314" s="10">
        <v>309</v>
      </c>
      <c r="B314" t="s">
        <v>550</v>
      </c>
      <c r="C314" t="s">
        <v>17</v>
      </c>
      <c r="D314" t="s">
        <v>95</v>
      </c>
      <c r="E314" s="52" t="s">
        <v>96</v>
      </c>
      <c r="F314" t="s">
        <v>552</v>
      </c>
      <c r="G314" s="21">
        <v>-3.08</v>
      </c>
      <c r="H314" s="21">
        <v>0</v>
      </c>
      <c r="I314" s="21">
        <v>0</v>
      </c>
      <c r="J314" s="21">
        <v>0</v>
      </c>
      <c r="K314" s="21">
        <v>0.06</v>
      </c>
      <c r="L314" s="21">
        <v>-3.02</v>
      </c>
    </row>
    <row r="315" spans="1:12" ht="30" x14ac:dyDescent="0.25">
      <c r="A315" s="10">
        <v>310</v>
      </c>
      <c r="B315" t="s">
        <v>550</v>
      </c>
      <c r="C315" t="s">
        <v>13</v>
      </c>
      <c r="D315" t="s">
        <v>95</v>
      </c>
      <c r="E315" s="52" t="s">
        <v>96</v>
      </c>
      <c r="F315" t="s">
        <v>552</v>
      </c>
      <c r="G315" s="21">
        <v>0</v>
      </c>
      <c r="H315" s="21">
        <v>0</v>
      </c>
      <c r="I315" s="21">
        <v>0</v>
      </c>
      <c r="J315" s="21">
        <v>-0.37</v>
      </c>
      <c r="K315" s="21">
        <v>0</v>
      </c>
      <c r="L315" s="21">
        <v>-0.37</v>
      </c>
    </row>
    <row r="316" spans="1:12" ht="30" x14ac:dyDescent="0.25">
      <c r="A316" s="10">
        <v>311</v>
      </c>
      <c r="B316" t="s">
        <v>559</v>
      </c>
      <c r="C316" t="s">
        <v>17</v>
      </c>
      <c r="D316" t="s">
        <v>97</v>
      </c>
      <c r="E316" s="52" t="s">
        <v>98</v>
      </c>
      <c r="F316" t="s">
        <v>560</v>
      </c>
      <c r="G316" s="21">
        <v>-2.29</v>
      </c>
      <c r="H316" s="21">
        <v>0</v>
      </c>
      <c r="I316" s="21">
        <v>0</v>
      </c>
      <c r="J316" s="21">
        <v>0</v>
      </c>
      <c r="K316" s="21">
        <v>0.05</v>
      </c>
      <c r="L316" s="21">
        <v>-2.2400000000000002</v>
      </c>
    </row>
    <row r="317" spans="1:12" ht="30" x14ac:dyDescent="0.25">
      <c r="A317" s="10">
        <v>312</v>
      </c>
      <c r="B317" t="s">
        <v>559</v>
      </c>
      <c r="C317" t="s">
        <v>13</v>
      </c>
      <c r="D317" t="s">
        <v>97</v>
      </c>
      <c r="E317" s="52" t="s">
        <v>98</v>
      </c>
      <c r="F317" t="s">
        <v>560</v>
      </c>
      <c r="G317" s="21">
        <v>0</v>
      </c>
      <c r="H317" s="21">
        <v>0</v>
      </c>
      <c r="I317" s="21">
        <v>0</v>
      </c>
      <c r="J317" s="21">
        <v>-0.27</v>
      </c>
      <c r="K317" s="21">
        <v>0</v>
      </c>
      <c r="L317" s="21">
        <v>-0.27</v>
      </c>
    </row>
    <row r="318" spans="1:12" ht="30" x14ac:dyDescent="0.25">
      <c r="A318" s="10">
        <v>313</v>
      </c>
      <c r="B318" t="s">
        <v>18</v>
      </c>
      <c r="C318" t="s">
        <v>17</v>
      </c>
      <c r="D318" t="s">
        <v>97</v>
      </c>
      <c r="E318" s="52" t="s">
        <v>98</v>
      </c>
      <c r="F318" t="s">
        <v>19</v>
      </c>
      <c r="G318" s="21">
        <v>-2.74</v>
      </c>
      <c r="H318" s="21">
        <v>0</v>
      </c>
      <c r="I318" s="21">
        <v>0</v>
      </c>
      <c r="J318" s="21">
        <v>0</v>
      </c>
      <c r="K318" s="21">
        <v>2.4300000000000002</v>
      </c>
      <c r="L318" s="21">
        <v>-0.31</v>
      </c>
    </row>
    <row r="319" spans="1:12" ht="30" x14ac:dyDescent="0.25">
      <c r="A319" s="10">
        <v>314</v>
      </c>
      <c r="B319" t="s">
        <v>550</v>
      </c>
      <c r="C319" t="s">
        <v>17</v>
      </c>
      <c r="D319" t="s">
        <v>97</v>
      </c>
      <c r="E319" s="52" t="s">
        <v>98</v>
      </c>
      <c r="F319" t="s">
        <v>551</v>
      </c>
      <c r="G319" s="21">
        <v>-21265.66</v>
      </c>
      <c r="H319" s="21">
        <v>0</v>
      </c>
      <c r="I319" s="21">
        <v>0</v>
      </c>
      <c r="J319" s="21">
        <v>0</v>
      </c>
      <c r="K319" s="21">
        <v>425.31</v>
      </c>
      <c r="L319" s="21">
        <v>-20840.349999999999</v>
      </c>
    </row>
    <row r="320" spans="1:12" ht="30" x14ac:dyDescent="0.25">
      <c r="A320" s="10">
        <v>315</v>
      </c>
      <c r="B320" t="s">
        <v>550</v>
      </c>
      <c r="C320" t="s">
        <v>13</v>
      </c>
      <c r="D320" t="s">
        <v>97</v>
      </c>
      <c r="E320" s="52" t="s">
        <v>98</v>
      </c>
      <c r="F320" t="s">
        <v>551</v>
      </c>
      <c r="G320" s="21">
        <v>0</v>
      </c>
      <c r="H320" s="21">
        <v>0</v>
      </c>
      <c r="I320" s="21">
        <v>0</v>
      </c>
      <c r="J320" s="21">
        <v>-2551.88</v>
      </c>
      <c r="K320" s="21">
        <v>0</v>
      </c>
      <c r="L320" s="21">
        <v>-2551.88</v>
      </c>
    </row>
    <row r="321" spans="1:12" ht="30" x14ac:dyDescent="0.25">
      <c r="A321" s="10">
        <v>316</v>
      </c>
      <c r="B321" t="s">
        <v>550</v>
      </c>
      <c r="C321" t="s">
        <v>17</v>
      </c>
      <c r="D321" t="s">
        <v>97</v>
      </c>
      <c r="E321" s="52" t="s">
        <v>98</v>
      </c>
      <c r="F321" t="s">
        <v>552</v>
      </c>
      <c r="G321" s="21">
        <v>-1.53</v>
      </c>
      <c r="H321" s="21">
        <v>0</v>
      </c>
      <c r="I321" s="21">
        <v>0</v>
      </c>
      <c r="J321" s="21">
        <v>0</v>
      </c>
      <c r="K321" s="21">
        <v>0.03</v>
      </c>
      <c r="L321" s="21">
        <v>-1.5</v>
      </c>
    </row>
    <row r="322" spans="1:12" ht="30" x14ac:dyDescent="0.25">
      <c r="A322" s="10">
        <v>317</v>
      </c>
      <c r="B322" t="s">
        <v>550</v>
      </c>
      <c r="C322" t="s">
        <v>13</v>
      </c>
      <c r="D322" t="s">
        <v>97</v>
      </c>
      <c r="E322" s="52" t="s">
        <v>98</v>
      </c>
      <c r="F322" t="s">
        <v>552</v>
      </c>
      <c r="G322" s="21">
        <v>0</v>
      </c>
      <c r="H322" s="21">
        <v>0</v>
      </c>
      <c r="I322" s="21">
        <v>0</v>
      </c>
      <c r="J322" s="21">
        <v>-0.18</v>
      </c>
      <c r="K322" s="21">
        <v>0</v>
      </c>
      <c r="L322" s="21">
        <v>-0.18</v>
      </c>
    </row>
    <row r="323" spans="1:12" ht="30" x14ac:dyDescent="0.25">
      <c r="A323" s="10">
        <v>318</v>
      </c>
      <c r="B323" t="s">
        <v>29</v>
      </c>
      <c r="C323" t="s">
        <v>13</v>
      </c>
      <c r="D323" t="s">
        <v>99</v>
      </c>
      <c r="E323" s="52" t="s">
        <v>100</v>
      </c>
      <c r="F323" t="s">
        <v>30</v>
      </c>
      <c r="G323" s="21">
        <v>0</v>
      </c>
      <c r="H323" s="21">
        <v>0</v>
      </c>
      <c r="I323" s="21">
        <v>0</v>
      </c>
      <c r="J323" s="21">
        <v>-0.15</v>
      </c>
      <c r="K323" s="21">
        <v>0</v>
      </c>
      <c r="L323" s="21">
        <v>-0.15</v>
      </c>
    </row>
    <row r="324" spans="1:12" ht="30" x14ac:dyDescent="0.25">
      <c r="A324" s="10">
        <v>319</v>
      </c>
      <c r="B324" t="s">
        <v>18</v>
      </c>
      <c r="C324" t="s">
        <v>17</v>
      </c>
      <c r="D324" t="s">
        <v>99</v>
      </c>
      <c r="E324" s="52" t="s">
        <v>100</v>
      </c>
      <c r="F324" t="s">
        <v>19</v>
      </c>
      <c r="G324" s="21">
        <v>-1.19</v>
      </c>
      <c r="H324" s="21">
        <v>0</v>
      </c>
      <c r="I324" s="21">
        <v>0</v>
      </c>
      <c r="J324" s="21">
        <v>0</v>
      </c>
      <c r="K324" s="21">
        <v>1.06</v>
      </c>
      <c r="L324" s="21">
        <v>-0.13</v>
      </c>
    </row>
    <row r="325" spans="1:12" ht="30" x14ac:dyDescent="0.25">
      <c r="A325" s="10">
        <v>320</v>
      </c>
      <c r="B325" t="s">
        <v>550</v>
      </c>
      <c r="C325" t="s">
        <v>17</v>
      </c>
      <c r="D325" t="s">
        <v>99</v>
      </c>
      <c r="E325" s="52" t="s">
        <v>100</v>
      </c>
      <c r="F325" t="s">
        <v>551</v>
      </c>
      <c r="G325" s="21">
        <v>-23418.21</v>
      </c>
      <c r="H325" s="21">
        <v>0</v>
      </c>
      <c r="I325" s="21">
        <v>0</v>
      </c>
      <c r="J325" s="21">
        <v>0</v>
      </c>
      <c r="K325" s="21">
        <v>468.36</v>
      </c>
      <c r="L325" s="21">
        <v>-22949.85</v>
      </c>
    </row>
    <row r="326" spans="1:12" ht="30" x14ac:dyDescent="0.25">
      <c r="A326" s="10">
        <v>321</v>
      </c>
      <c r="B326" t="s">
        <v>550</v>
      </c>
      <c r="C326" t="s">
        <v>13</v>
      </c>
      <c r="D326" t="s">
        <v>99</v>
      </c>
      <c r="E326" s="52" t="s">
        <v>100</v>
      </c>
      <c r="F326" t="s">
        <v>551</v>
      </c>
      <c r="G326" s="21">
        <v>0</v>
      </c>
      <c r="H326" s="21">
        <v>0</v>
      </c>
      <c r="I326" s="21">
        <v>0</v>
      </c>
      <c r="J326" s="21">
        <v>-2810.19</v>
      </c>
      <c r="K326" s="21">
        <v>0</v>
      </c>
      <c r="L326" s="21">
        <v>-2810.19</v>
      </c>
    </row>
    <row r="327" spans="1:12" ht="30" x14ac:dyDescent="0.25">
      <c r="A327" s="10">
        <v>322</v>
      </c>
      <c r="B327" t="s">
        <v>550</v>
      </c>
      <c r="C327" t="s">
        <v>17</v>
      </c>
      <c r="D327" t="s">
        <v>99</v>
      </c>
      <c r="E327" s="52" t="s">
        <v>100</v>
      </c>
      <c r="F327" t="s">
        <v>552</v>
      </c>
      <c r="G327" s="21">
        <v>-1.68</v>
      </c>
      <c r="H327" s="21">
        <v>0</v>
      </c>
      <c r="I327" s="21">
        <v>0</v>
      </c>
      <c r="J327" s="21">
        <v>0</v>
      </c>
      <c r="K327" s="21">
        <v>0.03</v>
      </c>
      <c r="L327" s="21">
        <v>-1.65</v>
      </c>
    </row>
    <row r="328" spans="1:12" ht="30" x14ac:dyDescent="0.25">
      <c r="A328" s="10">
        <v>323</v>
      </c>
      <c r="B328" t="s">
        <v>550</v>
      </c>
      <c r="C328" t="s">
        <v>13</v>
      </c>
      <c r="D328" t="s">
        <v>99</v>
      </c>
      <c r="E328" s="52" t="s">
        <v>100</v>
      </c>
      <c r="F328" t="s">
        <v>552</v>
      </c>
      <c r="G328" s="21">
        <v>0</v>
      </c>
      <c r="H328" s="21">
        <v>0</v>
      </c>
      <c r="I328" s="21">
        <v>0</v>
      </c>
      <c r="J328" s="21">
        <v>-0.2</v>
      </c>
      <c r="K328" s="21">
        <v>0</v>
      </c>
      <c r="L328" s="21">
        <v>-0.2</v>
      </c>
    </row>
    <row r="329" spans="1:12" ht="30" x14ac:dyDescent="0.25">
      <c r="A329" s="10">
        <v>324</v>
      </c>
      <c r="B329" t="s">
        <v>555</v>
      </c>
      <c r="C329" t="s">
        <v>17</v>
      </c>
      <c r="D329" t="s">
        <v>101</v>
      </c>
      <c r="E329" s="52" t="s">
        <v>102</v>
      </c>
      <c r="F329" t="s">
        <v>556</v>
      </c>
      <c r="G329" s="21">
        <v>-1215.1099999999999</v>
      </c>
      <c r="H329" s="21">
        <v>0</v>
      </c>
      <c r="I329" s="21">
        <v>0</v>
      </c>
      <c r="J329" s="21">
        <v>0</v>
      </c>
      <c r="K329" s="21">
        <v>24.3</v>
      </c>
      <c r="L329" s="21">
        <v>-1190.81</v>
      </c>
    </row>
    <row r="330" spans="1:12" ht="30" x14ac:dyDescent="0.25">
      <c r="A330" s="10">
        <v>325</v>
      </c>
      <c r="B330" t="s">
        <v>555</v>
      </c>
      <c r="C330" t="s">
        <v>13</v>
      </c>
      <c r="D330" t="s">
        <v>101</v>
      </c>
      <c r="E330" s="52" t="s">
        <v>102</v>
      </c>
      <c r="F330" t="s">
        <v>556</v>
      </c>
      <c r="G330" s="21">
        <v>0</v>
      </c>
      <c r="H330" s="21">
        <v>0</v>
      </c>
      <c r="I330" s="21">
        <v>0</v>
      </c>
      <c r="J330" s="21">
        <v>-145.81</v>
      </c>
      <c r="K330" s="21">
        <v>0</v>
      </c>
      <c r="L330" s="21">
        <v>-145.81</v>
      </c>
    </row>
    <row r="331" spans="1:12" ht="30" x14ac:dyDescent="0.25">
      <c r="A331" s="10">
        <v>326</v>
      </c>
      <c r="B331" t="s">
        <v>557</v>
      </c>
      <c r="C331" t="s">
        <v>17</v>
      </c>
      <c r="D331" t="s">
        <v>101</v>
      </c>
      <c r="E331" s="52" t="s">
        <v>102</v>
      </c>
      <c r="F331" t="s">
        <v>558</v>
      </c>
      <c r="G331" s="21">
        <v>-994.53</v>
      </c>
      <c r="H331" s="21">
        <v>0</v>
      </c>
      <c r="I331" s="21">
        <v>0</v>
      </c>
      <c r="J331" s="21">
        <v>0</v>
      </c>
      <c r="K331" s="21">
        <v>19.89</v>
      </c>
      <c r="L331" s="21">
        <v>-974.64</v>
      </c>
    </row>
    <row r="332" spans="1:12" ht="30" x14ac:dyDescent="0.25">
      <c r="A332" s="10">
        <v>327</v>
      </c>
      <c r="B332" t="s">
        <v>557</v>
      </c>
      <c r="C332" t="s">
        <v>13</v>
      </c>
      <c r="D332" t="s">
        <v>101</v>
      </c>
      <c r="E332" s="52" t="s">
        <v>102</v>
      </c>
      <c r="F332" t="s">
        <v>558</v>
      </c>
      <c r="G332" s="21">
        <v>0</v>
      </c>
      <c r="H332" s="21">
        <v>0</v>
      </c>
      <c r="I332" s="21">
        <v>0</v>
      </c>
      <c r="J332" s="21">
        <v>-119.34</v>
      </c>
      <c r="K332" s="21">
        <v>0</v>
      </c>
      <c r="L332" s="21">
        <v>-119.34</v>
      </c>
    </row>
    <row r="333" spans="1:12" ht="30" x14ac:dyDescent="0.25">
      <c r="A333" s="10">
        <v>328</v>
      </c>
      <c r="B333" t="s">
        <v>18</v>
      </c>
      <c r="C333" t="s">
        <v>17</v>
      </c>
      <c r="D333" t="s">
        <v>101</v>
      </c>
      <c r="E333" s="52" t="s">
        <v>102</v>
      </c>
      <c r="F333" t="s">
        <v>19</v>
      </c>
      <c r="G333" s="21">
        <v>-4.9800000000000004</v>
      </c>
      <c r="H333" s="21">
        <v>0</v>
      </c>
      <c r="I333" s="21">
        <v>0</v>
      </c>
      <c r="J333" s="21">
        <v>0</v>
      </c>
      <c r="K333" s="21">
        <v>4.42</v>
      </c>
      <c r="L333" s="21">
        <v>-0.56000000000000005</v>
      </c>
    </row>
    <row r="334" spans="1:12" ht="30" x14ac:dyDescent="0.25">
      <c r="A334" s="10">
        <v>329</v>
      </c>
      <c r="B334" t="s">
        <v>550</v>
      </c>
      <c r="C334" t="s">
        <v>17</v>
      </c>
      <c r="D334" t="s">
        <v>101</v>
      </c>
      <c r="E334" s="52" t="s">
        <v>102</v>
      </c>
      <c r="F334" t="s">
        <v>551</v>
      </c>
      <c r="G334" s="21">
        <v>-108018.3</v>
      </c>
      <c r="H334" s="21">
        <v>0</v>
      </c>
      <c r="I334" s="21">
        <v>0</v>
      </c>
      <c r="J334" s="21">
        <v>0</v>
      </c>
      <c r="K334" s="21">
        <v>2160.37</v>
      </c>
      <c r="L334" s="21">
        <v>-105857.93</v>
      </c>
    </row>
    <row r="335" spans="1:12" ht="30" x14ac:dyDescent="0.25">
      <c r="A335" s="10">
        <v>330</v>
      </c>
      <c r="B335" t="s">
        <v>550</v>
      </c>
      <c r="C335" t="s">
        <v>13</v>
      </c>
      <c r="D335" t="s">
        <v>101</v>
      </c>
      <c r="E335" s="52" t="s">
        <v>102</v>
      </c>
      <c r="F335" t="s">
        <v>551</v>
      </c>
      <c r="G335" s="21">
        <v>0</v>
      </c>
      <c r="H335" s="21">
        <v>0</v>
      </c>
      <c r="I335" s="21">
        <v>0</v>
      </c>
      <c r="J335" s="21">
        <v>-12962.2</v>
      </c>
      <c r="K335" s="21">
        <v>0</v>
      </c>
      <c r="L335" s="21">
        <v>-12962.2</v>
      </c>
    </row>
    <row r="336" spans="1:12" ht="30" x14ac:dyDescent="0.25">
      <c r="A336" s="10">
        <v>331</v>
      </c>
      <c r="B336" t="s">
        <v>550</v>
      </c>
      <c r="C336" t="s">
        <v>17</v>
      </c>
      <c r="D336" t="s">
        <v>101</v>
      </c>
      <c r="E336" s="52" t="s">
        <v>102</v>
      </c>
      <c r="F336" t="s">
        <v>552</v>
      </c>
      <c r="G336" s="21">
        <v>-7.77</v>
      </c>
      <c r="H336" s="21">
        <v>0</v>
      </c>
      <c r="I336" s="21">
        <v>0</v>
      </c>
      <c r="J336" s="21">
        <v>0</v>
      </c>
      <c r="K336" s="21">
        <v>0.16</v>
      </c>
      <c r="L336" s="21">
        <v>-7.61</v>
      </c>
    </row>
    <row r="337" spans="1:12" ht="30" x14ac:dyDescent="0.25">
      <c r="A337" s="10">
        <v>332</v>
      </c>
      <c r="B337" t="s">
        <v>550</v>
      </c>
      <c r="C337" t="s">
        <v>13</v>
      </c>
      <c r="D337" t="s">
        <v>101</v>
      </c>
      <c r="E337" s="52" t="s">
        <v>102</v>
      </c>
      <c r="F337" t="s">
        <v>552</v>
      </c>
      <c r="G337" s="21">
        <v>0</v>
      </c>
      <c r="H337" s="21">
        <v>0</v>
      </c>
      <c r="I337" s="21">
        <v>0</v>
      </c>
      <c r="J337" s="21">
        <v>-0.93</v>
      </c>
      <c r="K337" s="21">
        <v>0</v>
      </c>
      <c r="L337" s="21">
        <v>-0.93</v>
      </c>
    </row>
    <row r="338" spans="1:12" ht="30" x14ac:dyDescent="0.25">
      <c r="A338" s="10">
        <v>333</v>
      </c>
      <c r="B338" t="s">
        <v>18</v>
      </c>
      <c r="C338" t="s">
        <v>17</v>
      </c>
      <c r="D338" t="s">
        <v>103</v>
      </c>
      <c r="E338" s="52" t="s">
        <v>104</v>
      </c>
      <c r="F338" t="s">
        <v>19</v>
      </c>
      <c r="G338" s="21">
        <v>-0.08</v>
      </c>
      <c r="H338" s="21">
        <v>0</v>
      </c>
      <c r="I338" s="21">
        <v>0</v>
      </c>
      <c r="J338" s="21">
        <v>0</v>
      </c>
      <c r="K338" s="21">
        <v>7.0000000000000007E-2</v>
      </c>
      <c r="L338" s="21">
        <v>-0.01</v>
      </c>
    </row>
    <row r="339" spans="1:12" ht="30" x14ac:dyDescent="0.25">
      <c r="A339" s="10">
        <v>334</v>
      </c>
      <c r="B339" t="s">
        <v>555</v>
      </c>
      <c r="C339" t="s">
        <v>17</v>
      </c>
      <c r="D339" t="s">
        <v>583</v>
      </c>
      <c r="E339" s="52" t="s">
        <v>104</v>
      </c>
      <c r="F339" t="s">
        <v>556</v>
      </c>
      <c r="G339" s="21">
        <v>-0.53</v>
      </c>
      <c r="H339" s="21">
        <v>0</v>
      </c>
      <c r="I339" s="21">
        <v>0</v>
      </c>
      <c r="J339" s="21">
        <v>0</v>
      </c>
      <c r="K339" s="21">
        <v>0.01</v>
      </c>
      <c r="L339" s="21">
        <v>-0.52</v>
      </c>
    </row>
    <row r="340" spans="1:12" ht="30" x14ac:dyDescent="0.25">
      <c r="A340" s="10">
        <v>335</v>
      </c>
      <c r="B340" t="s">
        <v>555</v>
      </c>
      <c r="C340" t="s">
        <v>13</v>
      </c>
      <c r="D340" t="s">
        <v>583</v>
      </c>
      <c r="E340" s="52" t="s">
        <v>104</v>
      </c>
      <c r="F340" t="s">
        <v>556</v>
      </c>
      <c r="G340" s="21">
        <v>0</v>
      </c>
      <c r="H340" s="21">
        <v>0</v>
      </c>
      <c r="I340" s="21">
        <v>0</v>
      </c>
      <c r="J340" s="21">
        <v>-0.06</v>
      </c>
      <c r="K340" s="21">
        <v>0</v>
      </c>
      <c r="L340" s="21">
        <v>-0.06</v>
      </c>
    </row>
    <row r="341" spans="1:12" ht="30" x14ac:dyDescent="0.25">
      <c r="A341" s="10">
        <v>336</v>
      </c>
      <c r="B341" t="s">
        <v>584</v>
      </c>
      <c r="C341" t="s">
        <v>17</v>
      </c>
      <c r="D341" t="s">
        <v>583</v>
      </c>
      <c r="E341" s="52" t="s">
        <v>104</v>
      </c>
      <c r="F341" t="s">
        <v>585</v>
      </c>
      <c r="G341" s="21">
        <v>-129.83000000000001</v>
      </c>
      <c r="H341" s="21">
        <v>0</v>
      </c>
      <c r="I341" s="21">
        <v>0</v>
      </c>
      <c r="J341" s="21">
        <v>0</v>
      </c>
      <c r="K341" s="21">
        <v>2.6</v>
      </c>
      <c r="L341" s="21">
        <v>-127.23</v>
      </c>
    </row>
    <row r="342" spans="1:12" ht="30" x14ac:dyDescent="0.25">
      <c r="A342" s="10">
        <v>337</v>
      </c>
      <c r="B342" t="s">
        <v>584</v>
      </c>
      <c r="C342" t="s">
        <v>13</v>
      </c>
      <c r="D342" t="s">
        <v>583</v>
      </c>
      <c r="E342" s="52" t="s">
        <v>104</v>
      </c>
      <c r="F342" t="s">
        <v>585</v>
      </c>
      <c r="G342" s="21">
        <v>0</v>
      </c>
      <c r="H342" s="21">
        <v>0</v>
      </c>
      <c r="I342" s="21">
        <v>0</v>
      </c>
      <c r="J342" s="21">
        <v>-15.58</v>
      </c>
      <c r="K342" s="21">
        <v>0</v>
      </c>
      <c r="L342" s="21">
        <v>-15.58</v>
      </c>
    </row>
    <row r="343" spans="1:12" ht="30" x14ac:dyDescent="0.25">
      <c r="A343" s="10">
        <v>338</v>
      </c>
      <c r="B343" t="s">
        <v>550</v>
      </c>
      <c r="C343" t="s">
        <v>17</v>
      </c>
      <c r="D343" t="s">
        <v>583</v>
      </c>
      <c r="E343" s="52" t="s">
        <v>104</v>
      </c>
      <c r="F343" t="s">
        <v>551</v>
      </c>
      <c r="G343" s="21">
        <v>-43.42</v>
      </c>
      <c r="H343" s="21">
        <v>0</v>
      </c>
      <c r="I343" s="21">
        <v>0</v>
      </c>
      <c r="J343" s="21">
        <v>0</v>
      </c>
      <c r="K343" s="21">
        <v>0.87</v>
      </c>
      <c r="L343" s="21">
        <v>-42.55</v>
      </c>
    </row>
    <row r="344" spans="1:12" ht="30" x14ac:dyDescent="0.25">
      <c r="A344" s="10">
        <v>339</v>
      </c>
      <c r="B344" t="s">
        <v>550</v>
      </c>
      <c r="C344" t="s">
        <v>17</v>
      </c>
      <c r="D344" t="s">
        <v>583</v>
      </c>
      <c r="E344" s="52" t="s">
        <v>104</v>
      </c>
      <c r="F344" t="s">
        <v>551</v>
      </c>
      <c r="G344" s="21">
        <v>-1414.15</v>
      </c>
      <c r="H344" s="21">
        <v>0</v>
      </c>
      <c r="I344" s="21">
        <v>0</v>
      </c>
      <c r="J344" s="21">
        <v>0</v>
      </c>
      <c r="K344" s="21">
        <v>28.28</v>
      </c>
      <c r="L344" s="21">
        <v>-1385.87</v>
      </c>
    </row>
    <row r="345" spans="1:12" ht="30" x14ac:dyDescent="0.25">
      <c r="A345" s="10">
        <v>340</v>
      </c>
      <c r="B345" t="s">
        <v>550</v>
      </c>
      <c r="C345" t="s">
        <v>13</v>
      </c>
      <c r="D345" t="s">
        <v>583</v>
      </c>
      <c r="E345" s="52" t="s">
        <v>104</v>
      </c>
      <c r="F345" t="s">
        <v>551</v>
      </c>
      <c r="G345" s="21">
        <v>0</v>
      </c>
      <c r="H345" s="21">
        <v>0</v>
      </c>
      <c r="I345" s="21">
        <v>0</v>
      </c>
      <c r="J345" s="21">
        <v>-5.21</v>
      </c>
      <c r="K345" s="21">
        <v>0</v>
      </c>
      <c r="L345" s="21">
        <v>-5.21</v>
      </c>
    </row>
    <row r="346" spans="1:12" ht="30" x14ac:dyDescent="0.25">
      <c r="A346" s="10">
        <v>341</v>
      </c>
      <c r="B346" t="s">
        <v>550</v>
      </c>
      <c r="C346" t="s">
        <v>13</v>
      </c>
      <c r="D346" t="s">
        <v>583</v>
      </c>
      <c r="E346" s="52" t="s">
        <v>104</v>
      </c>
      <c r="F346" t="s">
        <v>551</v>
      </c>
      <c r="G346" s="21">
        <v>0</v>
      </c>
      <c r="H346" s="21">
        <v>0</v>
      </c>
      <c r="I346" s="21">
        <v>0</v>
      </c>
      <c r="J346" s="21">
        <v>-169.7</v>
      </c>
      <c r="K346" s="21">
        <v>0</v>
      </c>
      <c r="L346" s="21">
        <v>-169.7</v>
      </c>
    </row>
    <row r="347" spans="1:12" ht="30" x14ac:dyDescent="0.25">
      <c r="A347" s="10">
        <v>342</v>
      </c>
      <c r="B347" t="s">
        <v>550</v>
      </c>
      <c r="C347" t="s">
        <v>17</v>
      </c>
      <c r="D347" t="s">
        <v>583</v>
      </c>
      <c r="E347" s="52" t="s">
        <v>104</v>
      </c>
      <c r="F347" t="s">
        <v>552</v>
      </c>
      <c r="G347" s="21">
        <v>-0.1</v>
      </c>
      <c r="H347" s="21">
        <v>0</v>
      </c>
      <c r="I347" s="21">
        <v>0</v>
      </c>
      <c r="J347" s="21">
        <v>0</v>
      </c>
      <c r="K347" s="21">
        <v>0</v>
      </c>
      <c r="L347" s="21">
        <v>-0.1</v>
      </c>
    </row>
    <row r="348" spans="1:12" ht="30" x14ac:dyDescent="0.25">
      <c r="A348" s="10">
        <v>343</v>
      </c>
      <c r="B348" t="s">
        <v>550</v>
      </c>
      <c r="C348" t="s">
        <v>13</v>
      </c>
      <c r="D348" t="s">
        <v>583</v>
      </c>
      <c r="E348" s="52" t="s">
        <v>104</v>
      </c>
      <c r="F348" t="s">
        <v>552</v>
      </c>
      <c r="G348" s="21">
        <v>0</v>
      </c>
      <c r="H348" s="21">
        <v>0</v>
      </c>
      <c r="I348" s="21">
        <v>0</v>
      </c>
      <c r="J348" s="21">
        <v>-0.01</v>
      </c>
      <c r="K348" s="21">
        <v>0</v>
      </c>
      <c r="L348" s="21">
        <v>-0.01</v>
      </c>
    </row>
    <row r="349" spans="1:12" ht="30" x14ac:dyDescent="0.25">
      <c r="A349" s="10">
        <v>344</v>
      </c>
      <c r="B349" t="s">
        <v>29</v>
      </c>
      <c r="C349" t="s">
        <v>13</v>
      </c>
      <c r="D349" t="s">
        <v>105</v>
      </c>
      <c r="E349" s="52" t="s">
        <v>106</v>
      </c>
      <c r="F349" t="s">
        <v>30</v>
      </c>
      <c r="G349" s="21">
        <v>0</v>
      </c>
      <c r="H349" s="21">
        <v>0</v>
      </c>
      <c r="I349" s="21">
        <v>0</v>
      </c>
      <c r="J349" s="21">
        <v>-0.11</v>
      </c>
      <c r="K349" s="21">
        <v>0</v>
      </c>
      <c r="L349" s="21">
        <v>-0.11</v>
      </c>
    </row>
    <row r="350" spans="1:12" ht="30" x14ac:dyDescent="0.25">
      <c r="A350" s="10">
        <v>345</v>
      </c>
      <c r="B350" t="s">
        <v>18</v>
      </c>
      <c r="C350" t="s">
        <v>17</v>
      </c>
      <c r="D350" t="s">
        <v>105</v>
      </c>
      <c r="E350" s="52" t="s">
        <v>106</v>
      </c>
      <c r="F350" t="s">
        <v>19</v>
      </c>
      <c r="G350" s="21">
        <v>-0.25</v>
      </c>
      <c r="H350" s="21">
        <v>0</v>
      </c>
      <c r="I350" s="21">
        <v>0</v>
      </c>
      <c r="J350" s="21">
        <v>0</v>
      </c>
      <c r="K350" s="21">
        <v>0.22</v>
      </c>
      <c r="L350" s="21">
        <v>-0.03</v>
      </c>
    </row>
    <row r="351" spans="1:12" ht="30" x14ac:dyDescent="0.25">
      <c r="A351" s="10">
        <v>346</v>
      </c>
      <c r="B351" t="s">
        <v>18</v>
      </c>
      <c r="C351" t="s">
        <v>13</v>
      </c>
      <c r="D351" t="s">
        <v>105</v>
      </c>
      <c r="E351" s="52" t="s">
        <v>106</v>
      </c>
      <c r="F351" t="s">
        <v>19</v>
      </c>
      <c r="G351" s="21">
        <v>0</v>
      </c>
      <c r="H351" s="21">
        <v>0</v>
      </c>
      <c r="I351" s="21">
        <v>0</v>
      </c>
      <c r="J351" s="21">
        <v>0</v>
      </c>
      <c r="K351" s="21">
        <v>0</v>
      </c>
      <c r="L351" s="21">
        <v>0</v>
      </c>
    </row>
    <row r="352" spans="1:12" ht="30" x14ac:dyDescent="0.25">
      <c r="A352" s="10">
        <v>347</v>
      </c>
      <c r="B352" t="s">
        <v>550</v>
      </c>
      <c r="C352" t="s">
        <v>17</v>
      </c>
      <c r="D352" t="s">
        <v>105</v>
      </c>
      <c r="E352" s="52" t="s">
        <v>106</v>
      </c>
      <c r="F352" t="s">
        <v>551</v>
      </c>
      <c r="G352" s="21">
        <v>-12579.53</v>
      </c>
      <c r="H352" s="21">
        <v>0</v>
      </c>
      <c r="I352" s="21">
        <v>0</v>
      </c>
      <c r="J352" s="21">
        <v>0</v>
      </c>
      <c r="K352" s="21">
        <v>251.59</v>
      </c>
      <c r="L352" s="21">
        <v>-12327.94</v>
      </c>
    </row>
    <row r="353" spans="1:12" ht="30" x14ac:dyDescent="0.25">
      <c r="A353" s="10">
        <v>348</v>
      </c>
      <c r="B353" t="s">
        <v>550</v>
      </c>
      <c r="C353" t="s">
        <v>13</v>
      </c>
      <c r="D353" t="s">
        <v>105</v>
      </c>
      <c r="E353" s="52" t="s">
        <v>106</v>
      </c>
      <c r="F353" t="s">
        <v>551</v>
      </c>
      <c r="G353" s="21">
        <v>0</v>
      </c>
      <c r="H353" s="21">
        <v>0</v>
      </c>
      <c r="I353" s="21">
        <v>0</v>
      </c>
      <c r="J353" s="21">
        <v>-1509.54</v>
      </c>
      <c r="K353" s="21">
        <v>0</v>
      </c>
      <c r="L353" s="21">
        <v>-1509.54</v>
      </c>
    </row>
    <row r="354" spans="1:12" ht="30" x14ac:dyDescent="0.25">
      <c r="A354" s="10">
        <v>349</v>
      </c>
      <c r="B354" t="s">
        <v>550</v>
      </c>
      <c r="C354" t="s">
        <v>17</v>
      </c>
      <c r="D354" t="s">
        <v>105</v>
      </c>
      <c r="E354" s="52" t="s">
        <v>106</v>
      </c>
      <c r="F354" t="s">
        <v>552</v>
      </c>
      <c r="G354" s="21">
        <v>-0.9</v>
      </c>
      <c r="H354" s="21">
        <v>0</v>
      </c>
      <c r="I354" s="21">
        <v>0</v>
      </c>
      <c r="J354" s="21">
        <v>0</v>
      </c>
      <c r="K354" s="21">
        <v>0.02</v>
      </c>
      <c r="L354" s="21">
        <v>-0.88</v>
      </c>
    </row>
    <row r="355" spans="1:12" ht="30" x14ac:dyDescent="0.25">
      <c r="A355" s="10">
        <v>350</v>
      </c>
      <c r="B355" t="s">
        <v>550</v>
      </c>
      <c r="C355" t="s">
        <v>13</v>
      </c>
      <c r="D355" t="s">
        <v>105</v>
      </c>
      <c r="E355" s="52" t="s">
        <v>106</v>
      </c>
      <c r="F355" t="s">
        <v>552</v>
      </c>
      <c r="G355" s="21">
        <v>0</v>
      </c>
      <c r="H355" s="21">
        <v>0</v>
      </c>
      <c r="I355" s="21">
        <v>0</v>
      </c>
      <c r="J355" s="21">
        <v>-0.11</v>
      </c>
      <c r="K355" s="21">
        <v>0</v>
      </c>
      <c r="L355" s="21">
        <v>-0.11</v>
      </c>
    </row>
    <row r="356" spans="1:12" ht="30" x14ac:dyDescent="0.25">
      <c r="A356" s="10">
        <v>351</v>
      </c>
      <c r="B356" t="s">
        <v>18</v>
      </c>
      <c r="C356" t="s">
        <v>17</v>
      </c>
      <c r="D356" t="s">
        <v>107</v>
      </c>
      <c r="E356" s="52" t="s">
        <v>108</v>
      </c>
      <c r="F356" t="s">
        <v>19</v>
      </c>
      <c r="G356" s="21">
        <v>-4.5</v>
      </c>
      <c r="H356" s="21">
        <v>0</v>
      </c>
      <c r="I356" s="21">
        <v>0</v>
      </c>
      <c r="J356" s="21">
        <v>0</v>
      </c>
      <c r="K356" s="21">
        <v>3.99</v>
      </c>
      <c r="L356" s="21">
        <v>-0.51</v>
      </c>
    </row>
    <row r="357" spans="1:12" ht="30" x14ac:dyDescent="0.25">
      <c r="A357" s="10">
        <v>352</v>
      </c>
      <c r="B357" t="s">
        <v>20</v>
      </c>
      <c r="C357" t="s">
        <v>13</v>
      </c>
      <c r="D357" t="s">
        <v>107</v>
      </c>
      <c r="E357" s="52" t="s">
        <v>108</v>
      </c>
      <c r="F357" t="s">
        <v>21</v>
      </c>
      <c r="G357" s="21">
        <v>0</v>
      </c>
      <c r="H357" s="21">
        <v>0</v>
      </c>
      <c r="I357" s="21">
        <v>0</v>
      </c>
      <c r="J357" s="21">
        <v>-0.01</v>
      </c>
      <c r="K357" s="21">
        <v>0</v>
      </c>
      <c r="L357" s="21">
        <v>-0.01</v>
      </c>
    </row>
    <row r="358" spans="1:12" ht="30" x14ac:dyDescent="0.25">
      <c r="A358" s="10">
        <v>353</v>
      </c>
      <c r="B358" t="s">
        <v>22</v>
      </c>
      <c r="C358" t="s">
        <v>17</v>
      </c>
      <c r="D358" t="s">
        <v>107</v>
      </c>
      <c r="E358" s="52" t="s">
        <v>108</v>
      </c>
      <c r="F358" t="s">
        <v>23</v>
      </c>
      <c r="G358" s="21">
        <v>-469.99</v>
      </c>
      <c r="H358" s="21">
        <v>0</v>
      </c>
      <c r="I358" s="21">
        <v>0</v>
      </c>
      <c r="J358" s="21">
        <v>0</v>
      </c>
      <c r="K358" s="21">
        <v>9.4</v>
      </c>
      <c r="L358" s="21">
        <v>-460.59</v>
      </c>
    </row>
    <row r="359" spans="1:12" ht="30" x14ac:dyDescent="0.25">
      <c r="A359" s="10">
        <v>354</v>
      </c>
      <c r="B359" t="s">
        <v>22</v>
      </c>
      <c r="C359" t="s">
        <v>49</v>
      </c>
      <c r="D359" t="s">
        <v>107</v>
      </c>
      <c r="E359" s="52" t="s">
        <v>108</v>
      </c>
      <c r="F359" t="s">
        <v>23</v>
      </c>
      <c r="G359" s="21">
        <v>-0.63</v>
      </c>
      <c r="H359" s="21">
        <v>0</v>
      </c>
      <c r="I359" s="21">
        <v>0</v>
      </c>
      <c r="J359" s="21">
        <v>0</v>
      </c>
      <c r="K359" s="21">
        <v>0</v>
      </c>
      <c r="L359" s="21">
        <v>-0.63</v>
      </c>
    </row>
    <row r="360" spans="1:12" ht="30" x14ac:dyDescent="0.25">
      <c r="A360" s="10">
        <v>355</v>
      </c>
      <c r="B360" t="s">
        <v>22</v>
      </c>
      <c r="C360" t="s">
        <v>13</v>
      </c>
      <c r="D360" t="s">
        <v>107</v>
      </c>
      <c r="E360" s="52" t="s">
        <v>108</v>
      </c>
      <c r="F360" t="s">
        <v>23</v>
      </c>
      <c r="G360" s="21">
        <v>0</v>
      </c>
      <c r="H360" s="21">
        <v>0</v>
      </c>
      <c r="I360" s="21">
        <v>0</v>
      </c>
      <c r="J360" s="21">
        <v>-2579.63</v>
      </c>
      <c r="K360" s="21">
        <v>0</v>
      </c>
      <c r="L360" s="21">
        <v>-2579.63</v>
      </c>
    </row>
    <row r="361" spans="1:12" ht="30" x14ac:dyDescent="0.25">
      <c r="A361" s="10">
        <v>356</v>
      </c>
      <c r="B361" t="s">
        <v>22</v>
      </c>
      <c r="C361" t="s">
        <v>17</v>
      </c>
      <c r="D361" t="s">
        <v>107</v>
      </c>
      <c r="E361" s="52" t="s">
        <v>108</v>
      </c>
      <c r="F361" t="s">
        <v>24</v>
      </c>
      <c r="G361" s="21">
        <v>-0.91</v>
      </c>
      <c r="H361" s="21">
        <v>0</v>
      </c>
      <c r="I361" s="21">
        <v>0</v>
      </c>
      <c r="J361" s="21">
        <v>0</v>
      </c>
      <c r="K361" s="21">
        <v>0.02</v>
      </c>
      <c r="L361" s="21">
        <v>-0.89</v>
      </c>
    </row>
    <row r="362" spans="1:12" ht="30" x14ac:dyDescent="0.25">
      <c r="A362" s="10">
        <v>357</v>
      </c>
      <c r="B362" t="s">
        <v>22</v>
      </c>
      <c r="C362" t="s">
        <v>13</v>
      </c>
      <c r="D362" t="s">
        <v>107</v>
      </c>
      <c r="E362" s="52" t="s">
        <v>108</v>
      </c>
      <c r="F362" t="s">
        <v>24</v>
      </c>
      <c r="G362" s="21">
        <v>0</v>
      </c>
      <c r="H362" s="21">
        <v>0</v>
      </c>
      <c r="I362" s="21">
        <v>0</v>
      </c>
      <c r="J362" s="21">
        <v>-5.01</v>
      </c>
      <c r="K362" s="21">
        <v>0</v>
      </c>
      <c r="L362" s="21">
        <v>-5.01</v>
      </c>
    </row>
    <row r="363" spans="1:12" ht="30" x14ac:dyDescent="0.25">
      <c r="A363" s="10">
        <v>358</v>
      </c>
      <c r="B363" t="s">
        <v>550</v>
      </c>
      <c r="C363" t="s">
        <v>17</v>
      </c>
      <c r="D363" t="s">
        <v>107</v>
      </c>
      <c r="E363" s="52" t="s">
        <v>108</v>
      </c>
      <c r="F363" t="s">
        <v>551</v>
      </c>
      <c r="G363" s="21">
        <v>-102131.33</v>
      </c>
      <c r="H363" s="21">
        <v>0</v>
      </c>
      <c r="I363" s="21">
        <v>0</v>
      </c>
      <c r="J363" s="21">
        <v>0</v>
      </c>
      <c r="K363" s="21">
        <v>2042.63</v>
      </c>
      <c r="L363" s="21">
        <v>-100088.7</v>
      </c>
    </row>
    <row r="364" spans="1:12" ht="30" x14ac:dyDescent="0.25">
      <c r="A364" s="10">
        <v>359</v>
      </c>
      <c r="B364" t="s">
        <v>550</v>
      </c>
      <c r="C364" t="s">
        <v>17</v>
      </c>
      <c r="D364" t="s">
        <v>107</v>
      </c>
      <c r="E364" s="52" t="s">
        <v>108</v>
      </c>
      <c r="F364" t="s">
        <v>552</v>
      </c>
      <c r="G364" s="21">
        <v>-7.35</v>
      </c>
      <c r="H364" s="21">
        <v>0</v>
      </c>
      <c r="I364" s="21">
        <v>0</v>
      </c>
      <c r="J364" s="21">
        <v>0</v>
      </c>
      <c r="K364" s="21">
        <v>0.15</v>
      </c>
      <c r="L364" s="21">
        <v>-7.2</v>
      </c>
    </row>
    <row r="365" spans="1:12" ht="30" x14ac:dyDescent="0.25">
      <c r="A365" s="10">
        <v>360</v>
      </c>
      <c r="B365" t="s">
        <v>18</v>
      </c>
      <c r="C365" t="s">
        <v>17</v>
      </c>
      <c r="D365" t="s">
        <v>109</v>
      </c>
      <c r="E365" s="52" t="s">
        <v>110</v>
      </c>
      <c r="F365" t="s">
        <v>19</v>
      </c>
      <c r="G365" s="21">
        <v>-4.8600000000000003</v>
      </c>
      <c r="H365" s="21">
        <v>0</v>
      </c>
      <c r="I365" s="21">
        <v>0</v>
      </c>
      <c r="J365" s="21">
        <v>0</v>
      </c>
      <c r="K365" s="21">
        <v>4.32</v>
      </c>
      <c r="L365" s="21">
        <v>-0.54</v>
      </c>
    </row>
    <row r="366" spans="1:12" ht="30" x14ac:dyDescent="0.25">
      <c r="A366" s="10">
        <v>361</v>
      </c>
      <c r="B366" t="s">
        <v>550</v>
      </c>
      <c r="C366" t="s">
        <v>17</v>
      </c>
      <c r="D366" t="s">
        <v>109</v>
      </c>
      <c r="E366" s="52" t="s">
        <v>110</v>
      </c>
      <c r="F366" t="s">
        <v>551</v>
      </c>
      <c r="G366" s="21">
        <v>-57255.86</v>
      </c>
      <c r="H366" s="21">
        <v>0</v>
      </c>
      <c r="I366" s="21">
        <v>0</v>
      </c>
      <c r="J366" s="21">
        <v>0</v>
      </c>
      <c r="K366" s="21">
        <v>1145.1199999999999</v>
      </c>
      <c r="L366" s="21">
        <v>-56110.74</v>
      </c>
    </row>
    <row r="367" spans="1:12" ht="30" x14ac:dyDescent="0.25">
      <c r="A367" s="10">
        <v>362</v>
      </c>
      <c r="B367" t="s">
        <v>550</v>
      </c>
      <c r="C367" t="s">
        <v>13</v>
      </c>
      <c r="D367" t="s">
        <v>109</v>
      </c>
      <c r="E367" s="52" t="s">
        <v>110</v>
      </c>
      <c r="F367" t="s">
        <v>551</v>
      </c>
      <c r="G367" s="21">
        <v>0</v>
      </c>
      <c r="H367" s="21">
        <v>0</v>
      </c>
      <c r="I367" s="21">
        <v>0</v>
      </c>
      <c r="J367" s="21">
        <v>-6870.7</v>
      </c>
      <c r="K367" s="21">
        <v>0</v>
      </c>
      <c r="L367" s="21">
        <v>-6870.7</v>
      </c>
    </row>
    <row r="368" spans="1:12" ht="30" x14ac:dyDescent="0.25">
      <c r="A368" s="10">
        <v>363</v>
      </c>
      <c r="B368" t="s">
        <v>550</v>
      </c>
      <c r="C368" t="s">
        <v>17</v>
      </c>
      <c r="D368" t="s">
        <v>109</v>
      </c>
      <c r="E368" s="52" t="s">
        <v>110</v>
      </c>
      <c r="F368" t="s">
        <v>552</v>
      </c>
      <c r="G368" s="21">
        <v>-4.12</v>
      </c>
      <c r="H368" s="21">
        <v>0</v>
      </c>
      <c r="I368" s="21">
        <v>0</v>
      </c>
      <c r="J368" s="21">
        <v>0</v>
      </c>
      <c r="K368" s="21">
        <v>0.08</v>
      </c>
      <c r="L368" s="21">
        <v>-4.04</v>
      </c>
    </row>
    <row r="369" spans="1:12" ht="30" x14ac:dyDescent="0.25">
      <c r="A369" s="10">
        <v>364</v>
      </c>
      <c r="B369" t="s">
        <v>550</v>
      </c>
      <c r="C369" t="s">
        <v>13</v>
      </c>
      <c r="D369" t="s">
        <v>109</v>
      </c>
      <c r="E369" s="52" t="s">
        <v>110</v>
      </c>
      <c r="F369" t="s">
        <v>552</v>
      </c>
      <c r="G369" s="21">
        <v>0</v>
      </c>
      <c r="H369" s="21">
        <v>0</v>
      </c>
      <c r="I369" s="21">
        <v>0</v>
      </c>
      <c r="J369" s="21">
        <v>-0.49</v>
      </c>
      <c r="K369" s="21">
        <v>0</v>
      </c>
      <c r="L369" s="21">
        <v>-0.49</v>
      </c>
    </row>
    <row r="370" spans="1:12" ht="30" x14ac:dyDescent="0.25">
      <c r="A370" s="10">
        <v>365</v>
      </c>
      <c r="B370" t="s">
        <v>18</v>
      </c>
      <c r="C370" t="s">
        <v>17</v>
      </c>
      <c r="D370" t="s">
        <v>111</v>
      </c>
      <c r="E370" s="52" t="s">
        <v>112</v>
      </c>
      <c r="F370" t="s">
        <v>19</v>
      </c>
      <c r="G370" s="21">
        <v>-0.45</v>
      </c>
      <c r="H370" s="21">
        <v>0</v>
      </c>
      <c r="I370" s="21">
        <v>0</v>
      </c>
      <c r="J370" s="21">
        <v>0</v>
      </c>
      <c r="K370" s="21">
        <v>0.4</v>
      </c>
      <c r="L370" s="21">
        <v>-0.05</v>
      </c>
    </row>
    <row r="371" spans="1:12" ht="30" x14ac:dyDescent="0.25">
      <c r="A371" s="10">
        <v>366</v>
      </c>
      <c r="B371" t="s">
        <v>550</v>
      </c>
      <c r="C371" t="s">
        <v>17</v>
      </c>
      <c r="D371" t="s">
        <v>111</v>
      </c>
      <c r="E371" s="52" t="s">
        <v>112</v>
      </c>
      <c r="F371" t="s">
        <v>551</v>
      </c>
      <c r="G371" s="21">
        <v>-5758.59</v>
      </c>
      <c r="H371" s="21">
        <v>0</v>
      </c>
      <c r="I371" s="21">
        <v>0</v>
      </c>
      <c r="J371" s="21">
        <v>0</v>
      </c>
      <c r="K371" s="21">
        <v>115.17</v>
      </c>
      <c r="L371" s="21">
        <v>-5643.42</v>
      </c>
    </row>
    <row r="372" spans="1:12" ht="30" x14ac:dyDescent="0.25">
      <c r="A372" s="10">
        <v>367</v>
      </c>
      <c r="B372" t="s">
        <v>550</v>
      </c>
      <c r="C372" t="s">
        <v>13</v>
      </c>
      <c r="D372" t="s">
        <v>111</v>
      </c>
      <c r="E372" s="52" t="s">
        <v>112</v>
      </c>
      <c r="F372" t="s">
        <v>551</v>
      </c>
      <c r="G372" s="21">
        <v>0</v>
      </c>
      <c r="H372" s="21">
        <v>0</v>
      </c>
      <c r="I372" s="21">
        <v>0</v>
      </c>
      <c r="J372" s="21">
        <v>-691.03</v>
      </c>
      <c r="K372" s="21">
        <v>0</v>
      </c>
      <c r="L372" s="21">
        <v>-691.03</v>
      </c>
    </row>
    <row r="373" spans="1:12" ht="30" x14ac:dyDescent="0.25">
      <c r="A373" s="10">
        <v>368</v>
      </c>
      <c r="B373" t="s">
        <v>550</v>
      </c>
      <c r="C373" t="s">
        <v>17</v>
      </c>
      <c r="D373" t="s">
        <v>111</v>
      </c>
      <c r="E373" s="52" t="s">
        <v>112</v>
      </c>
      <c r="F373" t="s">
        <v>552</v>
      </c>
      <c r="G373" s="21">
        <v>-0.41</v>
      </c>
      <c r="H373" s="21">
        <v>0</v>
      </c>
      <c r="I373" s="21">
        <v>0</v>
      </c>
      <c r="J373" s="21">
        <v>0</v>
      </c>
      <c r="K373" s="21">
        <v>0.01</v>
      </c>
      <c r="L373" s="21">
        <v>-0.4</v>
      </c>
    </row>
    <row r="374" spans="1:12" ht="30" x14ac:dyDescent="0.25">
      <c r="A374" s="10">
        <v>369</v>
      </c>
      <c r="B374" t="s">
        <v>550</v>
      </c>
      <c r="C374" t="s">
        <v>13</v>
      </c>
      <c r="D374" t="s">
        <v>111</v>
      </c>
      <c r="E374" s="52" t="s">
        <v>112</v>
      </c>
      <c r="F374" t="s">
        <v>552</v>
      </c>
      <c r="G374" s="21">
        <v>0</v>
      </c>
      <c r="H374" s="21">
        <v>0</v>
      </c>
      <c r="I374" s="21">
        <v>0</v>
      </c>
      <c r="J374" s="21">
        <v>-0.05</v>
      </c>
      <c r="K374" s="21">
        <v>0</v>
      </c>
      <c r="L374" s="21">
        <v>-0.05</v>
      </c>
    </row>
    <row r="375" spans="1:12" ht="30" x14ac:dyDescent="0.25">
      <c r="A375" s="10">
        <v>370</v>
      </c>
      <c r="B375" t="s">
        <v>37</v>
      </c>
      <c r="C375" t="s">
        <v>17</v>
      </c>
      <c r="D375" t="s">
        <v>113</v>
      </c>
      <c r="E375" s="52" t="s">
        <v>114</v>
      </c>
      <c r="F375" t="s">
        <v>38</v>
      </c>
      <c r="G375" s="21">
        <v>0</v>
      </c>
      <c r="H375" s="21">
        <v>0</v>
      </c>
      <c r="I375" s="21">
        <v>-0.03</v>
      </c>
      <c r="J375" s="21">
        <v>0</v>
      </c>
      <c r="K375" s="21">
        <v>0</v>
      </c>
      <c r="L375" s="21">
        <v>-0.03</v>
      </c>
    </row>
    <row r="376" spans="1:12" ht="30" x14ac:dyDescent="0.25">
      <c r="A376" s="10">
        <v>371</v>
      </c>
      <c r="B376" t="s">
        <v>550</v>
      </c>
      <c r="C376" t="s">
        <v>17</v>
      </c>
      <c r="D376" t="s">
        <v>586</v>
      </c>
      <c r="E376" s="52" t="s">
        <v>114</v>
      </c>
      <c r="F376" t="s">
        <v>551</v>
      </c>
      <c r="G376" s="21">
        <v>0</v>
      </c>
      <c r="H376" s="21">
        <v>0</v>
      </c>
      <c r="I376" s="21">
        <v>-62.43</v>
      </c>
      <c r="J376" s="21">
        <v>0</v>
      </c>
      <c r="K376" s="21">
        <v>0</v>
      </c>
      <c r="L376" s="21">
        <v>-62.43</v>
      </c>
    </row>
    <row r="377" spans="1:12" ht="30" x14ac:dyDescent="0.25">
      <c r="A377" s="10">
        <v>372</v>
      </c>
      <c r="B377" t="s">
        <v>550</v>
      </c>
      <c r="C377" t="s">
        <v>17</v>
      </c>
      <c r="D377" t="s">
        <v>586</v>
      </c>
      <c r="E377" s="52" t="s">
        <v>114</v>
      </c>
      <c r="F377" t="s">
        <v>551</v>
      </c>
      <c r="G377" s="21">
        <v>0</v>
      </c>
      <c r="H377" s="21">
        <v>0</v>
      </c>
      <c r="I377" s="21">
        <v>-28.91</v>
      </c>
      <c r="J377" s="21">
        <v>0</v>
      </c>
      <c r="K377" s="21">
        <v>0</v>
      </c>
      <c r="L377" s="21">
        <v>-28.91</v>
      </c>
    </row>
    <row r="378" spans="1:12" ht="30" x14ac:dyDescent="0.25">
      <c r="A378" s="10">
        <v>373</v>
      </c>
      <c r="B378" t="s">
        <v>555</v>
      </c>
      <c r="C378" t="s">
        <v>17</v>
      </c>
      <c r="D378" t="s">
        <v>115</v>
      </c>
      <c r="E378" s="52" t="s">
        <v>116</v>
      </c>
      <c r="F378" t="s">
        <v>556</v>
      </c>
      <c r="G378" s="21">
        <v>-1325.49</v>
      </c>
      <c r="H378" s="21">
        <v>0</v>
      </c>
      <c r="I378" s="21">
        <v>0</v>
      </c>
      <c r="J378" s="21">
        <v>0</v>
      </c>
      <c r="K378" s="21">
        <v>26.51</v>
      </c>
      <c r="L378" s="21">
        <v>-1298.98</v>
      </c>
    </row>
    <row r="379" spans="1:12" ht="30" x14ac:dyDescent="0.25">
      <c r="A379" s="10">
        <v>374</v>
      </c>
      <c r="B379" t="s">
        <v>557</v>
      </c>
      <c r="C379" t="s">
        <v>17</v>
      </c>
      <c r="D379" t="s">
        <v>115</v>
      </c>
      <c r="E379" s="52" t="s">
        <v>116</v>
      </c>
      <c r="F379" t="s">
        <v>558</v>
      </c>
      <c r="G379" s="21">
        <v>-318.36</v>
      </c>
      <c r="H379" s="21">
        <v>0</v>
      </c>
      <c r="I379" s="21">
        <v>0</v>
      </c>
      <c r="J379" s="21">
        <v>0</v>
      </c>
      <c r="K379" s="21">
        <v>6.37</v>
      </c>
      <c r="L379" s="21">
        <v>-311.99</v>
      </c>
    </row>
    <row r="380" spans="1:12" ht="30" x14ac:dyDescent="0.25">
      <c r="A380" s="10">
        <v>375</v>
      </c>
      <c r="B380" t="s">
        <v>37</v>
      </c>
      <c r="C380" t="s">
        <v>13</v>
      </c>
      <c r="D380" t="s">
        <v>115</v>
      </c>
      <c r="E380" s="52" t="s">
        <v>116</v>
      </c>
      <c r="F380" t="s">
        <v>38</v>
      </c>
      <c r="G380" s="21">
        <v>0</v>
      </c>
      <c r="H380" s="21">
        <v>0</v>
      </c>
      <c r="I380" s="21">
        <v>0</v>
      </c>
      <c r="J380" s="21">
        <v>-0.08</v>
      </c>
      <c r="K380" s="21">
        <v>0</v>
      </c>
      <c r="L380" s="21">
        <v>-0.08</v>
      </c>
    </row>
    <row r="381" spans="1:12" ht="30" x14ac:dyDescent="0.25">
      <c r="A381" s="10">
        <v>376</v>
      </c>
      <c r="B381" t="s">
        <v>29</v>
      </c>
      <c r="C381" t="s">
        <v>13</v>
      </c>
      <c r="D381" t="s">
        <v>115</v>
      </c>
      <c r="E381" s="52" t="s">
        <v>116</v>
      </c>
      <c r="F381" t="s">
        <v>30</v>
      </c>
      <c r="G381" s="21">
        <v>0</v>
      </c>
      <c r="H381" s="21">
        <v>0</v>
      </c>
      <c r="I381" s="21">
        <v>0</v>
      </c>
      <c r="J381" s="21">
        <v>-0.52</v>
      </c>
      <c r="K381" s="21">
        <v>0</v>
      </c>
      <c r="L381" s="21">
        <v>-0.52</v>
      </c>
    </row>
    <row r="382" spans="1:12" ht="30" x14ac:dyDescent="0.25">
      <c r="A382" s="10">
        <v>377</v>
      </c>
      <c r="B382" t="s">
        <v>18</v>
      </c>
      <c r="C382" t="s">
        <v>17</v>
      </c>
      <c r="D382" t="s">
        <v>115</v>
      </c>
      <c r="E382" s="52" t="s">
        <v>116</v>
      </c>
      <c r="F382" t="s">
        <v>19</v>
      </c>
      <c r="G382" s="21">
        <v>-0.99</v>
      </c>
      <c r="H382" s="21">
        <v>0</v>
      </c>
      <c r="I382" s="21">
        <v>0</v>
      </c>
      <c r="J382" s="21">
        <v>0</v>
      </c>
      <c r="K382" s="21">
        <v>0.88</v>
      </c>
      <c r="L382" s="21">
        <v>-0.11</v>
      </c>
    </row>
    <row r="383" spans="1:12" ht="30" x14ac:dyDescent="0.25">
      <c r="A383" s="10">
        <v>378</v>
      </c>
      <c r="B383" t="s">
        <v>22</v>
      </c>
      <c r="C383" t="s">
        <v>13</v>
      </c>
      <c r="D383" t="s">
        <v>115</v>
      </c>
      <c r="E383" s="52" t="s">
        <v>116</v>
      </c>
      <c r="F383" t="s">
        <v>23</v>
      </c>
      <c r="G383" s="21">
        <v>0</v>
      </c>
      <c r="H383" s="21">
        <v>0</v>
      </c>
      <c r="I383" s="21">
        <v>0</v>
      </c>
      <c r="J383" s="21">
        <v>-273.24</v>
      </c>
      <c r="K383" s="21">
        <v>0</v>
      </c>
      <c r="L383" s="21">
        <v>-273.24</v>
      </c>
    </row>
    <row r="384" spans="1:12" ht="30" x14ac:dyDescent="0.25">
      <c r="A384" s="10">
        <v>379</v>
      </c>
      <c r="B384" t="s">
        <v>22</v>
      </c>
      <c r="C384" t="s">
        <v>13</v>
      </c>
      <c r="D384" t="s">
        <v>115</v>
      </c>
      <c r="E384" s="52" t="s">
        <v>116</v>
      </c>
      <c r="F384" t="s">
        <v>24</v>
      </c>
      <c r="G384" s="21">
        <v>0</v>
      </c>
      <c r="H384" s="21">
        <v>0</v>
      </c>
      <c r="I384" s="21">
        <v>0</v>
      </c>
      <c r="J384" s="21">
        <v>-0.52</v>
      </c>
      <c r="K384" s="21">
        <v>0</v>
      </c>
      <c r="L384" s="21">
        <v>-0.52</v>
      </c>
    </row>
    <row r="385" spans="1:12" ht="30" x14ac:dyDescent="0.25">
      <c r="A385" s="10">
        <v>380</v>
      </c>
      <c r="B385" t="s">
        <v>550</v>
      </c>
      <c r="C385" t="s">
        <v>17</v>
      </c>
      <c r="D385" t="s">
        <v>115</v>
      </c>
      <c r="E385" s="52" t="s">
        <v>116</v>
      </c>
      <c r="F385" t="s">
        <v>551</v>
      </c>
      <c r="G385" s="21">
        <v>-29236.69</v>
      </c>
      <c r="H385" s="21">
        <v>0</v>
      </c>
      <c r="I385" s="21">
        <v>0</v>
      </c>
      <c r="J385" s="21">
        <v>0</v>
      </c>
      <c r="K385" s="21">
        <v>584.73</v>
      </c>
      <c r="L385" s="21">
        <v>-28651.96</v>
      </c>
    </row>
    <row r="386" spans="1:12" ht="30" x14ac:dyDescent="0.25">
      <c r="A386" s="10">
        <v>381</v>
      </c>
      <c r="B386" t="s">
        <v>550</v>
      </c>
      <c r="C386" t="s">
        <v>13</v>
      </c>
      <c r="D386" t="s">
        <v>115</v>
      </c>
      <c r="E386" s="52" t="s">
        <v>116</v>
      </c>
      <c r="F386" t="s">
        <v>551</v>
      </c>
      <c r="G386" s="21">
        <v>0</v>
      </c>
      <c r="H386" s="21">
        <v>0</v>
      </c>
      <c r="I386" s="21">
        <v>0</v>
      </c>
      <c r="J386" s="21">
        <v>-977.27</v>
      </c>
      <c r="K386" s="21">
        <v>0</v>
      </c>
      <c r="L386" s="21">
        <v>-977.27</v>
      </c>
    </row>
    <row r="387" spans="1:12" ht="30" x14ac:dyDescent="0.25">
      <c r="A387" s="10">
        <v>382</v>
      </c>
      <c r="B387" t="s">
        <v>550</v>
      </c>
      <c r="C387" t="s">
        <v>17</v>
      </c>
      <c r="D387" t="s">
        <v>115</v>
      </c>
      <c r="E387" s="52" t="s">
        <v>116</v>
      </c>
      <c r="F387" t="s">
        <v>552</v>
      </c>
      <c r="G387" s="21">
        <v>-2.1</v>
      </c>
      <c r="H387" s="21">
        <v>0</v>
      </c>
      <c r="I387" s="21">
        <v>0</v>
      </c>
      <c r="J387" s="21">
        <v>0</v>
      </c>
      <c r="K387" s="21">
        <v>0.04</v>
      </c>
      <c r="L387" s="21">
        <v>-2.06</v>
      </c>
    </row>
    <row r="388" spans="1:12" ht="30" x14ac:dyDescent="0.25">
      <c r="A388" s="10">
        <v>383</v>
      </c>
      <c r="B388" t="s">
        <v>550</v>
      </c>
      <c r="C388" t="s">
        <v>13</v>
      </c>
      <c r="D388" t="s">
        <v>115</v>
      </c>
      <c r="E388" s="52" t="s">
        <v>116</v>
      </c>
      <c r="F388" t="s">
        <v>552</v>
      </c>
      <c r="G388" s="21">
        <v>0</v>
      </c>
      <c r="H388" s="21">
        <v>0</v>
      </c>
      <c r="I388" s="21">
        <v>0</v>
      </c>
      <c r="J388" s="21">
        <v>-7.0000000000000007E-2</v>
      </c>
      <c r="K388" s="21">
        <v>0</v>
      </c>
      <c r="L388" s="21">
        <v>-7.0000000000000007E-2</v>
      </c>
    </row>
    <row r="389" spans="1:12" ht="30" x14ac:dyDescent="0.25">
      <c r="A389" s="10">
        <v>384</v>
      </c>
      <c r="B389" t="s">
        <v>555</v>
      </c>
      <c r="C389" t="s">
        <v>17</v>
      </c>
      <c r="D389" t="s">
        <v>117</v>
      </c>
      <c r="E389" s="52" t="s">
        <v>118</v>
      </c>
      <c r="F389" t="s">
        <v>556</v>
      </c>
      <c r="G389" s="21">
        <v>-1516.63</v>
      </c>
      <c r="H389" s="21">
        <v>0</v>
      </c>
      <c r="I389" s="21">
        <v>0</v>
      </c>
      <c r="J389" s="21">
        <v>0</v>
      </c>
      <c r="K389" s="21">
        <v>30.33</v>
      </c>
      <c r="L389" s="21">
        <v>-1486.3</v>
      </c>
    </row>
    <row r="390" spans="1:12" ht="30" x14ac:dyDescent="0.25">
      <c r="A390" s="10">
        <v>385</v>
      </c>
      <c r="B390" t="s">
        <v>555</v>
      </c>
      <c r="C390" t="s">
        <v>13</v>
      </c>
      <c r="D390" t="s">
        <v>117</v>
      </c>
      <c r="E390" s="52" t="s">
        <v>118</v>
      </c>
      <c r="F390" t="s">
        <v>556</v>
      </c>
      <c r="G390" s="21">
        <v>0</v>
      </c>
      <c r="H390" s="21">
        <v>0</v>
      </c>
      <c r="I390" s="21">
        <v>0</v>
      </c>
      <c r="J390" s="21">
        <v>-182</v>
      </c>
      <c r="K390" s="21">
        <v>0</v>
      </c>
      <c r="L390" s="21">
        <v>-182</v>
      </c>
    </row>
    <row r="391" spans="1:12" ht="30" x14ac:dyDescent="0.25">
      <c r="A391" s="10">
        <v>386</v>
      </c>
      <c r="B391" t="s">
        <v>557</v>
      </c>
      <c r="C391" t="s">
        <v>17</v>
      </c>
      <c r="D391" t="s">
        <v>117</v>
      </c>
      <c r="E391" s="52" t="s">
        <v>118</v>
      </c>
      <c r="F391" t="s">
        <v>558</v>
      </c>
      <c r="G391" s="21">
        <v>-1096.1099999999999</v>
      </c>
      <c r="H391" s="21">
        <v>0</v>
      </c>
      <c r="I391" s="21">
        <v>0</v>
      </c>
      <c r="J391" s="21">
        <v>0</v>
      </c>
      <c r="K391" s="21">
        <v>21.92</v>
      </c>
      <c r="L391" s="21">
        <v>-1074.19</v>
      </c>
    </row>
    <row r="392" spans="1:12" ht="30" x14ac:dyDescent="0.25">
      <c r="A392" s="10">
        <v>387</v>
      </c>
      <c r="B392" t="s">
        <v>557</v>
      </c>
      <c r="C392" t="s">
        <v>13</v>
      </c>
      <c r="D392" t="s">
        <v>117</v>
      </c>
      <c r="E392" s="52" t="s">
        <v>118</v>
      </c>
      <c r="F392" t="s">
        <v>558</v>
      </c>
      <c r="G392" s="21">
        <v>0</v>
      </c>
      <c r="H392" s="21">
        <v>0</v>
      </c>
      <c r="I392" s="21">
        <v>0</v>
      </c>
      <c r="J392" s="21">
        <v>-131.53</v>
      </c>
      <c r="K392" s="21">
        <v>0</v>
      </c>
      <c r="L392" s="21">
        <v>-131.53</v>
      </c>
    </row>
    <row r="393" spans="1:12" ht="30" x14ac:dyDescent="0.25">
      <c r="A393" s="10">
        <v>388</v>
      </c>
      <c r="B393" t="s">
        <v>18</v>
      </c>
      <c r="C393" t="s">
        <v>17</v>
      </c>
      <c r="D393" t="s">
        <v>117</v>
      </c>
      <c r="E393" s="52" t="s">
        <v>118</v>
      </c>
      <c r="F393" t="s">
        <v>19</v>
      </c>
      <c r="G393" s="21">
        <v>-1.73</v>
      </c>
      <c r="H393" s="21">
        <v>0</v>
      </c>
      <c r="I393" s="21">
        <v>0</v>
      </c>
      <c r="J393" s="21">
        <v>0</v>
      </c>
      <c r="K393" s="21">
        <v>1.53</v>
      </c>
      <c r="L393" s="21">
        <v>-0.2</v>
      </c>
    </row>
    <row r="394" spans="1:12" ht="30" x14ac:dyDescent="0.25">
      <c r="A394" s="10">
        <v>389</v>
      </c>
      <c r="B394" t="s">
        <v>550</v>
      </c>
      <c r="C394" t="s">
        <v>17</v>
      </c>
      <c r="D394" t="s">
        <v>117</v>
      </c>
      <c r="E394" s="52" t="s">
        <v>118</v>
      </c>
      <c r="F394" t="s">
        <v>551</v>
      </c>
      <c r="G394" s="21">
        <v>-42733.2</v>
      </c>
      <c r="H394" s="21">
        <v>0</v>
      </c>
      <c r="I394" s="21">
        <v>0</v>
      </c>
      <c r="J394" s="21">
        <v>0</v>
      </c>
      <c r="K394" s="21">
        <v>854.66</v>
      </c>
      <c r="L394" s="21">
        <v>-41878.54</v>
      </c>
    </row>
    <row r="395" spans="1:12" ht="30" x14ac:dyDescent="0.25">
      <c r="A395" s="10">
        <v>390</v>
      </c>
      <c r="B395" t="s">
        <v>550</v>
      </c>
      <c r="C395" t="s">
        <v>13</v>
      </c>
      <c r="D395" t="s">
        <v>117</v>
      </c>
      <c r="E395" s="52" t="s">
        <v>118</v>
      </c>
      <c r="F395" t="s">
        <v>551</v>
      </c>
      <c r="G395" s="21">
        <v>0</v>
      </c>
      <c r="H395" s="21">
        <v>0</v>
      </c>
      <c r="I395" s="21">
        <v>0</v>
      </c>
      <c r="J395" s="21">
        <v>-5127.9799999999996</v>
      </c>
      <c r="K395" s="21">
        <v>0</v>
      </c>
      <c r="L395" s="21">
        <v>-5127.9799999999996</v>
      </c>
    </row>
    <row r="396" spans="1:12" ht="30" x14ac:dyDescent="0.25">
      <c r="A396" s="10">
        <v>391</v>
      </c>
      <c r="B396" t="s">
        <v>550</v>
      </c>
      <c r="C396" t="s">
        <v>17</v>
      </c>
      <c r="D396" t="s">
        <v>117</v>
      </c>
      <c r="E396" s="52" t="s">
        <v>118</v>
      </c>
      <c r="F396" t="s">
        <v>552</v>
      </c>
      <c r="G396" s="21">
        <v>-3.07</v>
      </c>
      <c r="H396" s="21">
        <v>0</v>
      </c>
      <c r="I396" s="21">
        <v>0</v>
      </c>
      <c r="J396" s="21">
        <v>0</v>
      </c>
      <c r="K396" s="21">
        <v>0.06</v>
      </c>
      <c r="L396" s="21">
        <v>-3.01</v>
      </c>
    </row>
    <row r="397" spans="1:12" ht="30" x14ac:dyDescent="0.25">
      <c r="A397" s="10">
        <v>392</v>
      </c>
      <c r="B397" t="s">
        <v>550</v>
      </c>
      <c r="C397" t="s">
        <v>13</v>
      </c>
      <c r="D397" t="s">
        <v>117</v>
      </c>
      <c r="E397" s="52" t="s">
        <v>118</v>
      </c>
      <c r="F397" t="s">
        <v>552</v>
      </c>
      <c r="G397" s="21">
        <v>0</v>
      </c>
      <c r="H397" s="21">
        <v>0</v>
      </c>
      <c r="I397" s="21">
        <v>0</v>
      </c>
      <c r="J397" s="21">
        <v>-0.37</v>
      </c>
      <c r="K397" s="21">
        <v>0</v>
      </c>
      <c r="L397" s="21">
        <v>-0.37</v>
      </c>
    </row>
    <row r="398" spans="1:12" ht="30" x14ac:dyDescent="0.25">
      <c r="A398" s="10">
        <v>393</v>
      </c>
      <c r="B398" t="s">
        <v>555</v>
      </c>
      <c r="C398" t="s">
        <v>17</v>
      </c>
      <c r="D398" t="s">
        <v>119</v>
      </c>
      <c r="E398" s="52" t="s">
        <v>120</v>
      </c>
      <c r="F398" t="s">
        <v>556</v>
      </c>
      <c r="G398" s="21">
        <v>-336.07</v>
      </c>
      <c r="H398" s="21">
        <v>0</v>
      </c>
      <c r="I398" s="21">
        <v>0</v>
      </c>
      <c r="J398" s="21">
        <v>0</v>
      </c>
      <c r="K398" s="21">
        <v>6.72</v>
      </c>
      <c r="L398" s="21">
        <v>-329.35</v>
      </c>
    </row>
    <row r="399" spans="1:12" ht="30" x14ac:dyDescent="0.25">
      <c r="A399" s="10">
        <v>394</v>
      </c>
      <c r="B399" t="s">
        <v>555</v>
      </c>
      <c r="C399" t="s">
        <v>13</v>
      </c>
      <c r="D399" t="s">
        <v>119</v>
      </c>
      <c r="E399" s="52" t="s">
        <v>120</v>
      </c>
      <c r="F399" t="s">
        <v>556</v>
      </c>
      <c r="G399" s="21">
        <v>0</v>
      </c>
      <c r="H399" s="21">
        <v>0</v>
      </c>
      <c r="I399" s="21">
        <v>0</v>
      </c>
      <c r="J399" s="21">
        <v>-40.33</v>
      </c>
      <c r="K399" s="21">
        <v>0</v>
      </c>
      <c r="L399" s="21">
        <v>-40.33</v>
      </c>
    </row>
    <row r="400" spans="1:12" ht="30" x14ac:dyDescent="0.25">
      <c r="A400" s="10">
        <v>395</v>
      </c>
      <c r="B400" t="s">
        <v>557</v>
      </c>
      <c r="C400" t="s">
        <v>17</v>
      </c>
      <c r="D400" t="s">
        <v>119</v>
      </c>
      <c r="E400" s="52" t="s">
        <v>120</v>
      </c>
      <c r="F400" t="s">
        <v>558</v>
      </c>
      <c r="G400" s="21">
        <v>-200.82</v>
      </c>
      <c r="H400" s="21">
        <v>0</v>
      </c>
      <c r="I400" s="21">
        <v>0</v>
      </c>
      <c r="J400" s="21">
        <v>0</v>
      </c>
      <c r="K400" s="21">
        <v>4.0199999999999996</v>
      </c>
      <c r="L400" s="21">
        <v>-196.8</v>
      </c>
    </row>
    <row r="401" spans="1:12" ht="30" x14ac:dyDescent="0.25">
      <c r="A401" s="10">
        <v>396</v>
      </c>
      <c r="B401" t="s">
        <v>557</v>
      </c>
      <c r="C401" t="s">
        <v>13</v>
      </c>
      <c r="D401" t="s">
        <v>119</v>
      </c>
      <c r="E401" s="52" t="s">
        <v>120</v>
      </c>
      <c r="F401" t="s">
        <v>558</v>
      </c>
      <c r="G401" s="21">
        <v>0</v>
      </c>
      <c r="H401" s="21">
        <v>0</v>
      </c>
      <c r="I401" s="21">
        <v>0</v>
      </c>
      <c r="J401" s="21">
        <v>-24.1</v>
      </c>
      <c r="K401" s="21">
        <v>0</v>
      </c>
      <c r="L401" s="21">
        <v>-24.1</v>
      </c>
    </row>
    <row r="402" spans="1:12" ht="30" x14ac:dyDescent="0.25">
      <c r="A402" s="10">
        <v>397</v>
      </c>
      <c r="B402" t="s">
        <v>18</v>
      </c>
      <c r="C402" t="s">
        <v>17</v>
      </c>
      <c r="D402" t="s">
        <v>119</v>
      </c>
      <c r="E402" s="52" t="s">
        <v>120</v>
      </c>
      <c r="F402" t="s">
        <v>19</v>
      </c>
      <c r="G402" s="21">
        <v>-1.57</v>
      </c>
      <c r="H402" s="21">
        <v>0</v>
      </c>
      <c r="I402" s="21">
        <v>0</v>
      </c>
      <c r="J402" s="21">
        <v>0</v>
      </c>
      <c r="K402" s="21">
        <v>1.4</v>
      </c>
      <c r="L402" s="21">
        <v>-0.17</v>
      </c>
    </row>
    <row r="403" spans="1:12" ht="30" x14ac:dyDescent="0.25">
      <c r="A403" s="10">
        <v>398</v>
      </c>
      <c r="B403" t="s">
        <v>550</v>
      </c>
      <c r="C403" t="s">
        <v>17</v>
      </c>
      <c r="D403" t="s">
        <v>119</v>
      </c>
      <c r="E403" s="52" t="s">
        <v>120</v>
      </c>
      <c r="F403" t="s">
        <v>551</v>
      </c>
      <c r="G403" s="21">
        <v>-11822.42</v>
      </c>
      <c r="H403" s="21">
        <v>0</v>
      </c>
      <c r="I403" s="21">
        <v>0</v>
      </c>
      <c r="J403" s="21">
        <v>0</v>
      </c>
      <c r="K403" s="21">
        <v>236.45</v>
      </c>
      <c r="L403" s="21">
        <v>-11585.97</v>
      </c>
    </row>
    <row r="404" spans="1:12" ht="30" x14ac:dyDescent="0.25">
      <c r="A404" s="10">
        <v>399</v>
      </c>
      <c r="B404" t="s">
        <v>550</v>
      </c>
      <c r="C404" t="s">
        <v>13</v>
      </c>
      <c r="D404" t="s">
        <v>119</v>
      </c>
      <c r="E404" s="52" t="s">
        <v>120</v>
      </c>
      <c r="F404" t="s">
        <v>551</v>
      </c>
      <c r="G404" s="21">
        <v>0</v>
      </c>
      <c r="H404" s="21">
        <v>0</v>
      </c>
      <c r="I404" s="21">
        <v>0</v>
      </c>
      <c r="J404" s="21">
        <v>-1418.69</v>
      </c>
      <c r="K404" s="21">
        <v>0</v>
      </c>
      <c r="L404" s="21">
        <v>-1418.69</v>
      </c>
    </row>
    <row r="405" spans="1:12" ht="30" x14ac:dyDescent="0.25">
      <c r="A405" s="10">
        <v>400</v>
      </c>
      <c r="B405" t="s">
        <v>550</v>
      </c>
      <c r="C405" t="s">
        <v>17</v>
      </c>
      <c r="D405" t="s">
        <v>119</v>
      </c>
      <c r="E405" s="52" t="s">
        <v>120</v>
      </c>
      <c r="F405" t="s">
        <v>552</v>
      </c>
      <c r="G405" s="21">
        <v>-0.85</v>
      </c>
      <c r="H405" s="21">
        <v>0</v>
      </c>
      <c r="I405" s="21">
        <v>0</v>
      </c>
      <c r="J405" s="21">
        <v>0</v>
      </c>
      <c r="K405" s="21">
        <v>0.02</v>
      </c>
      <c r="L405" s="21">
        <v>-0.83</v>
      </c>
    </row>
    <row r="406" spans="1:12" ht="30" x14ac:dyDescent="0.25">
      <c r="A406" s="10">
        <v>401</v>
      </c>
      <c r="B406" t="s">
        <v>550</v>
      </c>
      <c r="C406" t="s">
        <v>13</v>
      </c>
      <c r="D406" t="s">
        <v>119</v>
      </c>
      <c r="E406" s="52" t="s">
        <v>120</v>
      </c>
      <c r="F406" t="s">
        <v>552</v>
      </c>
      <c r="G406" s="21">
        <v>0</v>
      </c>
      <c r="H406" s="21">
        <v>0</v>
      </c>
      <c r="I406" s="21">
        <v>0</v>
      </c>
      <c r="J406" s="21">
        <v>-0.1</v>
      </c>
      <c r="K406" s="21">
        <v>0</v>
      </c>
      <c r="L406" s="21">
        <v>-0.1</v>
      </c>
    </row>
    <row r="407" spans="1:12" ht="30" x14ac:dyDescent="0.25">
      <c r="A407" s="10">
        <v>402</v>
      </c>
      <c r="B407" t="s">
        <v>557</v>
      </c>
      <c r="C407" t="s">
        <v>17</v>
      </c>
      <c r="D407" t="s">
        <v>121</v>
      </c>
      <c r="E407" s="52" t="s">
        <v>122</v>
      </c>
      <c r="F407" t="s">
        <v>558</v>
      </c>
      <c r="G407" s="21">
        <v>-92.38</v>
      </c>
      <c r="H407" s="21">
        <v>0</v>
      </c>
      <c r="I407" s="21">
        <v>0</v>
      </c>
      <c r="J407" s="21">
        <v>0</v>
      </c>
      <c r="K407" s="21">
        <v>1.85</v>
      </c>
      <c r="L407" s="21">
        <v>-90.53</v>
      </c>
    </row>
    <row r="408" spans="1:12" ht="30" x14ac:dyDescent="0.25">
      <c r="A408" s="10">
        <v>403</v>
      </c>
      <c r="B408" t="s">
        <v>557</v>
      </c>
      <c r="C408" t="s">
        <v>13</v>
      </c>
      <c r="D408" t="s">
        <v>121</v>
      </c>
      <c r="E408" s="52" t="s">
        <v>122</v>
      </c>
      <c r="F408" t="s">
        <v>558</v>
      </c>
      <c r="G408" s="21">
        <v>0</v>
      </c>
      <c r="H408" s="21">
        <v>0</v>
      </c>
      <c r="I408" s="21">
        <v>0</v>
      </c>
      <c r="J408" s="21">
        <v>-11.09</v>
      </c>
      <c r="K408" s="21">
        <v>0</v>
      </c>
      <c r="L408" s="21">
        <v>-11.09</v>
      </c>
    </row>
    <row r="409" spans="1:12" ht="30" x14ac:dyDescent="0.25">
      <c r="A409" s="10">
        <v>404</v>
      </c>
      <c r="B409" t="s">
        <v>566</v>
      </c>
      <c r="C409" t="s">
        <v>17</v>
      </c>
      <c r="D409" t="s">
        <v>121</v>
      </c>
      <c r="E409" s="52" t="s">
        <v>122</v>
      </c>
      <c r="F409" t="s">
        <v>567</v>
      </c>
      <c r="G409" s="21">
        <v>-0.01</v>
      </c>
      <c r="H409" s="21">
        <v>0</v>
      </c>
      <c r="I409" s="21">
        <v>0</v>
      </c>
      <c r="J409" s="21">
        <v>0</v>
      </c>
      <c r="K409" s="21">
        <v>0</v>
      </c>
      <c r="L409" s="21">
        <v>-0.01</v>
      </c>
    </row>
    <row r="410" spans="1:12" ht="30" x14ac:dyDescent="0.25">
      <c r="A410" s="10">
        <v>405</v>
      </c>
      <c r="B410" t="s">
        <v>566</v>
      </c>
      <c r="C410" t="s">
        <v>13</v>
      </c>
      <c r="D410" t="s">
        <v>121</v>
      </c>
      <c r="E410" s="52" t="s">
        <v>122</v>
      </c>
      <c r="F410" t="s">
        <v>567</v>
      </c>
      <c r="G410" s="21">
        <v>0</v>
      </c>
      <c r="H410" s="21">
        <v>0</v>
      </c>
      <c r="I410" s="21">
        <v>0</v>
      </c>
      <c r="J410" s="21">
        <v>0</v>
      </c>
      <c r="K410" s="21">
        <v>0</v>
      </c>
      <c r="L410" s="21">
        <v>0</v>
      </c>
    </row>
    <row r="411" spans="1:12" ht="30" x14ac:dyDescent="0.25">
      <c r="A411" s="10">
        <v>406</v>
      </c>
      <c r="B411" t="s">
        <v>18</v>
      </c>
      <c r="C411" t="s">
        <v>17</v>
      </c>
      <c r="D411" t="s">
        <v>121</v>
      </c>
      <c r="E411" s="52" t="s">
        <v>122</v>
      </c>
      <c r="F411" t="s">
        <v>19</v>
      </c>
      <c r="G411" s="21">
        <v>-1.07</v>
      </c>
      <c r="H411" s="21">
        <v>0</v>
      </c>
      <c r="I411" s="21">
        <v>0</v>
      </c>
      <c r="J411" s="21">
        <v>0</v>
      </c>
      <c r="K411" s="21">
        <v>0.95</v>
      </c>
      <c r="L411" s="21">
        <v>-0.12</v>
      </c>
    </row>
    <row r="412" spans="1:12" ht="30" x14ac:dyDescent="0.25">
      <c r="A412" s="10">
        <v>407</v>
      </c>
      <c r="B412" t="s">
        <v>550</v>
      </c>
      <c r="C412" t="s">
        <v>17</v>
      </c>
      <c r="D412" t="s">
        <v>121</v>
      </c>
      <c r="E412" s="52" t="s">
        <v>122</v>
      </c>
      <c r="F412" t="s">
        <v>551</v>
      </c>
      <c r="G412" s="21">
        <v>-112266.99</v>
      </c>
      <c r="H412" s="21">
        <v>0</v>
      </c>
      <c r="I412" s="21">
        <v>0</v>
      </c>
      <c r="J412" s="21">
        <v>0</v>
      </c>
      <c r="K412" s="21">
        <v>2245.34</v>
      </c>
      <c r="L412" s="21">
        <v>-110021.65</v>
      </c>
    </row>
    <row r="413" spans="1:12" ht="30" x14ac:dyDescent="0.25">
      <c r="A413" s="10">
        <v>408</v>
      </c>
      <c r="B413" t="s">
        <v>550</v>
      </c>
      <c r="C413" t="s">
        <v>17</v>
      </c>
      <c r="D413" t="s">
        <v>121</v>
      </c>
      <c r="E413" s="52" t="s">
        <v>122</v>
      </c>
      <c r="F413" t="s">
        <v>551</v>
      </c>
      <c r="G413" s="21">
        <v>-4071.46</v>
      </c>
      <c r="H413" s="21">
        <v>0</v>
      </c>
      <c r="I413" s="21">
        <v>0</v>
      </c>
      <c r="J413" s="21">
        <v>0</v>
      </c>
      <c r="K413" s="21">
        <v>81.430000000000007</v>
      </c>
      <c r="L413" s="21">
        <v>-3990.03</v>
      </c>
    </row>
    <row r="414" spans="1:12" ht="30" x14ac:dyDescent="0.25">
      <c r="A414" s="10">
        <v>409</v>
      </c>
      <c r="B414" t="s">
        <v>550</v>
      </c>
      <c r="C414" t="s">
        <v>13</v>
      </c>
      <c r="D414" t="s">
        <v>121</v>
      </c>
      <c r="E414" s="52" t="s">
        <v>122</v>
      </c>
      <c r="F414" t="s">
        <v>551</v>
      </c>
      <c r="G414" s="21">
        <v>0</v>
      </c>
      <c r="H414" s="21">
        <v>0</v>
      </c>
      <c r="I414" s="21">
        <v>0</v>
      </c>
      <c r="J414" s="21">
        <v>-13472.04</v>
      </c>
      <c r="K414" s="21">
        <v>0</v>
      </c>
      <c r="L414" s="21">
        <v>-13472.04</v>
      </c>
    </row>
    <row r="415" spans="1:12" ht="30" x14ac:dyDescent="0.25">
      <c r="A415" s="10">
        <v>410</v>
      </c>
      <c r="B415" t="s">
        <v>550</v>
      </c>
      <c r="C415" t="s">
        <v>13</v>
      </c>
      <c r="D415" t="s">
        <v>121</v>
      </c>
      <c r="E415" s="52" t="s">
        <v>122</v>
      </c>
      <c r="F415" t="s">
        <v>551</v>
      </c>
      <c r="G415" s="21">
        <v>0</v>
      </c>
      <c r="H415" s="21">
        <v>0</v>
      </c>
      <c r="I415" s="21">
        <v>0</v>
      </c>
      <c r="J415" s="21">
        <v>-488.58</v>
      </c>
      <c r="K415" s="21">
        <v>0</v>
      </c>
      <c r="L415" s="21">
        <v>-488.58</v>
      </c>
    </row>
    <row r="416" spans="1:12" ht="30" x14ac:dyDescent="0.25">
      <c r="A416" s="10">
        <v>411</v>
      </c>
      <c r="B416" t="s">
        <v>550</v>
      </c>
      <c r="C416" t="s">
        <v>17</v>
      </c>
      <c r="D416" t="s">
        <v>121</v>
      </c>
      <c r="E416" s="52" t="s">
        <v>122</v>
      </c>
      <c r="F416" t="s">
        <v>552</v>
      </c>
      <c r="G416" s="21">
        <v>-8.08</v>
      </c>
      <c r="H416" s="21">
        <v>0</v>
      </c>
      <c r="I416" s="21">
        <v>0</v>
      </c>
      <c r="J416" s="21">
        <v>0</v>
      </c>
      <c r="K416" s="21">
        <v>0.16</v>
      </c>
      <c r="L416" s="21">
        <v>-7.92</v>
      </c>
    </row>
    <row r="417" spans="1:12" ht="30" x14ac:dyDescent="0.25">
      <c r="A417" s="10">
        <v>412</v>
      </c>
      <c r="B417" t="s">
        <v>550</v>
      </c>
      <c r="C417" t="s">
        <v>17</v>
      </c>
      <c r="D417" t="s">
        <v>121</v>
      </c>
      <c r="E417" s="52" t="s">
        <v>122</v>
      </c>
      <c r="F417" t="s">
        <v>552</v>
      </c>
      <c r="G417" s="21">
        <v>-0.28999999999999998</v>
      </c>
      <c r="H417" s="21">
        <v>0</v>
      </c>
      <c r="I417" s="21">
        <v>0</v>
      </c>
      <c r="J417" s="21">
        <v>0</v>
      </c>
      <c r="K417" s="21">
        <v>0.01</v>
      </c>
      <c r="L417" s="21">
        <v>-0.28000000000000003</v>
      </c>
    </row>
    <row r="418" spans="1:12" ht="30" x14ac:dyDescent="0.25">
      <c r="A418" s="10">
        <v>413</v>
      </c>
      <c r="B418" t="s">
        <v>550</v>
      </c>
      <c r="C418" t="s">
        <v>13</v>
      </c>
      <c r="D418" t="s">
        <v>121</v>
      </c>
      <c r="E418" s="52" t="s">
        <v>122</v>
      </c>
      <c r="F418" t="s">
        <v>552</v>
      </c>
      <c r="G418" s="21">
        <v>0</v>
      </c>
      <c r="H418" s="21">
        <v>0</v>
      </c>
      <c r="I418" s="21">
        <v>0</v>
      </c>
      <c r="J418" s="21">
        <v>-0.97</v>
      </c>
      <c r="K418" s="21">
        <v>0</v>
      </c>
      <c r="L418" s="21">
        <v>-0.97</v>
      </c>
    </row>
    <row r="419" spans="1:12" ht="30" x14ac:dyDescent="0.25">
      <c r="A419" s="10">
        <v>414</v>
      </c>
      <c r="B419" t="s">
        <v>550</v>
      </c>
      <c r="C419" t="s">
        <v>13</v>
      </c>
      <c r="D419" t="s">
        <v>121</v>
      </c>
      <c r="E419" s="52" t="s">
        <v>122</v>
      </c>
      <c r="F419" t="s">
        <v>552</v>
      </c>
      <c r="G419" s="21">
        <v>0</v>
      </c>
      <c r="H419" s="21">
        <v>0</v>
      </c>
      <c r="I419" s="21">
        <v>0</v>
      </c>
      <c r="J419" s="21">
        <v>-0.03</v>
      </c>
      <c r="K419" s="21">
        <v>0</v>
      </c>
      <c r="L419" s="21">
        <v>-0.03</v>
      </c>
    </row>
    <row r="420" spans="1:12" ht="30" x14ac:dyDescent="0.25">
      <c r="A420" s="10">
        <v>415</v>
      </c>
      <c r="B420" t="s">
        <v>12</v>
      </c>
      <c r="C420" t="s">
        <v>17</v>
      </c>
      <c r="D420" t="s">
        <v>123</v>
      </c>
      <c r="E420" s="52" t="s">
        <v>124</v>
      </c>
      <c r="F420" t="s">
        <v>16</v>
      </c>
      <c r="G420" s="21">
        <v>0</v>
      </c>
      <c r="H420" s="21">
        <v>0</v>
      </c>
      <c r="I420" s="21">
        <v>-1.89</v>
      </c>
      <c r="J420" s="21">
        <v>0</v>
      </c>
      <c r="K420" s="21">
        <v>0.04</v>
      </c>
      <c r="L420" s="21">
        <v>-1.85</v>
      </c>
    </row>
    <row r="421" spans="1:12" ht="30" x14ac:dyDescent="0.25">
      <c r="A421" s="10">
        <v>416</v>
      </c>
      <c r="B421" t="s">
        <v>12</v>
      </c>
      <c r="C421" t="s">
        <v>49</v>
      </c>
      <c r="D421" t="s">
        <v>123</v>
      </c>
      <c r="E421" s="52" t="s">
        <v>124</v>
      </c>
      <c r="F421" t="s">
        <v>16</v>
      </c>
      <c r="G421" s="21">
        <v>0</v>
      </c>
      <c r="H421" s="21">
        <v>0</v>
      </c>
      <c r="I421" s="21">
        <v>-0.01</v>
      </c>
      <c r="J421" s="21">
        <v>0</v>
      </c>
      <c r="K421" s="21">
        <v>0</v>
      </c>
      <c r="L421" s="21">
        <v>-0.01</v>
      </c>
    </row>
    <row r="422" spans="1:12" ht="30" x14ac:dyDescent="0.25">
      <c r="A422" s="10">
        <v>417</v>
      </c>
      <c r="B422" t="s">
        <v>18</v>
      </c>
      <c r="C422" t="s">
        <v>17</v>
      </c>
      <c r="D422" t="s">
        <v>123</v>
      </c>
      <c r="E422" s="52" t="s">
        <v>124</v>
      </c>
      <c r="F422" t="s">
        <v>19</v>
      </c>
      <c r="G422" s="21">
        <v>0</v>
      </c>
      <c r="H422" s="21">
        <v>0</v>
      </c>
      <c r="I422" s="21">
        <v>-0.19</v>
      </c>
      <c r="J422" s="21">
        <v>0</v>
      </c>
      <c r="K422" s="21">
        <v>0.02</v>
      </c>
      <c r="L422" s="21">
        <v>-0.17</v>
      </c>
    </row>
    <row r="423" spans="1:12" ht="30" x14ac:dyDescent="0.25">
      <c r="A423" s="10">
        <v>418</v>
      </c>
      <c r="B423" t="s">
        <v>18</v>
      </c>
      <c r="C423" t="s">
        <v>17</v>
      </c>
      <c r="D423" t="s">
        <v>123</v>
      </c>
      <c r="E423" s="52" t="s">
        <v>124</v>
      </c>
      <c r="F423" t="s">
        <v>19</v>
      </c>
      <c r="G423" s="21">
        <v>0</v>
      </c>
      <c r="H423" s="21">
        <v>0</v>
      </c>
      <c r="I423" s="21">
        <v>-0.05</v>
      </c>
      <c r="J423" s="21">
        <v>0</v>
      </c>
      <c r="K423" s="21">
        <v>0</v>
      </c>
      <c r="L423" s="21">
        <v>-0.05</v>
      </c>
    </row>
    <row r="424" spans="1:12" ht="30" x14ac:dyDescent="0.25">
      <c r="A424" s="10">
        <v>419</v>
      </c>
      <c r="B424" t="s">
        <v>22</v>
      </c>
      <c r="C424" t="s">
        <v>17</v>
      </c>
      <c r="D424" t="s">
        <v>123</v>
      </c>
      <c r="E424" s="52" t="s">
        <v>124</v>
      </c>
      <c r="F424" t="s">
        <v>23</v>
      </c>
      <c r="G424" s="21">
        <v>0</v>
      </c>
      <c r="H424" s="21">
        <v>0</v>
      </c>
      <c r="I424" s="21">
        <v>-0.01</v>
      </c>
      <c r="J424" s="21">
        <v>0</v>
      </c>
      <c r="K424" s="21">
        <v>0</v>
      </c>
      <c r="L424" s="21">
        <v>-0.01</v>
      </c>
    </row>
    <row r="425" spans="1:12" ht="30" x14ac:dyDescent="0.25">
      <c r="A425" s="10">
        <v>420</v>
      </c>
      <c r="B425" t="s">
        <v>22</v>
      </c>
      <c r="C425" t="s">
        <v>17</v>
      </c>
      <c r="D425" t="s">
        <v>123</v>
      </c>
      <c r="E425" s="52" t="s">
        <v>124</v>
      </c>
      <c r="F425" t="s">
        <v>24</v>
      </c>
      <c r="G425" s="21">
        <v>0</v>
      </c>
      <c r="H425" s="21">
        <v>0</v>
      </c>
      <c r="I425" s="21">
        <v>0</v>
      </c>
      <c r="J425" s="21">
        <v>0</v>
      </c>
      <c r="K425" s="21">
        <v>0</v>
      </c>
      <c r="L425" s="21">
        <v>0</v>
      </c>
    </row>
    <row r="426" spans="1:12" ht="30" x14ac:dyDescent="0.25">
      <c r="A426" s="10">
        <v>421</v>
      </c>
      <c r="B426" t="s">
        <v>550</v>
      </c>
      <c r="C426" t="s">
        <v>17</v>
      </c>
      <c r="D426" t="s">
        <v>123</v>
      </c>
      <c r="E426" s="52" t="s">
        <v>124</v>
      </c>
      <c r="F426" t="s">
        <v>551</v>
      </c>
      <c r="G426" s="21">
        <v>0</v>
      </c>
      <c r="H426" s="21">
        <v>0</v>
      </c>
      <c r="I426" s="21">
        <v>-465.81</v>
      </c>
      <c r="J426" s="21">
        <v>0</v>
      </c>
      <c r="K426" s="21">
        <v>9.32</v>
      </c>
      <c r="L426" s="21">
        <v>-456.49</v>
      </c>
    </row>
    <row r="427" spans="1:12" ht="30" x14ac:dyDescent="0.25">
      <c r="A427" s="10">
        <v>422</v>
      </c>
      <c r="B427" t="s">
        <v>550</v>
      </c>
      <c r="C427" t="s">
        <v>17</v>
      </c>
      <c r="D427" t="s">
        <v>123</v>
      </c>
      <c r="E427" s="52" t="s">
        <v>124</v>
      </c>
      <c r="F427" t="s">
        <v>552</v>
      </c>
      <c r="G427" s="21">
        <v>0</v>
      </c>
      <c r="H427" s="21">
        <v>0</v>
      </c>
      <c r="I427" s="21">
        <v>-0.03</v>
      </c>
      <c r="J427" s="21">
        <v>0</v>
      </c>
      <c r="K427" s="21">
        <v>0</v>
      </c>
      <c r="L427" s="21">
        <v>-0.03</v>
      </c>
    </row>
    <row r="428" spans="1:12" ht="30" x14ac:dyDescent="0.25">
      <c r="A428" s="10">
        <v>423</v>
      </c>
      <c r="B428" t="s">
        <v>550</v>
      </c>
      <c r="C428" t="s">
        <v>17</v>
      </c>
      <c r="D428" t="s">
        <v>125</v>
      </c>
      <c r="E428" s="52" t="s">
        <v>126</v>
      </c>
      <c r="F428" t="s">
        <v>551</v>
      </c>
      <c r="G428" s="21">
        <v>0</v>
      </c>
      <c r="H428" s="21">
        <v>0</v>
      </c>
      <c r="I428" s="21">
        <v>-53253.35</v>
      </c>
      <c r="J428" s="21">
        <v>0</v>
      </c>
      <c r="K428" s="21">
        <v>1065.07</v>
      </c>
      <c r="L428" s="21">
        <v>-52188.28</v>
      </c>
    </row>
    <row r="429" spans="1:12" ht="30" x14ac:dyDescent="0.25">
      <c r="A429" s="10">
        <v>424</v>
      </c>
      <c r="B429" t="s">
        <v>550</v>
      </c>
      <c r="C429" t="s">
        <v>17</v>
      </c>
      <c r="D429" t="s">
        <v>125</v>
      </c>
      <c r="E429" s="52" t="s">
        <v>126</v>
      </c>
      <c r="F429" t="s">
        <v>552</v>
      </c>
      <c r="G429" s="21">
        <v>0</v>
      </c>
      <c r="H429" s="21">
        <v>0</v>
      </c>
      <c r="I429" s="21">
        <v>-3.83</v>
      </c>
      <c r="J429" s="21">
        <v>0</v>
      </c>
      <c r="K429" s="21">
        <v>0.08</v>
      </c>
      <c r="L429" s="21">
        <v>-3.75</v>
      </c>
    </row>
    <row r="430" spans="1:12" ht="30" x14ac:dyDescent="0.25">
      <c r="A430" s="10">
        <v>425</v>
      </c>
      <c r="B430" t="s">
        <v>18</v>
      </c>
      <c r="C430" t="s">
        <v>17</v>
      </c>
      <c r="D430" t="s">
        <v>127</v>
      </c>
      <c r="E430" s="52" t="s">
        <v>128</v>
      </c>
      <c r="F430" t="s">
        <v>19</v>
      </c>
      <c r="G430" s="21">
        <v>0</v>
      </c>
      <c r="H430" s="21">
        <v>0</v>
      </c>
      <c r="I430" s="21">
        <v>-0.54</v>
      </c>
      <c r="J430" s="21">
        <v>0</v>
      </c>
      <c r="K430" s="21">
        <v>0.06</v>
      </c>
      <c r="L430" s="21">
        <v>-0.48</v>
      </c>
    </row>
    <row r="431" spans="1:12" ht="30" x14ac:dyDescent="0.25">
      <c r="A431" s="10">
        <v>426</v>
      </c>
      <c r="B431" t="s">
        <v>550</v>
      </c>
      <c r="C431" t="s">
        <v>17</v>
      </c>
      <c r="D431" t="s">
        <v>127</v>
      </c>
      <c r="E431" s="52" t="s">
        <v>128</v>
      </c>
      <c r="F431" t="s">
        <v>551</v>
      </c>
      <c r="G431" s="21">
        <v>0</v>
      </c>
      <c r="H431" s="21">
        <v>0</v>
      </c>
      <c r="I431" s="21">
        <v>-2346.69</v>
      </c>
      <c r="J431" s="21">
        <v>0</v>
      </c>
      <c r="K431" s="21">
        <v>46.93</v>
      </c>
      <c r="L431" s="21">
        <v>-2299.7600000000002</v>
      </c>
    </row>
    <row r="432" spans="1:12" ht="30" x14ac:dyDescent="0.25">
      <c r="A432" s="10">
        <v>427</v>
      </c>
      <c r="B432" t="s">
        <v>550</v>
      </c>
      <c r="C432" t="s">
        <v>17</v>
      </c>
      <c r="D432" t="s">
        <v>127</v>
      </c>
      <c r="E432" s="52" t="s">
        <v>128</v>
      </c>
      <c r="F432" t="s">
        <v>552</v>
      </c>
      <c r="G432" s="21">
        <v>0</v>
      </c>
      <c r="H432" s="21">
        <v>0</v>
      </c>
      <c r="I432" s="21">
        <v>-0.17</v>
      </c>
      <c r="J432" s="21">
        <v>0</v>
      </c>
      <c r="K432" s="21">
        <v>0</v>
      </c>
      <c r="L432" s="21">
        <v>-0.17</v>
      </c>
    </row>
    <row r="433" spans="1:12" ht="30" x14ac:dyDescent="0.25">
      <c r="A433" s="10">
        <v>428</v>
      </c>
      <c r="B433" t="s">
        <v>18</v>
      </c>
      <c r="C433" t="s">
        <v>17</v>
      </c>
      <c r="D433" t="s">
        <v>129</v>
      </c>
      <c r="E433" s="52" t="s">
        <v>130</v>
      </c>
      <c r="F433" t="s">
        <v>19</v>
      </c>
      <c r="G433" s="21">
        <v>-1.28</v>
      </c>
      <c r="H433" s="21">
        <v>0</v>
      </c>
      <c r="I433" s="21">
        <v>0</v>
      </c>
      <c r="J433" s="21">
        <v>0</v>
      </c>
      <c r="K433" s="21">
        <v>1.1399999999999999</v>
      </c>
      <c r="L433" s="21">
        <v>-0.14000000000000001</v>
      </c>
    </row>
    <row r="434" spans="1:12" ht="30" x14ac:dyDescent="0.25">
      <c r="A434" s="10">
        <v>429</v>
      </c>
      <c r="B434" t="s">
        <v>550</v>
      </c>
      <c r="C434" t="s">
        <v>17</v>
      </c>
      <c r="D434" t="s">
        <v>129</v>
      </c>
      <c r="E434" s="52" t="s">
        <v>130</v>
      </c>
      <c r="F434" t="s">
        <v>551</v>
      </c>
      <c r="G434" s="21">
        <v>-38759</v>
      </c>
      <c r="H434" s="21">
        <v>0</v>
      </c>
      <c r="I434" s="21">
        <v>0</v>
      </c>
      <c r="J434" s="21">
        <v>0</v>
      </c>
      <c r="K434" s="21">
        <v>775.18</v>
      </c>
      <c r="L434" s="21">
        <v>-37983.82</v>
      </c>
    </row>
    <row r="435" spans="1:12" ht="30" x14ac:dyDescent="0.25">
      <c r="A435" s="10">
        <v>430</v>
      </c>
      <c r="B435" t="s">
        <v>550</v>
      </c>
      <c r="C435" t="s">
        <v>13</v>
      </c>
      <c r="D435" t="s">
        <v>129</v>
      </c>
      <c r="E435" s="52" t="s">
        <v>130</v>
      </c>
      <c r="F435" t="s">
        <v>551</v>
      </c>
      <c r="G435" s="21">
        <v>0</v>
      </c>
      <c r="H435" s="21">
        <v>0</v>
      </c>
      <c r="I435" s="21">
        <v>0</v>
      </c>
      <c r="J435" s="21">
        <v>-4651.08</v>
      </c>
      <c r="K435" s="21">
        <v>0</v>
      </c>
      <c r="L435" s="21">
        <v>-4651.08</v>
      </c>
    </row>
    <row r="436" spans="1:12" ht="30" x14ac:dyDescent="0.25">
      <c r="A436" s="10">
        <v>431</v>
      </c>
      <c r="B436" t="s">
        <v>550</v>
      </c>
      <c r="C436" t="s">
        <v>17</v>
      </c>
      <c r="D436" t="s">
        <v>129</v>
      </c>
      <c r="E436" s="52" t="s">
        <v>130</v>
      </c>
      <c r="F436" t="s">
        <v>552</v>
      </c>
      <c r="G436" s="21">
        <v>-2.79</v>
      </c>
      <c r="H436" s="21">
        <v>0</v>
      </c>
      <c r="I436" s="21">
        <v>0</v>
      </c>
      <c r="J436" s="21">
        <v>0</v>
      </c>
      <c r="K436" s="21">
        <v>0.06</v>
      </c>
      <c r="L436" s="21">
        <v>-2.73</v>
      </c>
    </row>
    <row r="437" spans="1:12" ht="30" x14ac:dyDescent="0.25">
      <c r="A437" s="10">
        <v>432</v>
      </c>
      <c r="B437" t="s">
        <v>550</v>
      </c>
      <c r="C437" t="s">
        <v>13</v>
      </c>
      <c r="D437" t="s">
        <v>129</v>
      </c>
      <c r="E437" s="52" t="s">
        <v>130</v>
      </c>
      <c r="F437" t="s">
        <v>552</v>
      </c>
      <c r="G437" s="21">
        <v>0</v>
      </c>
      <c r="H437" s="21">
        <v>0</v>
      </c>
      <c r="I437" s="21">
        <v>0</v>
      </c>
      <c r="J437" s="21">
        <v>-0.33</v>
      </c>
      <c r="K437" s="21">
        <v>0</v>
      </c>
      <c r="L437" s="21">
        <v>-0.33</v>
      </c>
    </row>
    <row r="438" spans="1:12" ht="30" x14ac:dyDescent="0.25">
      <c r="A438" s="10">
        <v>433</v>
      </c>
      <c r="B438" t="s">
        <v>555</v>
      </c>
      <c r="C438" t="s">
        <v>17</v>
      </c>
      <c r="D438" t="s">
        <v>131</v>
      </c>
      <c r="E438" s="52" t="s">
        <v>132</v>
      </c>
      <c r="F438" t="s">
        <v>556</v>
      </c>
      <c r="G438" s="21">
        <v>-4223.24</v>
      </c>
      <c r="H438" s="21">
        <v>0</v>
      </c>
      <c r="I438" s="21">
        <v>0</v>
      </c>
      <c r="J438" s="21">
        <v>0</v>
      </c>
      <c r="K438" s="21">
        <v>84.46</v>
      </c>
      <c r="L438" s="21">
        <v>-4138.78</v>
      </c>
    </row>
    <row r="439" spans="1:12" ht="30" x14ac:dyDescent="0.25">
      <c r="A439" s="10">
        <v>434</v>
      </c>
      <c r="B439" t="s">
        <v>555</v>
      </c>
      <c r="C439" t="s">
        <v>13</v>
      </c>
      <c r="D439" t="s">
        <v>131</v>
      </c>
      <c r="E439" s="52" t="s">
        <v>132</v>
      </c>
      <c r="F439" t="s">
        <v>556</v>
      </c>
      <c r="G439" s="21">
        <v>0</v>
      </c>
      <c r="H439" s="21">
        <v>0</v>
      </c>
      <c r="I439" s="21">
        <v>0</v>
      </c>
      <c r="J439" s="21">
        <v>-506.79</v>
      </c>
      <c r="K439" s="21">
        <v>0</v>
      </c>
      <c r="L439" s="21">
        <v>-506.79</v>
      </c>
    </row>
    <row r="440" spans="1:12" ht="30" x14ac:dyDescent="0.25">
      <c r="A440" s="10">
        <v>435</v>
      </c>
      <c r="B440" t="s">
        <v>557</v>
      </c>
      <c r="C440" t="s">
        <v>17</v>
      </c>
      <c r="D440" t="s">
        <v>131</v>
      </c>
      <c r="E440" s="52" t="s">
        <v>132</v>
      </c>
      <c r="F440" t="s">
        <v>558</v>
      </c>
      <c r="G440" s="21">
        <v>-2955.94</v>
      </c>
      <c r="H440" s="21">
        <v>0</v>
      </c>
      <c r="I440" s="21">
        <v>0</v>
      </c>
      <c r="J440" s="21">
        <v>0</v>
      </c>
      <c r="K440" s="21">
        <v>59.12</v>
      </c>
      <c r="L440" s="21">
        <v>-2896.82</v>
      </c>
    </row>
    <row r="441" spans="1:12" ht="30" x14ac:dyDescent="0.25">
      <c r="A441" s="10">
        <v>436</v>
      </c>
      <c r="B441" t="s">
        <v>557</v>
      </c>
      <c r="C441" t="s">
        <v>13</v>
      </c>
      <c r="D441" t="s">
        <v>131</v>
      </c>
      <c r="E441" s="52" t="s">
        <v>132</v>
      </c>
      <c r="F441" t="s">
        <v>558</v>
      </c>
      <c r="G441" s="21">
        <v>0</v>
      </c>
      <c r="H441" s="21">
        <v>0</v>
      </c>
      <c r="I441" s="21">
        <v>0</v>
      </c>
      <c r="J441" s="21">
        <v>-354.71</v>
      </c>
      <c r="K441" s="21">
        <v>0</v>
      </c>
      <c r="L441" s="21">
        <v>-354.71</v>
      </c>
    </row>
    <row r="442" spans="1:12" ht="30" x14ac:dyDescent="0.25">
      <c r="A442" s="10">
        <v>437</v>
      </c>
      <c r="B442" t="s">
        <v>559</v>
      </c>
      <c r="C442" t="s">
        <v>17</v>
      </c>
      <c r="D442" t="s">
        <v>131</v>
      </c>
      <c r="E442" s="52" t="s">
        <v>132</v>
      </c>
      <c r="F442" t="s">
        <v>560</v>
      </c>
      <c r="G442" s="21">
        <v>-1126.5999999999999</v>
      </c>
      <c r="H442" s="21">
        <v>0</v>
      </c>
      <c r="I442" s="21">
        <v>0</v>
      </c>
      <c r="J442" s="21">
        <v>0</v>
      </c>
      <c r="K442" s="21">
        <v>22.53</v>
      </c>
      <c r="L442" s="21">
        <v>-1104.07</v>
      </c>
    </row>
    <row r="443" spans="1:12" ht="30" x14ac:dyDescent="0.25">
      <c r="A443" s="10">
        <v>438</v>
      </c>
      <c r="B443" t="s">
        <v>559</v>
      </c>
      <c r="C443" t="s">
        <v>13</v>
      </c>
      <c r="D443" t="s">
        <v>131</v>
      </c>
      <c r="E443" s="52" t="s">
        <v>132</v>
      </c>
      <c r="F443" t="s">
        <v>560</v>
      </c>
      <c r="G443" s="21">
        <v>0</v>
      </c>
      <c r="H443" s="21">
        <v>0</v>
      </c>
      <c r="I443" s="21">
        <v>0</v>
      </c>
      <c r="J443" s="21">
        <v>-135.19</v>
      </c>
      <c r="K443" s="21">
        <v>0</v>
      </c>
      <c r="L443" s="21">
        <v>-135.19</v>
      </c>
    </row>
    <row r="444" spans="1:12" ht="30" x14ac:dyDescent="0.25">
      <c r="A444" s="10">
        <v>439</v>
      </c>
      <c r="B444" t="s">
        <v>18</v>
      </c>
      <c r="C444" t="s">
        <v>17</v>
      </c>
      <c r="D444" t="s">
        <v>131</v>
      </c>
      <c r="E444" s="52" t="s">
        <v>132</v>
      </c>
      <c r="F444" t="s">
        <v>19</v>
      </c>
      <c r="G444" s="21">
        <v>-7.81</v>
      </c>
      <c r="H444" s="21">
        <v>0</v>
      </c>
      <c r="I444" s="21">
        <v>0</v>
      </c>
      <c r="J444" s="21">
        <v>0</v>
      </c>
      <c r="K444" s="21">
        <v>6.93</v>
      </c>
      <c r="L444" s="21">
        <v>-0.88</v>
      </c>
    </row>
    <row r="445" spans="1:12" ht="30" x14ac:dyDescent="0.25">
      <c r="A445" s="10">
        <v>440</v>
      </c>
      <c r="B445" t="s">
        <v>550</v>
      </c>
      <c r="C445" t="s">
        <v>17</v>
      </c>
      <c r="D445" t="s">
        <v>131</v>
      </c>
      <c r="E445" s="52" t="s">
        <v>132</v>
      </c>
      <c r="F445" t="s">
        <v>551</v>
      </c>
      <c r="G445" s="21">
        <v>-360535.65</v>
      </c>
      <c r="H445" s="21">
        <v>0</v>
      </c>
      <c r="I445" s="21">
        <v>0</v>
      </c>
      <c r="J445" s="21">
        <v>0</v>
      </c>
      <c r="K445" s="21">
        <v>7210.71</v>
      </c>
      <c r="L445" s="21">
        <v>-353324.94</v>
      </c>
    </row>
    <row r="446" spans="1:12" ht="30" x14ac:dyDescent="0.25">
      <c r="A446" s="10">
        <v>441</v>
      </c>
      <c r="B446" t="s">
        <v>550</v>
      </c>
      <c r="C446" t="s">
        <v>13</v>
      </c>
      <c r="D446" t="s">
        <v>131</v>
      </c>
      <c r="E446" s="52" t="s">
        <v>132</v>
      </c>
      <c r="F446" t="s">
        <v>551</v>
      </c>
      <c r="G446" s="21">
        <v>0</v>
      </c>
      <c r="H446" s="21">
        <v>0</v>
      </c>
      <c r="I446" s="21">
        <v>0</v>
      </c>
      <c r="J446" s="21">
        <v>-43264.28</v>
      </c>
      <c r="K446" s="21">
        <v>0</v>
      </c>
      <c r="L446" s="21">
        <v>-43264.28</v>
      </c>
    </row>
    <row r="447" spans="1:12" ht="30" x14ac:dyDescent="0.25">
      <c r="A447" s="10">
        <v>442</v>
      </c>
      <c r="B447" t="s">
        <v>550</v>
      </c>
      <c r="C447" t="s">
        <v>17</v>
      </c>
      <c r="D447" t="s">
        <v>131</v>
      </c>
      <c r="E447" s="52" t="s">
        <v>132</v>
      </c>
      <c r="F447" t="s">
        <v>552</v>
      </c>
      <c r="G447" s="21">
        <v>-25.93</v>
      </c>
      <c r="H447" s="21">
        <v>0</v>
      </c>
      <c r="I447" s="21">
        <v>0</v>
      </c>
      <c r="J447" s="21">
        <v>0</v>
      </c>
      <c r="K447" s="21">
        <v>0.52</v>
      </c>
      <c r="L447" s="21">
        <v>-25.41</v>
      </c>
    </row>
    <row r="448" spans="1:12" ht="30" x14ac:dyDescent="0.25">
      <c r="A448" s="10">
        <v>443</v>
      </c>
      <c r="B448" t="s">
        <v>550</v>
      </c>
      <c r="C448" t="s">
        <v>13</v>
      </c>
      <c r="D448" t="s">
        <v>131</v>
      </c>
      <c r="E448" s="52" t="s">
        <v>132</v>
      </c>
      <c r="F448" t="s">
        <v>552</v>
      </c>
      <c r="G448" s="21">
        <v>0</v>
      </c>
      <c r="H448" s="21">
        <v>0</v>
      </c>
      <c r="I448" s="21">
        <v>0</v>
      </c>
      <c r="J448" s="21">
        <v>-3.11</v>
      </c>
      <c r="K448" s="21">
        <v>0</v>
      </c>
      <c r="L448" s="21">
        <v>-3.11</v>
      </c>
    </row>
    <row r="449" spans="1:12" ht="30" x14ac:dyDescent="0.25">
      <c r="A449" s="10">
        <v>444</v>
      </c>
      <c r="B449" t="s">
        <v>555</v>
      </c>
      <c r="C449" t="s">
        <v>17</v>
      </c>
      <c r="D449" t="s">
        <v>133</v>
      </c>
      <c r="E449" s="52" t="s">
        <v>134</v>
      </c>
      <c r="F449" t="s">
        <v>556</v>
      </c>
      <c r="G449" s="21">
        <v>-0.11</v>
      </c>
      <c r="H449" s="21">
        <v>0</v>
      </c>
      <c r="I449" s="21">
        <v>0</v>
      </c>
      <c r="J449" s="21">
        <v>0</v>
      </c>
      <c r="K449" s="21">
        <v>0</v>
      </c>
      <c r="L449" s="21">
        <v>-0.11</v>
      </c>
    </row>
    <row r="450" spans="1:12" ht="30" x14ac:dyDescent="0.25">
      <c r="A450" s="10">
        <v>445</v>
      </c>
      <c r="B450" t="s">
        <v>555</v>
      </c>
      <c r="C450" t="s">
        <v>13</v>
      </c>
      <c r="D450" t="s">
        <v>133</v>
      </c>
      <c r="E450" s="52" t="s">
        <v>134</v>
      </c>
      <c r="F450" t="s">
        <v>556</v>
      </c>
      <c r="G450" s="21">
        <v>0</v>
      </c>
      <c r="H450" s="21">
        <v>0</v>
      </c>
      <c r="I450" s="21">
        <v>0</v>
      </c>
      <c r="J450" s="21">
        <v>-0.01</v>
      </c>
      <c r="K450" s="21">
        <v>0</v>
      </c>
      <c r="L450" s="21">
        <v>-0.01</v>
      </c>
    </row>
    <row r="451" spans="1:12" ht="30" x14ac:dyDescent="0.25">
      <c r="A451" s="10">
        <v>446</v>
      </c>
      <c r="B451" t="s">
        <v>557</v>
      </c>
      <c r="C451" t="s">
        <v>17</v>
      </c>
      <c r="D451" t="s">
        <v>133</v>
      </c>
      <c r="E451" s="52" t="s">
        <v>134</v>
      </c>
      <c r="F451" t="s">
        <v>558</v>
      </c>
      <c r="G451" s="21">
        <v>-7.0000000000000007E-2</v>
      </c>
      <c r="H451" s="21">
        <v>0</v>
      </c>
      <c r="I451" s="21">
        <v>0</v>
      </c>
      <c r="J451" s="21">
        <v>0</v>
      </c>
      <c r="K451" s="21">
        <v>0</v>
      </c>
      <c r="L451" s="21">
        <v>-7.0000000000000007E-2</v>
      </c>
    </row>
    <row r="452" spans="1:12" ht="30" x14ac:dyDescent="0.25">
      <c r="A452" s="10">
        <v>447</v>
      </c>
      <c r="B452" t="s">
        <v>557</v>
      </c>
      <c r="C452" t="s">
        <v>13</v>
      </c>
      <c r="D452" t="s">
        <v>133</v>
      </c>
      <c r="E452" s="52" t="s">
        <v>134</v>
      </c>
      <c r="F452" t="s">
        <v>558</v>
      </c>
      <c r="G452" s="21">
        <v>0</v>
      </c>
      <c r="H452" s="21">
        <v>0</v>
      </c>
      <c r="I452" s="21">
        <v>0</v>
      </c>
      <c r="J452" s="21">
        <v>-0.01</v>
      </c>
      <c r="K452" s="21">
        <v>0</v>
      </c>
      <c r="L452" s="21">
        <v>-0.01</v>
      </c>
    </row>
    <row r="453" spans="1:12" ht="30" x14ac:dyDescent="0.25">
      <c r="A453" s="10">
        <v>448</v>
      </c>
      <c r="B453" t="s">
        <v>559</v>
      </c>
      <c r="C453" t="s">
        <v>17</v>
      </c>
      <c r="D453" t="s">
        <v>133</v>
      </c>
      <c r="E453" s="52" t="s">
        <v>134</v>
      </c>
      <c r="F453" t="s">
        <v>560</v>
      </c>
      <c r="G453" s="21">
        <v>-0.03</v>
      </c>
      <c r="H453" s="21">
        <v>0</v>
      </c>
      <c r="I453" s="21">
        <v>0</v>
      </c>
      <c r="J453" s="21">
        <v>0</v>
      </c>
      <c r="K453" s="21">
        <v>0</v>
      </c>
      <c r="L453" s="21">
        <v>-0.03</v>
      </c>
    </row>
    <row r="454" spans="1:12" ht="30" x14ac:dyDescent="0.25">
      <c r="A454" s="10">
        <v>449</v>
      </c>
      <c r="B454" t="s">
        <v>559</v>
      </c>
      <c r="C454" t="s">
        <v>13</v>
      </c>
      <c r="D454" t="s">
        <v>133</v>
      </c>
      <c r="E454" s="52" t="s">
        <v>134</v>
      </c>
      <c r="F454" t="s">
        <v>560</v>
      </c>
      <c r="G454" s="21">
        <v>0</v>
      </c>
      <c r="H454" s="21">
        <v>0</v>
      </c>
      <c r="I454" s="21">
        <v>0</v>
      </c>
      <c r="J454" s="21">
        <v>0</v>
      </c>
      <c r="K454" s="21">
        <v>0</v>
      </c>
      <c r="L454" s="21">
        <v>0</v>
      </c>
    </row>
    <row r="455" spans="1:12" ht="30" x14ac:dyDescent="0.25">
      <c r="A455" s="10">
        <v>450</v>
      </c>
      <c r="B455" t="s">
        <v>18</v>
      </c>
      <c r="C455" t="s">
        <v>17</v>
      </c>
      <c r="D455" t="s">
        <v>133</v>
      </c>
      <c r="E455" s="52" t="s">
        <v>134</v>
      </c>
      <c r="F455" t="s">
        <v>19</v>
      </c>
      <c r="G455" s="21">
        <v>-0.08</v>
      </c>
      <c r="H455" s="21">
        <v>0</v>
      </c>
      <c r="I455" s="21">
        <v>0</v>
      </c>
      <c r="J455" s="21">
        <v>0</v>
      </c>
      <c r="K455" s="21">
        <v>7.0000000000000007E-2</v>
      </c>
      <c r="L455" s="21">
        <v>-0.01</v>
      </c>
    </row>
    <row r="456" spans="1:12" ht="30" x14ac:dyDescent="0.25">
      <c r="A456" s="10">
        <v>451</v>
      </c>
      <c r="B456" t="s">
        <v>22</v>
      </c>
      <c r="C456" t="s">
        <v>17</v>
      </c>
      <c r="D456" t="s">
        <v>133</v>
      </c>
      <c r="E456" s="52" t="s">
        <v>134</v>
      </c>
      <c r="F456" t="s">
        <v>23</v>
      </c>
      <c r="G456" s="21">
        <v>-297.73</v>
      </c>
      <c r="H456" s="21">
        <v>0</v>
      </c>
      <c r="I456" s="21">
        <v>0</v>
      </c>
      <c r="J456" s="21">
        <v>0</v>
      </c>
      <c r="K456" s="21">
        <v>5.95</v>
      </c>
      <c r="L456" s="21">
        <v>-291.77999999999997</v>
      </c>
    </row>
    <row r="457" spans="1:12" ht="30" x14ac:dyDescent="0.25">
      <c r="A457" s="10">
        <v>452</v>
      </c>
      <c r="B457" t="s">
        <v>22</v>
      </c>
      <c r="C457" t="s">
        <v>17</v>
      </c>
      <c r="D457" t="s">
        <v>133</v>
      </c>
      <c r="E457" s="52" t="s">
        <v>134</v>
      </c>
      <c r="F457" t="s">
        <v>23</v>
      </c>
      <c r="G457" s="21">
        <v>-198.03</v>
      </c>
      <c r="H457" s="21">
        <v>0</v>
      </c>
      <c r="I457" s="21">
        <v>0</v>
      </c>
      <c r="J457" s="21">
        <v>0</v>
      </c>
      <c r="K457" s="21">
        <v>3.96</v>
      </c>
      <c r="L457" s="21">
        <v>-194.07</v>
      </c>
    </row>
    <row r="458" spans="1:12" ht="30" x14ac:dyDescent="0.25">
      <c r="A458" s="10">
        <v>453</v>
      </c>
      <c r="B458" t="s">
        <v>22</v>
      </c>
      <c r="C458" t="s">
        <v>49</v>
      </c>
      <c r="D458" t="s">
        <v>133</v>
      </c>
      <c r="E458" s="52" t="s">
        <v>134</v>
      </c>
      <c r="F458" t="s">
        <v>23</v>
      </c>
      <c r="G458" s="21">
        <v>-1.44</v>
      </c>
      <c r="H458" s="21">
        <v>0</v>
      </c>
      <c r="I458" s="21">
        <v>0</v>
      </c>
      <c r="J458" s="21">
        <v>0</v>
      </c>
      <c r="K458" s="21">
        <v>0</v>
      </c>
      <c r="L458" s="21">
        <v>-1.44</v>
      </c>
    </row>
    <row r="459" spans="1:12" ht="30" x14ac:dyDescent="0.25">
      <c r="A459" s="10">
        <v>454</v>
      </c>
      <c r="B459" t="s">
        <v>22</v>
      </c>
      <c r="C459" t="s">
        <v>49</v>
      </c>
      <c r="D459" t="s">
        <v>133</v>
      </c>
      <c r="E459" s="52" t="s">
        <v>134</v>
      </c>
      <c r="F459" t="s">
        <v>23</v>
      </c>
      <c r="G459" s="21">
        <v>-0.87</v>
      </c>
      <c r="H459" s="21">
        <v>0</v>
      </c>
      <c r="I459" s="21">
        <v>0</v>
      </c>
      <c r="J459" s="21">
        <v>0</v>
      </c>
      <c r="K459" s="21">
        <v>0</v>
      </c>
      <c r="L459" s="21">
        <v>-0.87</v>
      </c>
    </row>
    <row r="460" spans="1:12" ht="30" x14ac:dyDescent="0.25">
      <c r="A460" s="10">
        <v>455</v>
      </c>
      <c r="B460" t="s">
        <v>22</v>
      </c>
      <c r="C460" t="s">
        <v>17</v>
      </c>
      <c r="D460" t="s">
        <v>133</v>
      </c>
      <c r="E460" s="52" t="s">
        <v>134</v>
      </c>
      <c r="F460" t="s">
        <v>24</v>
      </c>
      <c r="G460" s="21">
        <v>-0.57999999999999996</v>
      </c>
      <c r="H460" s="21">
        <v>0</v>
      </c>
      <c r="I460" s="21">
        <v>0</v>
      </c>
      <c r="J460" s="21">
        <v>0</v>
      </c>
      <c r="K460" s="21">
        <v>0.01</v>
      </c>
      <c r="L460" s="21">
        <v>-0.56999999999999995</v>
      </c>
    </row>
    <row r="461" spans="1:12" ht="30" x14ac:dyDescent="0.25">
      <c r="A461" s="10">
        <v>456</v>
      </c>
      <c r="B461" t="s">
        <v>22</v>
      </c>
      <c r="C461" t="s">
        <v>17</v>
      </c>
      <c r="D461" t="s">
        <v>133</v>
      </c>
      <c r="E461" s="52" t="s">
        <v>134</v>
      </c>
      <c r="F461" t="s">
        <v>24</v>
      </c>
      <c r="G461" s="21">
        <v>-0.38</v>
      </c>
      <c r="H461" s="21">
        <v>0</v>
      </c>
      <c r="I461" s="21">
        <v>0</v>
      </c>
      <c r="J461" s="21">
        <v>0</v>
      </c>
      <c r="K461" s="21">
        <v>0</v>
      </c>
      <c r="L461" s="21">
        <v>-0.38</v>
      </c>
    </row>
    <row r="462" spans="1:12" ht="30" x14ac:dyDescent="0.25">
      <c r="A462" s="10">
        <v>457</v>
      </c>
      <c r="B462" t="s">
        <v>550</v>
      </c>
      <c r="C462" t="s">
        <v>17</v>
      </c>
      <c r="D462" t="s">
        <v>133</v>
      </c>
      <c r="E462" s="52" t="s">
        <v>134</v>
      </c>
      <c r="F462" t="s">
        <v>551</v>
      </c>
      <c r="G462" s="21">
        <v>-176.9</v>
      </c>
      <c r="H462" s="21">
        <v>0</v>
      </c>
      <c r="I462" s="21">
        <v>0</v>
      </c>
      <c r="J462" s="21">
        <v>0</v>
      </c>
      <c r="K462" s="21">
        <v>3.54</v>
      </c>
      <c r="L462" s="21">
        <v>-173.36</v>
      </c>
    </row>
    <row r="463" spans="1:12" ht="30" x14ac:dyDescent="0.25">
      <c r="A463" s="10">
        <v>458</v>
      </c>
      <c r="B463" t="s">
        <v>550</v>
      </c>
      <c r="C463" t="s">
        <v>13</v>
      </c>
      <c r="D463" t="s">
        <v>133</v>
      </c>
      <c r="E463" s="52" t="s">
        <v>134</v>
      </c>
      <c r="F463" t="s">
        <v>551</v>
      </c>
      <c r="G463" s="21">
        <v>0</v>
      </c>
      <c r="H463" s="21">
        <v>0</v>
      </c>
      <c r="I463" s="21">
        <v>0</v>
      </c>
      <c r="J463" s="21">
        <v>-105.5</v>
      </c>
      <c r="K463" s="21">
        <v>0</v>
      </c>
      <c r="L463" s="21">
        <v>-105.5</v>
      </c>
    </row>
    <row r="464" spans="1:12" ht="30" x14ac:dyDescent="0.25">
      <c r="A464" s="10">
        <v>459</v>
      </c>
      <c r="B464" t="s">
        <v>550</v>
      </c>
      <c r="C464" t="s">
        <v>13</v>
      </c>
      <c r="D464" t="s">
        <v>133</v>
      </c>
      <c r="E464" s="52" t="s">
        <v>134</v>
      </c>
      <c r="F464" t="s">
        <v>551</v>
      </c>
      <c r="G464" s="21">
        <v>0</v>
      </c>
      <c r="H464" s="21">
        <v>0</v>
      </c>
      <c r="I464" s="21">
        <v>0</v>
      </c>
      <c r="J464" s="21">
        <v>-135.49</v>
      </c>
      <c r="K464" s="21">
        <v>0</v>
      </c>
      <c r="L464" s="21">
        <v>-135.49</v>
      </c>
    </row>
    <row r="465" spans="1:12" ht="30" x14ac:dyDescent="0.25">
      <c r="A465" s="10">
        <v>460</v>
      </c>
      <c r="B465" t="s">
        <v>550</v>
      </c>
      <c r="C465" t="s">
        <v>17</v>
      </c>
      <c r="D465" t="s">
        <v>133</v>
      </c>
      <c r="E465" s="52" t="s">
        <v>134</v>
      </c>
      <c r="F465" t="s">
        <v>552</v>
      </c>
      <c r="G465" s="21">
        <v>-0.01</v>
      </c>
      <c r="H465" s="21">
        <v>0</v>
      </c>
      <c r="I465" s="21">
        <v>0</v>
      </c>
      <c r="J465" s="21">
        <v>0</v>
      </c>
      <c r="K465" s="21">
        <v>0</v>
      </c>
      <c r="L465" s="21">
        <v>-0.01</v>
      </c>
    </row>
    <row r="466" spans="1:12" ht="30" x14ac:dyDescent="0.25">
      <c r="A466" s="10">
        <v>461</v>
      </c>
      <c r="B466" t="s">
        <v>550</v>
      </c>
      <c r="C466" t="s">
        <v>13</v>
      </c>
      <c r="D466" t="s">
        <v>133</v>
      </c>
      <c r="E466" s="52" t="s">
        <v>134</v>
      </c>
      <c r="F466" t="s">
        <v>552</v>
      </c>
      <c r="G466" s="21">
        <v>0</v>
      </c>
      <c r="H466" s="21">
        <v>0</v>
      </c>
      <c r="I466" s="21">
        <v>0</v>
      </c>
      <c r="J466" s="21">
        <v>-0.01</v>
      </c>
      <c r="K466" s="21">
        <v>0</v>
      </c>
      <c r="L466" s="21">
        <v>-0.01</v>
      </c>
    </row>
    <row r="467" spans="1:12" ht="30" x14ac:dyDescent="0.25">
      <c r="A467" s="10">
        <v>462</v>
      </c>
      <c r="B467" t="s">
        <v>550</v>
      </c>
      <c r="C467" t="s">
        <v>13</v>
      </c>
      <c r="D467" t="s">
        <v>133</v>
      </c>
      <c r="E467" s="52" t="s">
        <v>134</v>
      </c>
      <c r="F467" t="s">
        <v>552</v>
      </c>
      <c r="G467" s="21">
        <v>0</v>
      </c>
      <c r="H467" s="21">
        <v>0</v>
      </c>
      <c r="I467" s="21">
        <v>0</v>
      </c>
      <c r="J467" s="21">
        <v>-0.01</v>
      </c>
      <c r="K467" s="21">
        <v>0</v>
      </c>
      <c r="L467" s="21">
        <v>-0.01</v>
      </c>
    </row>
    <row r="468" spans="1:12" ht="30" x14ac:dyDescent="0.25">
      <c r="A468" s="10">
        <v>463</v>
      </c>
      <c r="B468" t="s">
        <v>555</v>
      </c>
      <c r="C468" t="s">
        <v>17</v>
      </c>
      <c r="D468" t="s">
        <v>135</v>
      </c>
      <c r="E468" s="52" t="s">
        <v>136</v>
      </c>
      <c r="F468" t="s">
        <v>556</v>
      </c>
      <c r="G468" s="21">
        <v>-77.19</v>
      </c>
      <c r="H468" s="21">
        <v>0</v>
      </c>
      <c r="I468" s="21">
        <v>0</v>
      </c>
      <c r="J468" s="21">
        <v>0</v>
      </c>
      <c r="K468" s="21">
        <v>1.54</v>
      </c>
      <c r="L468" s="21">
        <v>-75.650000000000006</v>
      </c>
    </row>
    <row r="469" spans="1:12" ht="30" x14ac:dyDescent="0.25">
      <c r="A469" s="10">
        <v>464</v>
      </c>
      <c r="B469" t="s">
        <v>555</v>
      </c>
      <c r="C469" t="s">
        <v>13</v>
      </c>
      <c r="D469" t="s">
        <v>135</v>
      </c>
      <c r="E469" s="52" t="s">
        <v>136</v>
      </c>
      <c r="F469" t="s">
        <v>556</v>
      </c>
      <c r="G469" s="21">
        <v>0</v>
      </c>
      <c r="H469" s="21">
        <v>0</v>
      </c>
      <c r="I469" s="21">
        <v>0</v>
      </c>
      <c r="J469" s="21">
        <v>-9.26</v>
      </c>
      <c r="K469" s="21">
        <v>0</v>
      </c>
      <c r="L469" s="21">
        <v>-9.26</v>
      </c>
    </row>
    <row r="470" spans="1:12" ht="30" x14ac:dyDescent="0.25">
      <c r="A470" s="10">
        <v>465</v>
      </c>
      <c r="B470" t="s">
        <v>557</v>
      </c>
      <c r="C470" t="s">
        <v>17</v>
      </c>
      <c r="D470" t="s">
        <v>135</v>
      </c>
      <c r="E470" s="52" t="s">
        <v>136</v>
      </c>
      <c r="F470" t="s">
        <v>558</v>
      </c>
      <c r="G470" s="21">
        <v>-45.82</v>
      </c>
      <c r="H470" s="21">
        <v>0</v>
      </c>
      <c r="I470" s="21">
        <v>0</v>
      </c>
      <c r="J470" s="21">
        <v>0</v>
      </c>
      <c r="K470" s="21">
        <v>0.92</v>
      </c>
      <c r="L470" s="21">
        <v>-44.9</v>
      </c>
    </row>
    <row r="471" spans="1:12" ht="30" x14ac:dyDescent="0.25">
      <c r="A471" s="10">
        <v>466</v>
      </c>
      <c r="B471" t="s">
        <v>557</v>
      </c>
      <c r="C471" t="s">
        <v>13</v>
      </c>
      <c r="D471" t="s">
        <v>135</v>
      </c>
      <c r="E471" s="52" t="s">
        <v>136</v>
      </c>
      <c r="F471" t="s">
        <v>558</v>
      </c>
      <c r="G471" s="21">
        <v>0</v>
      </c>
      <c r="H471" s="21">
        <v>0</v>
      </c>
      <c r="I471" s="21">
        <v>0</v>
      </c>
      <c r="J471" s="21">
        <v>-5.5</v>
      </c>
      <c r="K471" s="21">
        <v>0</v>
      </c>
      <c r="L471" s="21">
        <v>-5.5</v>
      </c>
    </row>
    <row r="472" spans="1:12" ht="30" x14ac:dyDescent="0.25">
      <c r="A472" s="10">
        <v>467</v>
      </c>
      <c r="B472" t="s">
        <v>550</v>
      </c>
      <c r="C472" t="s">
        <v>17</v>
      </c>
      <c r="D472" t="s">
        <v>135</v>
      </c>
      <c r="E472" s="52" t="s">
        <v>136</v>
      </c>
      <c r="F472" t="s">
        <v>551</v>
      </c>
      <c r="G472" s="21">
        <v>-4119.24</v>
      </c>
      <c r="H472" s="21">
        <v>0</v>
      </c>
      <c r="I472" s="21">
        <v>0</v>
      </c>
      <c r="J472" s="21">
        <v>0</v>
      </c>
      <c r="K472" s="21">
        <v>82.38</v>
      </c>
      <c r="L472" s="21">
        <v>-4036.86</v>
      </c>
    </row>
    <row r="473" spans="1:12" ht="30" x14ac:dyDescent="0.25">
      <c r="A473" s="10">
        <v>468</v>
      </c>
      <c r="B473" t="s">
        <v>550</v>
      </c>
      <c r="C473" t="s">
        <v>17</v>
      </c>
      <c r="D473" t="s">
        <v>135</v>
      </c>
      <c r="E473" s="52" t="s">
        <v>136</v>
      </c>
      <c r="F473" t="s">
        <v>551</v>
      </c>
      <c r="G473" s="21">
        <v>-523.94000000000005</v>
      </c>
      <c r="H473" s="21">
        <v>0</v>
      </c>
      <c r="I473" s="21">
        <v>0</v>
      </c>
      <c r="J473" s="21">
        <v>0</v>
      </c>
      <c r="K473" s="21">
        <v>10.48</v>
      </c>
      <c r="L473" s="21">
        <v>-513.46</v>
      </c>
    </row>
    <row r="474" spans="1:12" ht="30" x14ac:dyDescent="0.25">
      <c r="A474" s="10">
        <v>469</v>
      </c>
      <c r="B474" t="s">
        <v>550</v>
      </c>
      <c r="C474" t="s">
        <v>13</v>
      </c>
      <c r="D474" t="s">
        <v>135</v>
      </c>
      <c r="E474" s="52" t="s">
        <v>136</v>
      </c>
      <c r="F474" t="s">
        <v>551</v>
      </c>
      <c r="G474" s="21">
        <v>0</v>
      </c>
      <c r="H474" s="21">
        <v>0</v>
      </c>
      <c r="I474" s="21">
        <v>0</v>
      </c>
      <c r="J474" s="21">
        <v>-494.31</v>
      </c>
      <c r="K474" s="21">
        <v>0</v>
      </c>
      <c r="L474" s="21">
        <v>-494.31</v>
      </c>
    </row>
    <row r="475" spans="1:12" ht="30" x14ac:dyDescent="0.25">
      <c r="A475" s="10">
        <v>470</v>
      </c>
      <c r="B475" t="s">
        <v>550</v>
      </c>
      <c r="C475" t="s">
        <v>13</v>
      </c>
      <c r="D475" t="s">
        <v>135</v>
      </c>
      <c r="E475" s="52" t="s">
        <v>136</v>
      </c>
      <c r="F475" t="s">
        <v>551</v>
      </c>
      <c r="G475" s="21">
        <v>0</v>
      </c>
      <c r="H475" s="21">
        <v>0</v>
      </c>
      <c r="I475" s="21">
        <v>0</v>
      </c>
      <c r="J475" s="21">
        <v>-62.87</v>
      </c>
      <c r="K475" s="21">
        <v>0</v>
      </c>
      <c r="L475" s="21">
        <v>-62.87</v>
      </c>
    </row>
    <row r="476" spans="1:12" ht="30" x14ac:dyDescent="0.25">
      <c r="A476" s="10">
        <v>471</v>
      </c>
      <c r="B476" t="s">
        <v>550</v>
      </c>
      <c r="C476" t="s">
        <v>17</v>
      </c>
      <c r="D476" t="s">
        <v>135</v>
      </c>
      <c r="E476" s="52" t="s">
        <v>136</v>
      </c>
      <c r="F476" t="s">
        <v>552</v>
      </c>
      <c r="G476" s="21">
        <v>-0.3</v>
      </c>
      <c r="H476" s="21">
        <v>0</v>
      </c>
      <c r="I476" s="21">
        <v>0</v>
      </c>
      <c r="J476" s="21">
        <v>0</v>
      </c>
      <c r="K476" s="21">
        <v>0.01</v>
      </c>
      <c r="L476" s="21">
        <v>-0.28999999999999998</v>
      </c>
    </row>
    <row r="477" spans="1:12" ht="30" x14ac:dyDescent="0.25">
      <c r="A477" s="10">
        <v>472</v>
      </c>
      <c r="B477" t="s">
        <v>550</v>
      </c>
      <c r="C477" t="s">
        <v>17</v>
      </c>
      <c r="D477" t="s">
        <v>135</v>
      </c>
      <c r="E477" s="52" t="s">
        <v>136</v>
      </c>
      <c r="F477" t="s">
        <v>552</v>
      </c>
      <c r="G477" s="21">
        <v>-0.04</v>
      </c>
      <c r="H477" s="21">
        <v>0</v>
      </c>
      <c r="I477" s="21">
        <v>0</v>
      </c>
      <c r="J477" s="21">
        <v>0</v>
      </c>
      <c r="K477" s="21">
        <v>0</v>
      </c>
      <c r="L477" s="21">
        <v>-0.04</v>
      </c>
    </row>
    <row r="478" spans="1:12" ht="30" x14ac:dyDescent="0.25">
      <c r="A478" s="10">
        <v>473</v>
      </c>
      <c r="B478" t="s">
        <v>550</v>
      </c>
      <c r="C478" t="s">
        <v>13</v>
      </c>
      <c r="D478" t="s">
        <v>135</v>
      </c>
      <c r="E478" s="52" t="s">
        <v>136</v>
      </c>
      <c r="F478" t="s">
        <v>552</v>
      </c>
      <c r="G478" s="21">
        <v>0</v>
      </c>
      <c r="H478" s="21">
        <v>0</v>
      </c>
      <c r="I478" s="21">
        <v>0</v>
      </c>
      <c r="J478" s="21">
        <v>-0.04</v>
      </c>
      <c r="K478" s="21">
        <v>0</v>
      </c>
      <c r="L478" s="21">
        <v>-0.04</v>
      </c>
    </row>
    <row r="479" spans="1:12" ht="30" x14ac:dyDescent="0.25">
      <c r="A479" s="10">
        <v>474</v>
      </c>
      <c r="B479" t="s">
        <v>550</v>
      </c>
      <c r="C479" t="s">
        <v>13</v>
      </c>
      <c r="D479" t="s">
        <v>135</v>
      </c>
      <c r="E479" s="52" t="s">
        <v>136</v>
      </c>
      <c r="F479" t="s">
        <v>552</v>
      </c>
      <c r="G479" s="21">
        <v>0</v>
      </c>
      <c r="H479" s="21">
        <v>0</v>
      </c>
      <c r="I479" s="21">
        <v>0</v>
      </c>
      <c r="J479" s="21">
        <v>0</v>
      </c>
      <c r="K479" s="21">
        <v>0</v>
      </c>
      <c r="L479" s="21">
        <v>0</v>
      </c>
    </row>
    <row r="480" spans="1:12" x14ac:dyDescent="0.25">
      <c r="A480" s="10">
        <v>475</v>
      </c>
      <c r="B480" t="s">
        <v>18</v>
      </c>
      <c r="C480" t="s">
        <v>17</v>
      </c>
      <c r="D480" t="s">
        <v>137</v>
      </c>
      <c r="E480" s="52" t="s">
        <v>138</v>
      </c>
      <c r="F480" t="s">
        <v>19</v>
      </c>
      <c r="G480" s="21">
        <v>-0.02</v>
      </c>
      <c r="H480" s="21">
        <v>0</v>
      </c>
      <c r="I480" s="21">
        <v>0</v>
      </c>
      <c r="J480" s="21">
        <v>0</v>
      </c>
      <c r="K480" s="21">
        <v>0.02</v>
      </c>
      <c r="L480" s="21">
        <v>0</v>
      </c>
    </row>
    <row r="481" spans="1:12" x14ac:dyDescent="0.25">
      <c r="A481" s="10">
        <v>476</v>
      </c>
      <c r="B481" t="s">
        <v>550</v>
      </c>
      <c r="C481" t="s">
        <v>17</v>
      </c>
      <c r="D481" t="s">
        <v>137</v>
      </c>
      <c r="E481" s="52" t="s">
        <v>138</v>
      </c>
      <c r="F481" t="s">
        <v>551</v>
      </c>
      <c r="G481" s="21">
        <v>-502.98</v>
      </c>
      <c r="H481" s="21">
        <v>0</v>
      </c>
      <c r="I481" s="21">
        <v>0</v>
      </c>
      <c r="J481" s="21">
        <v>0</v>
      </c>
      <c r="K481" s="21">
        <v>10.06</v>
      </c>
      <c r="L481" s="21">
        <v>-492.92</v>
      </c>
    </row>
    <row r="482" spans="1:12" x14ac:dyDescent="0.25">
      <c r="A482" s="10">
        <v>477</v>
      </c>
      <c r="B482" t="s">
        <v>550</v>
      </c>
      <c r="C482" t="s">
        <v>17</v>
      </c>
      <c r="D482" t="s">
        <v>137</v>
      </c>
      <c r="E482" s="52" t="s">
        <v>138</v>
      </c>
      <c r="F482" t="s">
        <v>551</v>
      </c>
      <c r="G482" s="21">
        <v>-429.41</v>
      </c>
      <c r="H482" s="21">
        <v>0</v>
      </c>
      <c r="I482" s="21">
        <v>0</v>
      </c>
      <c r="J482" s="21">
        <v>0</v>
      </c>
      <c r="K482" s="21">
        <v>8.59</v>
      </c>
      <c r="L482" s="21">
        <v>-420.82</v>
      </c>
    </row>
    <row r="483" spans="1:12" x14ac:dyDescent="0.25">
      <c r="A483" s="10">
        <v>478</v>
      </c>
      <c r="B483" t="s">
        <v>550</v>
      </c>
      <c r="C483" t="s">
        <v>13</v>
      </c>
      <c r="D483" t="s">
        <v>137</v>
      </c>
      <c r="E483" s="52" t="s">
        <v>138</v>
      </c>
      <c r="F483" t="s">
        <v>551</v>
      </c>
      <c r="G483" s="21">
        <v>0</v>
      </c>
      <c r="H483" s="21">
        <v>0</v>
      </c>
      <c r="I483" s="21">
        <v>0</v>
      </c>
      <c r="J483" s="21">
        <v>-60.36</v>
      </c>
      <c r="K483" s="21">
        <v>0</v>
      </c>
      <c r="L483" s="21">
        <v>-60.36</v>
      </c>
    </row>
    <row r="484" spans="1:12" x14ac:dyDescent="0.25">
      <c r="A484" s="10">
        <v>479</v>
      </c>
      <c r="B484" t="s">
        <v>550</v>
      </c>
      <c r="C484" t="s">
        <v>13</v>
      </c>
      <c r="D484" t="s">
        <v>137</v>
      </c>
      <c r="E484" s="52" t="s">
        <v>138</v>
      </c>
      <c r="F484" t="s">
        <v>551</v>
      </c>
      <c r="G484" s="21">
        <v>0</v>
      </c>
      <c r="H484" s="21">
        <v>0</v>
      </c>
      <c r="I484" s="21">
        <v>0</v>
      </c>
      <c r="J484" s="21">
        <v>-51.53</v>
      </c>
      <c r="K484" s="21">
        <v>0</v>
      </c>
      <c r="L484" s="21">
        <v>-51.53</v>
      </c>
    </row>
    <row r="485" spans="1:12" x14ac:dyDescent="0.25">
      <c r="A485" s="10">
        <v>480</v>
      </c>
      <c r="B485" t="s">
        <v>550</v>
      </c>
      <c r="C485" t="s">
        <v>17</v>
      </c>
      <c r="D485" t="s">
        <v>137</v>
      </c>
      <c r="E485" s="52" t="s">
        <v>138</v>
      </c>
      <c r="F485" t="s">
        <v>552</v>
      </c>
      <c r="G485" s="21">
        <v>-0.04</v>
      </c>
      <c r="H485" s="21">
        <v>0</v>
      </c>
      <c r="I485" s="21">
        <v>0</v>
      </c>
      <c r="J485" s="21">
        <v>0</v>
      </c>
      <c r="K485" s="21">
        <v>0</v>
      </c>
      <c r="L485" s="21">
        <v>-0.04</v>
      </c>
    </row>
    <row r="486" spans="1:12" x14ac:dyDescent="0.25">
      <c r="A486" s="10">
        <v>481</v>
      </c>
      <c r="B486" t="s">
        <v>550</v>
      </c>
      <c r="C486" t="s">
        <v>17</v>
      </c>
      <c r="D486" t="s">
        <v>137</v>
      </c>
      <c r="E486" s="52" t="s">
        <v>138</v>
      </c>
      <c r="F486" t="s">
        <v>552</v>
      </c>
      <c r="G486" s="21">
        <v>-0.03</v>
      </c>
      <c r="H486" s="21">
        <v>0</v>
      </c>
      <c r="I486" s="21">
        <v>0</v>
      </c>
      <c r="J486" s="21">
        <v>0</v>
      </c>
      <c r="K486" s="21">
        <v>0</v>
      </c>
      <c r="L486" s="21">
        <v>-0.03</v>
      </c>
    </row>
    <row r="487" spans="1:12" x14ac:dyDescent="0.25">
      <c r="A487" s="10">
        <v>482</v>
      </c>
      <c r="B487" t="s">
        <v>550</v>
      </c>
      <c r="C487" t="s">
        <v>13</v>
      </c>
      <c r="D487" t="s">
        <v>137</v>
      </c>
      <c r="E487" s="52" t="s">
        <v>138</v>
      </c>
      <c r="F487" t="s">
        <v>552</v>
      </c>
      <c r="G487" s="21">
        <v>0</v>
      </c>
      <c r="H487" s="21">
        <v>0</v>
      </c>
      <c r="I487" s="21">
        <v>0</v>
      </c>
      <c r="J487" s="21">
        <v>0</v>
      </c>
      <c r="K487" s="21">
        <v>0</v>
      </c>
      <c r="L487" s="21">
        <v>0</v>
      </c>
    </row>
    <row r="488" spans="1:12" x14ac:dyDescent="0.25">
      <c r="A488" s="10">
        <v>483</v>
      </c>
      <c r="B488" t="s">
        <v>550</v>
      </c>
      <c r="C488" t="s">
        <v>13</v>
      </c>
      <c r="D488" t="s">
        <v>137</v>
      </c>
      <c r="E488" s="52" t="s">
        <v>138</v>
      </c>
      <c r="F488" t="s">
        <v>552</v>
      </c>
      <c r="G488" s="21">
        <v>0</v>
      </c>
      <c r="H488" s="21">
        <v>0</v>
      </c>
      <c r="I488" s="21">
        <v>0</v>
      </c>
      <c r="J488" s="21">
        <v>0</v>
      </c>
      <c r="K488" s="21">
        <v>0</v>
      </c>
      <c r="L488" s="21">
        <v>0</v>
      </c>
    </row>
    <row r="489" spans="1:12" x14ac:dyDescent="0.25">
      <c r="A489" s="10">
        <v>484</v>
      </c>
      <c r="B489" t="s">
        <v>555</v>
      </c>
      <c r="C489" t="s">
        <v>17</v>
      </c>
      <c r="D489" t="s">
        <v>139</v>
      </c>
      <c r="E489" s="52" t="s">
        <v>140</v>
      </c>
      <c r="F489" t="s">
        <v>556</v>
      </c>
      <c r="G489" s="21">
        <v>-48.06</v>
      </c>
      <c r="H489" s="21">
        <v>0</v>
      </c>
      <c r="I489" s="21">
        <v>0</v>
      </c>
      <c r="J489" s="21">
        <v>0</v>
      </c>
      <c r="K489" s="21">
        <v>0.96</v>
      </c>
      <c r="L489" s="21">
        <v>-47.1</v>
      </c>
    </row>
    <row r="490" spans="1:12" x14ac:dyDescent="0.25">
      <c r="A490" s="10">
        <v>485</v>
      </c>
      <c r="B490" t="s">
        <v>555</v>
      </c>
      <c r="C490" t="s">
        <v>13</v>
      </c>
      <c r="D490" t="s">
        <v>139</v>
      </c>
      <c r="E490" s="52" t="s">
        <v>140</v>
      </c>
      <c r="F490" t="s">
        <v>556</v>
      </c>
      <c r="G490" s="21">
        <v>0</v>
      </c>
      <c r="H490" s="21">
        <v>0</v>
      </c>
      <c r="I490" s="21">
        <v>0</v>
      </c>
      <c r="J490" s="21">
        <v>-5.77</v>
      </c>
      <c r="K490" s="21">
        <v>0</v>
      </c>
      <c r="L490" s="21">
        <v>-5.77</v>
      </c>
    </row>
    <row r="491" spans="1:12" x14ac:dyDescent="0.25">
      <c r="A491" s="10">
        <v>486</v>
      </c>
      <c r="B491" t="s">
        <v>557</v>
      </c>
      <c r="C491" t="s">
        <v>17</v>
      </c>
      <c r="D491" t="s">
        <v>139</v>
      </c>
      <c r="E491" s="52" t="s">
        <v>140</v>
      </c>
      <c r="F491" t="s">
        <v>558</v>
      </c>
      <c r="G491" s="21">
        <v>-21.08</v>
      </c>
      <c r="H491" s="21">
        <v>0</v>
      </c>
      <c r="I491" s="21">
        <v>0</v>
      </c>
      <c r="J491" s="21">
        <v>0</v>
      </c>
      <c r="K491" s="21">
        <v>0.42</v>
      </c>
      <c r="L491" s="21">
        <v>-20.66</v>
      </c>
    </row>
    <row r="492" spans="1:12" x14ac:dyDescent="0.25">
      <c r="A492" s="10">
        <v>487</v>
      </c>
      <c r="B492" t="s">
        <v>557</v>
      </c>
      <c r="C492" t="s">
        <v>13</v>
      </c>
      <c r="D492" t="s">
        <v>139</v>
      </c>
      <c r="E492" s="52" t="s">
        <v>140</v>
      </c>
      <c r="F492" t="s">
        <v>558</v>
      </c>
      <c r="G492" s="21">
        <v>0</v>
      </c>
      <c r="H492" s="21">
        <v>0</v>
      </c>
      <c r="I492" s="21">
        <v>0</v>
      </c>
      <c r="J492" s="21">
        <v>-2.5299999999999998</v>
      </c>
      <c r="K492" s="21">
        <v>0</v>
      </c>
      <c r="L492" s="21">
        <v>-2.5299999999999998</v>
      </c>
    </row>
    <row r="493" spans="1:12" x14ac:dyDescent="0.25">
      <c r="A493" s="10">
        <v>488</v>
      </c>
      <c r="B493" t="s">
        <v>559</v>
      </c>
      <c r="C493" t="s">
        <v>17</v>
      </c>
      <c r="D493" t="s">
        <v>139</v>
      </c>
      <c r="E493" s="52" t="s">
        <v>140</v>
      </c>
      <c r="F493" t="s">
        <v>560</v>
      </c>
      <c r="G493" s="21">
        <v>-1.1100000000000001</v>
      </c>
      <c r="H493" s="21">
        <v>0</v>
      </c>
      <c r="I493" s="21">
        <v>0</v>
      </c>
      <c r="J493" s="21">
        <v>0</v>
      </c>
      <c r="K493" s="21">
        <v>0.02</v>
      </c>
      <c r="L493" s="21">
        <v>-1.0900000000000001</v>
      </c>
    </row>
    <row r="494" spans="1:12" x14ac:dyDescent="0.25">
      <c r="A494" s="10">
        <v>489</v>
      </c>
      <c r="B494" t="s">
        <v>559</v>
      </c>
      <c r="C494" t="s">
        <v>13</v>
      </c>
      <c r="D494" t="s">
        <v>139</v>
      </c>
      <c r="E494" s="52" t="s">
        <v>140</v>
      </c>
      <c r="F494" t="s">
        <v>560</v>
      </c>
      <c r="G494" s="21">
        <v>0</v>
      </c>
      <c r="H494" s="21">
        <v>0</v>
      </c>
      <c r="I494" s="21">
        <v>0</v>
      </c>
      <c r="J494" s="21">
        <v>-0.13</v>
      </c>
      <c r="K494" s="21">
        <v>0</v>
      </c>
      <c r="L494" s="21">
        <v>-0.13</v>
      </c>
    </row>
    <row r="495" spans="1:12" x14ac:dyDescent="0.25">
      <c r="A495" s="10">
        <v>490</v>
      </c>
      <c r="B495" t="s">
        <v>18</v>
      </c>
      <c r="C495" t="s">
        <v>17</v>
      </c>
      <c r="D495" t="s">
        <v>139</v>
      </c>
      <c r="E495" s="52" t="s">
        <v>140</v>
      </c>
      <c r="F495" t="s">
        <v>19</v>
      </c>
      <c r="G495" s="21">
        <v>0</v>
      </c>
      <c r="H495" s="21">
        <v>0</v>
      </c>
      <c r="I495" s="21">
        <v>-1.39</v>
      </c>
      <c r="J495" s="21">
        <v>0</v>
      </c>
      <c r="K495" s="21">
        <v>0.16</v>
      </c>
      <c r="L495" s="21">
        <v>-1.23</v>
      </c>
    </row>
    <row r="496" spans="1:12" x14ac:dyDescent="0.25">
      <c r="A496" s="10">
        <v>491</v>
      </c>
      <c r="B496" t="s">
        <v>18</v>
      </c>
      <c r="C496" t="s">
        <v>17</v>
      </c>
      <c r="D496" t="s">
        <v>139</v>
      </c>
      <c r="E496" s="52" t="s">
        <v>140</v>
      </c>
      <c r="F496" t="s">
        <v>19</v>
      </c>
      <c r="G496" s="21">
        <v>-0.44</v>
      </c>
      <c r="H496" s="21">
        <v>0</v>
      </c>
      <c r="I496" s="21">
        <v>0</v>
      </c>
      <c r="J496" s="21">
        <v>0</v>
      </c>
      <c r="K496" s="21">
        <v>0.39</v>
      </c>
      <c r="L496" s="21">
        <v>-0.05</v>
      </c>
    </row>
    <row r="497" spans="1:12" x14ac:dyDescent="0.25">
      <c r="A497" s="10">
        <v>492</v>
      </c>
      <c r="B497" t="s">
        <v>550</v>
      </c>
      <c r="C497" t="s">
        <v>17</v>
      </c>
      <c r="D497" t="s">
        <v>139</v>
      </c>
      <c r="E497" s="52" t="s">
        <v>140</v>
      </c>
      <c r="F497" t="s">
        <v>551</v>
      </c>
      <c r="G497" s="21">
        <v>-576.21</v>
      </c>
      <c r="H497" s="21">
        <v>0</v>
      </c>
      <c r="I497" s="21">
        <v>0</v>
      </c>
      <c r="J497" s="21">
        <v>0</v>
      </c>
      <c r="K497" s="21">
        <v>11.52</v>
      </c>
      <c r="L497" s="21">
        <v>-564.69000000000005</v>
      </c>
    </row>
    <row r="498" spans="1:12" x14ac:dyDescent="0.25">
      <c r="A498" s="10">
        <v>493</v>
      </c>
      <c r="B498" t="s">
        <v>550</v>
      </c>
      <c r="C498" t="s">
        <v>17</v>
      </c>
      <c r="D498" t="s">
        <v>139</v>
      </c>
      <c r="E498" s="52" t="s">
        <v>140</v>
      </c>
      <c r="F498" t="s">
        <v>551</v>
      </c>
      <c r="G498" s="21">
        <v>0</v>
      </c>
      <c r="H498" s="21">
        <v>0</v>
      </c>
      <c r="I498" s="21">
        <v>-3632.12</v>
      </c>
      <c r="J498" s="21">
        <v>0</v>
      </c>
      <c r="K498" s="21">
        <v>72.64</v>
      </c>
      <c r="L498" s="21">
        <v>-3559.48</v>
      </c>
    </row>
    <row r="499" spans="1:12" x14ac:dyDescent="0.25">
      <c r="A499" s="10">
        <v>494</v>
      </c>
      <c r="B499" t="s">
        <v>550</v>
      </c>
      <c r="C499" t="s">
        <v>17</v>
      </c>
      <c r="D499" t="s">
        <v>139</v>
      </c>
      <c r="E499" s="52" t="s">
        <v>140</v>
      </c>
      <c r="F499" t="s">
        <v>551</v>
      </c>
      <c r="G499" s="21">
        <v>-176.74</v>
      </c>
      <c r="H499" s="21">
        <v>0</v>
      </c>
      <c r="I499" s="21">
        <v>0</v>
      </c>
      <c r="J499" s="21">
        <v>0</v>
      </c>
      <c r="K499" s="21">
        <v>3.53</v>
      </c>
      <c r="L499" s="21">
        <v>-173.21</v>
      </c>
    </row>
    <row r="500" spans="1:12" x14ac:dyDescent="0.25">
      <c r="A500" s="10">
        <v>495</v>
      </c>
      <c r="B500" t="s">
        <v>550</v>
      </c>
      <c r="C500" t="s">
        <v>13</v>
      </c>
      <c r="D500" t="s">
        <v>139</v>
      </c>
      <c r="E500" s="52" t="s">
        <v>140</v>
      </c>
      <c r="F500" t="s">
        <v>551</v>
      </c>
      <c r="G500" s="21">
        <v>0</v>
      </c>
      <c r="H500" s="21">
        <v>0</v>
      </c>
      <c r="I500" s="21">
        <v>0</v>
      </c>
      <c r="J500" s="21">
        <v>-69.150000000000006</v>
      </c>
      <c r="K500" s="21">
        <v>0</v>
      </c>
      <c r="L500" s="21">
        <v>-69.150000000000006</v>
      </c>
    </row>
    <row r="501" spans="1:12" x14ac:dyDescent="0.25">
      <c r="A501" s="10">
        <v>496</v>
      </c>
      <c r="B501" t="s">
        <v>550</v>
      </c>
      <c r="C501" t="s">
        <v>13</v>
      </c>
      <c r="D501" t="s">
        <v>139</v>
      </c>
      <c r="E501" s="52" t="s">
        <v>140</v>
      </c>
      <c r="F501" t="s">
        <v>551</v>
      </c>
      <c r="G501" s="21">
        <v>0</v>
      </c>
      <c r="H501" s="21">
        <v>0</v>
      </c>
      <c r="I501" s="21">
        <v>0</v>
      </c>
      <c r="J501" s="21">
        <v>-21.21</v>
      </c>
      <c r="K501" s="21">
        <v>0</v>
      </c>
      <c r="L501" s="21">
        <v>-21.21</v>
      </c>
    </row>
    <row r="502" spans="1:12" x14ac:dyDescent="0.25">
      <c r="A502" s="10">
        <v>497</v>
      </c>
      <c r="B502" t="s">
        <v>550</v>
      </c>
      <c r="C502" t="s">
        <v>17</v>
      </c>
      <c r="D502" t="s">
        <v>139</v>
      </c>
      <c r="E502" s="52" t="s">
        <v>140</v>
      </c>
      <c r="F502" t="s">
        <v>552</v>
      </c>
      <c r="G502" s="21">
        <v>-0.04</v>
      </c>
      <c r="H502" s="21">
        <v>0</v>
      </c>
      <c r="I502" s="21">
        <v>0</v>
      </c>
      <c r="J502" s="21">
        <v>0</v>
      </c>
      <c r="K502" s="21">
        <v>0</v>
      </c>
      <c r="L502" s="21">
        <v>-0.04</v>
      </c>
    </row>
    <row r="503" spans="1:12" x14ac:dyDescent="0.25">
      <c r="A503" s="10">
        <v>498</v>
      </c>
      <c r="B503" t="s">
        <v>550</v>
      </c>
      <c r="C503" t="s">
        <v>17</v>
      </c>
      <c r="D503" t="s">
        <v>139</v>
      </c>
      <c r="E503" s="52" t="s">
        <v>140</v>
      </c>
      <c r="F503" t="s">
        <v>552</v>
      </c>
      <c r="G503" s="21">
        <v>0</v>
      </c>
      <c r="H503" s="21">
        <v>0</v>
      </c>
      <c r="I503" s="21">
        <v>-0.26</v>
      </c>
      <c r="J503" s="21">
        <v>0</v>
      </c>
      <c r="K503" s="21">
        <v>0.01</v>
      </c>
      <c r="L503" s="21">
        <v>-0.25</v>
      </c>
    </row>
    <row r="504" spans="1:12" x14ac:dyDescent="0.25">
      <c r="A504" s="10">
        <v>499</v>
      </c>
      <c r="B504" t="s">
        <v>550</v>
      </c>
      <c r="C504" t="s">
        <v>17</v>
      </c>
      <c r="D504" t="s">
        <v>139</v>
      </c>
      <c r="E504" s="52" t="s">
        <v>140</v>
      </c>
      <c r="F504" t="s">
        <v>552</v>
      </c>
      <c r="G504" s="21">
        <v>-0.01</v>
      </c>
      <c r="H504" s="21">
        <v>0</v>
      </c>
      <c r="I504" s="21">
        <v>0</v>
      </c>
      <c r="J504" s="21">
        <v>0</v>
      </c>
      <c r="K504" s="21">
        <v>0</v>
      </c>
      <c r="L504" s="21">
        <v>-0.01</v>
      </c>
    </row>
    <row r="505" spans="1:12" x14ac:dyDescent="0.25">
      <c r="A505" s="10">
        <v>500</v>
      </c>
      <c r="B505" t="s">
        <v>550</v>
      </c>
      <c r="C505" t="s">
        <v>13</v>
      </c>
      <c r="D505" t="s">
        <v>139</v>
      </c>
      <c r="E505" s="52" t="s">
        <v>140</v>
      </c>
      <c r="F505" t="s">
        <v>552</v>
      </c>
      <c r="G505" s="21">
        <v>0</v>
      </c>
      <c r="H505" s="21">
        <v>0</v>
      </c>
      <c r="I505" s="21">
        <v>0</v>
      </c>
      <c r="J505" s="21">
        <v>0</v>
      </c>
      <c r="K505" s="21">
        <v>0</v>
      </c>
      <c r="L505" s="21">
        <v>0</v>
      </c>
    </row>
    <row r="506" spans="1:12" x14ac:dyDescent="0.25">
      <c r="A506" s="10">
        <v>501</v>
      </c>
      <c r="B506" t="s">
        <v>550</v>
      </c>
      <c r="C506" t="s">
        <v>13</v>
      </c>
      <c r="D506" t="s">
        <v>139</v>
      </c>
      <c r="E506" s="52" t="s">
        <v>140</v>
      </c>
      <c r="F506" t="s">
        <v>552</v>
      </c>
      <c r="G506" s="21">
        <v>0</v>
      </c>
      <c r="H506" s="21">
        <v>0</v>
      </c>
      <c r="I506" s="21">
        <v>0</v>
      </c>
      <c r="J506" s="21">
        <v>0</v>
      </c>
      <c r="K506" s="21">
        <v>0</v>
      </c>
      <c r="L506" s="21">
        <v>0</v>
      </c>
    </row>
    <row r="507" spans="1:12" ht="30" x14ac:dyDescent="0.25">
      <c r="A507" s="10">
        <v>502</v>
      </c>
      <c r="B507" t="s">
        <v>557</v>
      </c>
      <c r="C507" t="s">
        <v>17</v>
      </c>
      <c r="D507" t="s">
        <v>141</v>
      </c>
      <c r="E507" s="52" t="s">
        <v>142</v>
      </c>
      <c r="F507" t="s">
        <v>558</v>
      </c>
      <c r="G507" s="21">
        <v>-4.88</v>
      </c>
      <c r="H507" s="21">
        <v>0</v>
      </c>
      <c r="I507" s="21">
        <v>0</v>
      </c>
      <c r="J507" s="21">
        <v>0</v>
      </c>
      <c r="K507" s="21">
        <v>0.1</v>
      </c>
      <c r="L507" s="21">
        <v>-4.78</v>
      </c>
    </row>
    <row r="508" spans="1:12" ht="30" x14ac:dyDescent="0.25">
      <c r="A508" s="10">
        <v>503</v>
      </c>
      <c r="B508" t="s">
        <v>557</v>
      </c>
      <c r="C508" t="s">
        <v>13</v>
      </c>
      <c r="D508" t="s">
        <v>141</v>
      </c>
      <c r="E508" s="52" t="s">
        <v>142</v>
      </c>
      <c r="F508" t="s">
        <v>558</v>
      </c>
      <c r="G508" s="21">
        <v>0</v>
      </c>
      <c r="H508" s="21">
        <v>0</v>
      </c>
      <c r="I508" s="21">
        <v>0</v>
      </c>
      <c r="J508" s="21">
        <v>-0.59</v>
      </c>
      <c r="K508" s="21">
        <v>0</v>
      </c>
      <c r="L508" s="21">
        <v>-0.59</v>
      </c>
    </row>
    <row r="509" spans="1:12" ht="30" x14ac:dyDescent="0.25">
      <c r="A509" s="10">
        <v>504</v>
      </c>
      <c r="B509" t="s">
        <v>18</v>
      </c>
      <c r="C509" t="s">
        <v>17</v>
      </c>
      <c r="D509" t="s">
        <v>141</v>
      </c>
      <c r="E509" s="52" t="s">
        <v>142</v>
      </c>
      <c r="F509" t="s">
        <v>19</v>
      </c>
      <c r="G509" s="21">
        <v>-0.05</v>
      </c>
      <c r="H509" s="21">
        <v>0</v>
      </c>
      <c r="I509" s="21">
        <v>0</v>
      </c>
      <c r="J509" s="21">
        <v>0</v>
      </c>
      <c r="K509" s="21">
        <v>0.04</v>
      </c>
      <c r="L509" s="21">
        <v>-0.01</v>
      </c>
    </row>
    <row r="510" spans="1:12" ht="30" x14ac:dyDescent="0.25">
      <c r="A510" s="10">
        <v>505</v>
      </c>
      <c r="B510" t="s">
        <v>550</v>
      </c>
      <c r="C510" t="s">
        <v>17</v>
      </c>
      <c r="D510" t="s">
        <v>141</v>
      </c>
      <c r="E510" s="52" t="s">
        <v>142</v>
      </c>
      <c r="F510" t="s">
        <v>551</v>
      </c>
      <c r="G510" s="21">
        <v>-791.08</v>
      </c>
      <c r="H510" s="21">
        <v>0</v>
      </c>
      <c r="I510" s="21">
        <v>0</v>
      </c>
      <c r="J510" s="21">
        <v>0</v>
      </c>
      <c r="K510" s="21">
        <v>15.82</v>
      </c>
      <c r="L510" s="21">
        <v>-775.26</v>
      </c>
    </row>
    <row r="511" spans="1:12" ht="30" x14ac:dyDescent="0.25">
      <c r="A511" s="10">
        <v>506</v>
      </c>
      <c r="B511" t="s">
        <v>550</v>
      </c>
      <c r="C511" t="s">
        <v>13</v>
      </c>
      <c r="D511" t="s">
        <v>141</v>
      </c>
      <c r="E511" s="52" t="s">
        <v>142</v>
      </c>
      <c r="F511" t="s">
        <v>551</v>
      </c>
      <c r="G511" s="21">
        <v>0</v>
      </c>
      <c r="H511" s="21">
        <v>0</v>
      </c>
      <c r="I511" s="21">
        <v>0</v>
      </c>
      <c r="J511" s="21">
        <v>-94.93</v>
      </c>
      <c r="K511" s="21">
        <v>0</v>
      </c>
      <c r="L511" s="21">
        <v>-94.93</v>
      </c>
    </row>
    <row r="512" spans="1:12" ht="30" x14ac:dyDescent="0.25">
      <c r="A512" s="10">
        <v>507</v>
      </c>
      <c r="B512" t="s">
        <v>550</v>
      </c>
      <c r="C512" t="s">
        <v>17</v>
      </c>
      <c r="D512" t="s">
        <v>141</v>
      </c>
      <c r="E512" s="52" t="s">
        <v>142</v>
      </c>
      <c r="F512" t="s">
        <v>552</v>
      </c>
      <c r="G512" s="21">
        <v>-0.06</v>
      </c>
      <c r="H512" s="21">
        <v>0</v>
      </c>
      <c r="I512" s="21">
        <v>0</v>
      </c>
      <c r="J512" s="21">
        <v>0</v>
      </c>
      <c r="K512" s="21">
        <v>0</v>
      </c>
      <c r="L512" s="21">
        <v>-0.06</v>
      </c>
    </row>
    <row r="513" spans="1:12" ht="30" x14ac:dyDescent="0.25">
      <c r="A513" s="10">
        <v>508</v>
      </c>
      <c r="B513" t="s">
        <v>550</v>
      </c>
      <c r="C513" t="s">
        <v>13</v>
      </c>
      <c r="D513" t="s">
        <v>141</v>
      </c>
      <c r="E513" s="52" t="s">
        <v>142</v>
      </c>
      <c r="F513" t="s">
        <v>552</v>
      </c>
      <c r="G513" s="21">
        <v>0</v>
      </c>
      <c r="H513" s="21">
        <v>0</v>
      </c>
      <c r="I513" s="21">
        <v>0</v>
      </c>
      <c r="J513" s="21">
        <v>-0.01</v>
      </c>
      <c r="K513" s="21">
        <v>0</v>
      </c>
      <c r="L513" s="21">
        <v>-0.01</v>
      </c>
    </row>
    <row r="514" spans="1:12" ht="30" x14ac:dyDescent="0.25">
      <c r="A514" s="10">
        <v>509</v>
      </c>
      <c r="B514" t="s">
        <v>18</v>
      </c>
      <c r="C514" t="s">
        <v>17</v>
      </c>
      <c r="D514" t="s">
        <v>143</v>
      </c>
      <c r="E514" s="52" t="s">
        <v>144</v>
      </c>
      <c r="F514" t="s">
        <v>19</v>
      </c>
      <c r="G514" s="21">
        <v>-5.35</v>
      </c>
      <c r="H514" s="21">
        <v>0</v>
      </c>
      <c r="I514" s="21">
        <v>0</v>
      </c>
      <c r="J514" s="21">
        <v>0</v>
      </c>
      <c r="K514" s="21">
        <v>4.74</v>
      </c>
      <c r="L514" s="21">
        <v>-0.61</v>
      </c>
    </row>
    <row r="515" spans="1:12" ht="30" x14ac:dyDescent="0.25">
      <c r="A515" s="10">
        <v>510</v>
      </c>
      <c r="B515" t="s">
        <v>550</v>
      </c>
      <c r="C515" t="s">
        <v>17</v>
      </c>
      <c r="D515" t="s">
        <v>143</v>
      </c>
      <c r="E515" s="52" t="s">
        <v>144</v>
      </c>
      <c r="F515" t="s">
        <v>551</v>
      </c>
      <c r="G515" s="21">
        <v>-139328.16</v>
      </c>
      <c r="H515" s="21">
        <v>0</v>
      </c>
      <c r="I515" s="21">
        <v>0</v>
      </c>
      <c r="J515" s="21">
        <v>0</v>
      </c>
      <c r="K515" s="21">
        <v>2786.56</v>
      </c>
      <c r="L515" s="21">
        <v>-136541.6</v>
      </c>
    </row>
    <row r="516" spans="1:12" ht="30" x14ac:dyDescent="0.25">
      <c r="A516" s="10">
        <v>511</v>
      </c>
      <c r="B516" t="s">
        <v>550</v>
      </c>
      <c r="C516" t="s">
        <v>13</v>
      </c>
      <c r="D516" t="s">
        <v>143</v>
      </c>
      <c r="E516" s="52" t="s">
        <v>144</v>
      </c>
      <c r="F516" t="s">
        <v>551</v>
      </c>
      <c r="G516" s="21">
        <v>0</v>
      </c>
      <c r="H516" s="21">
        <v>0</v>
      </c>
      <c r="I516" s="21">
        <v>0</v>
      </c>
      <c r="J516" s="21">
        <v>-16719.38</v>
      </c>
      <c r="K516" s="21">
        <v>0</v>
      </c>
      <c r="L516" s="21">
        <v>-16719.38</v>
      </c>
    </row>
    <row r="517" spans="1:12" ht="30" x14ac:dyDescent="0.25">
      <c r="A517" s="10">
        <v>512</v>
      </c>
      <c r="B517" t="s">
        <v>550</v>
      </c>
      <c r="C517" t="s">
        <v>17</v>
      </c>
      <c r="D517" t="s">
        <v>143</v>
      </c>
      <c r="E517" s="52" t="s">
        <v>144</v>
      </c>
      <c r="F517" t="s">
        <v>552</v>
      </c>
      <c r="G517" s="21">
        <v>-10.02</v>
      </c>
      <c r="H517" s="21">
        <v>0</v>
      </c>
      <c r="I517" s="21">
        <v>0</v>
      </c>
      <c r="J517" s="21">
        <v>0</v>
      </c>
      <c r="K517" s="21">
        <v>0.2</v>
      </c>
      <c r="L517" s="21">
        <v>-9.82</v>
      </c>
    </row>
    <row r="518" spans="1:12" ht="30" x14ac:dyDescent="0.25">
      <c r="A518" s="10">
        <v>513</v>
      </c>
      <c r="B518" t="s">
        <v>550</v>
      </c>
      <c r="C518" t="s">
        <v>13</v>
      </c>
      <c r="D518" t="s">
        <v>143</v>
      </c>
      <c r="E518" s="52" t="s">
        <v>144</v>
      </c>
      <c r="F518" t="s">
        <v>552</v>
      </c>
      <c r="G518" s="21">
        <v>0</v>
      </c>
      <c r="H518" s="21">
        <v>0</v>
      </c>
      <c r="I518" s="21">
        <v>0</v>
      </c>
      <c r="J518" s="21">
        <v>-1.2</v>
      </c>
      <c r="K518" s="21">
        <v>0</v>
      </c>
      <c r="L518" s="21">
        <v>-1.2</v>
      </c>
    </row>
    <row r="519" spans="1:12" x14ac:dyDescent="0.25">
      <c r="A519" s="10">
        <v>514</v>
      </c>
      <c r="B519" t="s">
        <v>555</v>
      </c>
      <c r="C519" t="s">
        <v>17</v>
      </c>
      <c r="D519" t="s">
        <v>145</v>
      </c>
      <c r="E519" s="52" t="s">
        <v>146</v>
      </c>
      <c r="F519" t="s">
        <v>556</v>
      </c>
      <c r="G519" s="21">
        <v>-458</v>
      </c>
      <c r="H519" s="21">
        <v>0</v>
      </c>
      <c r="I519" s="21">
        <v>0</v>
      </c>
      <c r="J519" s="21">
        <v>0</v>
      </c>
      <c r="K519" s="21">
        <v>9.16</v>
      </c>
      <c r="L519" s="21">
        <v>-448.84</v>
      </c>
    </row>
    <row r="520" spans="1:12" x14ac:dyDescent="0.25">
      <c r="A520" s="10">
        <v>515</v>
      </c>
      <c r="B520" t="s">
        <v>555</v>
      </c>
      <c r="C520" t="s">
        <v>13</v>
      </c>
      <c r="D520" t="s">
        <v>145</v>
      </c>
      <c r="E520" s="52" t="s">
        <v>146</v>
      </c>
      <c r="F520" t="s">
        <v>556</v>
      </c>
      <c r="G520" s="21">
        <v>0</v>
      </c>
      <c r="H520" s="21">
        <v>0</v>
      </c>
      <c r="I520" s="21">
        <v>0</v>
      </c>
      <c r="J520" s="21">
        <v>-54.96</v>
      </c>
      <c r="K520" s="21">
        <v>0</v>
      </c>
      <c r="L520" s="21">
        <v>-54.96</v>
      </c>
    </row>
    <row r="521" spans="1:12" x14ac:dyDescent="0.25">
      <c r="A521" s="10">
        <v>516</v>
      </c>
      <c r="B521" t="s">
        <v>557</v>
      </c>
      <c r="C521" t="s">
        <v>17</v>
      </c>
      <c r="D521" t="s">
        <v>145</v>
      </c>
      <c r="E521" s="52" t="s">
        <v>146</v>
      </c>
      <c r="F521" t="s">
        <v>558</v>
      </c>
      <c r="G521" s="21">
        <v>-323.27</v>
      </c>
      <c r="H521" s="21">
        <v>0</v>
      </c>
      <c r="I521" s="21">
        <v>0</v>
      </c>
      <c r="J521" s="21">
        <v>0</v>
      </c>
      <c r="K521" s="21">
        <v>6.47</v>
      </c>
      <c r="L521" s="21">
        <v>-316.8</v>
      </c>
    </row>
    <row r="522" spans="1:12" x14ac:dyDescent="0.25">
      <c r="A522" s="10">
        <v>517</v>
      </c>
      <c r="B522" t="s">
        <v>557</v>
      </c>
      <c r="C522" t="s">
        <v>13</v>
      </c>
      <c r="D522" t="s">
        <v>145</v>
      </c>
      <c r="E522" s="52" t="s">
        <v>146</v>
      </c>
      <c r="F522" t="s">
        <v>558</v>
      </c>
      <c r="G522" s="21">
        <v>0</v>
      </c>
      <c r="H522" s="21">
        <v>0</v>
      </c>
      <c r="I522" s="21">
        <v>0</v>
      </c>
      <c r="J522" s="21">
        <v>-38.79</v>
      </c>
      <c r="K522" s="21">
        <v>0</v>
      </c>
      <c r="L522" s="21">
        <v>-38.79</v>
      </c>
    </row>
    <row r="523" spans="1:12" x14ac:dyDescent="0.25">
      <c r="A523" s="10">
        <v>518</v>
      </c>
      <c r="B523" t="s">
        <v>566</v>
      </c>
      <c r="C523" t="s">
        <v>17</v>
      </c>
      <c r="D523" t="s">
        <v>145</v>
      </c>
      <c r="E523" s="52" t="s">
        <v>146</v>
      </c>
      <c r="F523" t="s">
        <v>567</v>
      </c>
      <c r="G523" s="21">
        <v>-0.01</v>
      </c>
      <c r="H523" s="21">
        <v>0</v>
      </c>
      <c r="I523" s="21">
        <v>0</v>
      </c>
      <c r="J523" s="21">
        <v>0</v>
      </c>
      <c r="K523" s="21">
        <v>0</v>
      </c>
      <c r="L523" s="21">
        <v>-0.01</v>
      </c>
    </row>
    <row r="524" spans="1:12" x14ac:dyDescent="0.25">
      <c r="A524" s="10">
        <v>519</v>
      </c>
      <c r="B524" t="s">
        <v>566</v>
      </c>
      <c r="C524" t="s">
        <v>13</v>
      </c>
      <c r="D524" t="s">
        <v>145</v>
      </c>
      <c r="E524" s="52" t="s">
        <v>146</v>
      </c>
      <c r="F524" t="s">
        <v>567</v>
      </c>
      <c r="G524" s="21">
        <v>0</v>
      </c>
      <c r="H524" s="21">
        <v>0</v>
      </c>
      <c r="I524" s="21">
        <v>0</v>
      </c>
      <c r="J524" s="21">
        <v>0</v>
      </c>
      <c r="K524" s="21">
        <v>0</v>
      </c>
      <c r="L524" s="21">
        <v>0</v>
      </c>
    </row>
    <row r="525" spans="1:12" x14ac:dyDescent="0.25">
      <c r="A525" s="10">
        <v>520</v>
      </c>
      <c r="B525" t="s">
        <v>18</v>
      </c>
      <c r="C525" t="s">
        <v>17</v>
      </c>
      <c r="D525" t="s">
        <v>145</v>
      </c>
      <c r="E525" s="52" t="s">
        <v>146</v>
      </c>
      <c r="F525" t="s">
        <v>19</v>
      </c>
      <c r="G525" s="21">
        <v>-0.38</v>
      </c>
      <c r="H525" s="21">
        <v>0</v>
      </c>
      <c r="I525" s="21">
        <v>0</v>
      </c>
      <c r="J525" s="21">
        <v>0</v>
      </c>
      <c r="K525" s="21">
        <v>0.34</v>
      </c>
      <c r="L525" s="21">
        <v>-0.04</v>
      </c>
    </row>
    <row r="526" spans="1:12" x14ac:dyDescent="0.25">
      <c r="A526" s="10">
        <v>521</v>
      </c>
      <c r="B526" t="s">
        <v>18</v>
      </c>
      <c r="C526" t="s">
        <v>17</v>
      </c>
      <c r="D526" t="s">
        <v>145</v>
      </c>
      <c r="E526" s="52" t="s">
        <v>146</v>
      </c>
      <c r="F526" t="s">
        <v>19</v>
      </c>
      <c r="G526" s="21">
        <v>-3.12</v>
      </c>
      <c r="H526" s="21">
        <v>0</v>
      </c>
      <c r="I526" s="21">
        <v>0</v>
      </c>
      <c r="J526" s="21">
        <v>0</v>
      </c>
      <c r="K526" s="21">
        <v>2.77</v>
      </c>
      <c r="L526" s="21">
        <v>-0.35</v>
      </c>
    </row>
    <row r="527" spans="1:12" x14ac:dyDescent="0.25">
      <c r="A527" s="10">
        <v>522</v>
      </c>
      <c r="B527" t="s">
        <v>550</v>
      </c>
      <c r="C527" t="s">
        <v>17</v>
      </c>
      <c r="D527" t="s">
        <v>145</v>
      </c>
      <c r="E527" s="52" t="s">
        <v>146</v>
      </c>
      <c r="F527" t="s">
        <v>551</v>
      </c>
      <c r="G527" s="21">
        <v>-15658.25</v>
      </c>
      <c r="H527" s="21">
        <v>0</v>
      </c>
      <c r="I527" s="21">
        <v>0</v>
      </c>
      <c r="J527" s="21">
        <v>0</v>
      </c>
      <c r="K527" s="21">
        <v>313.17</v>
      </c>
      <c r="L527" s="21">
        <v>-15345.08</v>
      </c>
    </row>
    <row r="528" spans="1:12" x14ac:dyDescent="0.25">
      <c r="A528" s="10">
        <v>523</v>
      </c>
      <c r="B528" t="s">
        <v>550</v>
      </c>
      <c r="C528" t="s">
        <v>17</v>
      </c>
      <c r="D528" t="s">
        <v>145</v>
      </c>
      <c r="E528" s="52" t="s">
        <v>146</v>
      </c>
      <c r="F528" t="s">
        <v>551</v>
      </c>
      <c r="G528" s="21">
        <v>-10058.6</v>
      </c>
      <c r="H528" s="21">
        <v>0</v>
      </c>
      <c r="I528" s="21">
        <v>0</v>
      </c>
      <c r="J528" s="21">
        <v>0</v>
      </c>
      <c r="K528" s="21">
        <v>201.17</v>
      </c>
      <c r="L528" s="21">
        <v>-9857.43</v>
      </c>
    </row>
    <row r="529" spans="1:12" x14ac:dyDescent="0.25">
      <c r="A529" s="10">
        <v>524</v>
      </c>
      <c r="B529" t="s">
        <v>550</v>
      </c>
      <c r="C529" t="s">
        <v>13</v>
      </c>
      <c r="D529" t="s">
        <v>145</v>
      </c>
      <c r="E529" s="52" t="s">
        <v>146</v>
      </c>
      <c r="F529" t="s">
        <v>551</v>
      </c>
      <c r="G529" s="21">
        <v>0</v>
      </c>
      <c r="H529" s="21">
        <v>0</v>
      </c>
      <c r="I529" s="21">
        <v>0</v>
      </c>
      <c r="J529" s="21">
        <v>-1878.99</v>
      </c>
      <c r="K529" s="21">
        <v>0</v>
      </c>
      <c r="L529" s="21">
        <v>-1878.99</v>
      </c>
    </row>
    <row r="530" spans="1:12" x14ac:dyDescent="0.25">
      <c r="A530" s="10">
        <v>525</v>
      </c>
      <c r="B530" t="s">
        <v>550</v>
      </c>
      <c r="C530" t="s">
        <v>13</v>
      </c>
      <c r="D530" t="s">
        <v>145</v>
      </c>
      <c r="E530" s="52" t="s">
        <v>146</v>
      </c>
      <c r="F530" t="s">
        <v>551</v>
      </c>
      <c r="G530" s="21">
        <v>0</v>
      </c>
      <c r="H530" s="21">
        <v>0</v>
      </c>
      <c r="I530" s="21">
        <v>0</v>
      </c>
      <c r="J530" s="21">
        <v>-1207.03</v>
      </c>
      <c r="K530" s="21">
        <v>0</v>
      </c>
      <c r="L530" s="21">
        <v>-1207.03</v>
      </c>
    </row>
    <row r="531" spans="1:12" x14ac:dyDescent="0.25">
      <c r="A531" s="10">
        <v>526</v>
      </c>
      <c r="B531" t="s">
        <v>550</v>
      </c>
      <c r="C531" t="s">
        <v>17</v>
      </c>
      <c r="D531" t="s">
        <v>145</v>
      </c>
      <c r="E531" s="52" t="s">
        <v>146</v>
      </c>
      <c r="F531" t="s">
        <v>552</v>
      </c>
      <c r="G531" s="21">
        <v>-1.1299999999999999</v>
      </c>
      <c r="H531" s="21">
        <v>0</v>
      </c>
      <c r="I531" s="21">
        <v>0</v>
      </c>
      <c r="J531" s="21">
        <v>0</v>
      </c>
      <c r="K531" s="21">
        <v>0.02</v>
      </c>
      <c r="L531" s="21">
        <v>-1.1100000000000001</v>
      </c>
    </row>
    <row r="532" spans="1:12" x14ac:dyDescent="0.25">
      <c r="A532" s="10">
        <v>527</v>
      </c>
      <c r="B532" t="s">
        <v>550</v>
      </c>
      <c r="C532" t="s">
        <v>17</v>
      </c>
      <c r="D532" t="s">
        <v>145</v>
      </c>
      <c r="E532" s="52" t="s">
        <v>146</v>
      </c>
      <c r="F532" t="s">
        <v>552</v>
      </c>
      <c r="G532" s="21">
        <v>-0.72</v>
      </c>
      <c r="H532" s="21">
        <v>0</v>
      </c>
      <c r="I532" s="21">
        <v>0</v>
      </c>
      <c r="J532" s="21">
        <v>0</v>
      </c>
      <c r="K532" s="21">
        <v>0.01</v>
      </c>
      <c r="L532" s="21">
        <v>-0.71</v>
      </c>
    </row>
    <row r="533" spans="1:12" x14ac:dyDescent="0.25">
      <c r="A533" s="10">
        <v>528</v>
      </c>
      <c r="B533" t="s">
        <v>550</v>
      </c>
      <c r="C533" t="s">
        <v>13</v>
      </c>
      <c r="D533" t="s">
        <v>145</v>
      </c>
      <c r="E533" s="52" t="s">
        <v>146</v>
      </c>
      <c r="F533" t="s">
        <v>552</v>
      </c>
      <c r="G533" s="21">
        <v>0</v>
      </c>
      <c r="H533" s="21">
        <v>0</v>
      </c>
      <c r="I533" s="21">
        <v>0</v>
      </c>
      <c r="J533" s="21">
        <v>-0.14000000000000001</v>
      </c>
      <c r="K533" s="21">
        <v>0</v>
      </c>
      <c r="L533" s="21">
        <v>-0.14000000000000001</v>
      </c>
    </row>
    <row r="534" spans="1:12" x14ac:dyDescent="0.25">
      <c r="A534" s="10">
        <v>529</v>
      </c>
      <c r="B534" t="s">
        <v>550</v>
      </c>
      <c r="C534" t="s">
        <v>13</v>
      </c>
      <c r="D534" t="s">
        <v>145</v>
      </c>
      <c r="E534" s="52" t="s">
        <v>146</v>
      </c>
      <c r="F534" t="s">
        <v>552</v>
      </c>
      <c r="G534" s="21">
        <v>0</v>
      </c>
      <c r="H534" s="21">
        <v>0</v>
      </c>
      <c r="I534" s="21">
        <v>0</v>
      </c>
      <c r="J534" s="21">
        <v>-0.09</v>
      </c>
      <c r="K534" s="21">
        <v>0</v>
      </c>
      <c r="L534" s="21">
        <v>-0.09</v>
      </c>
    </row>
    <row r="535" spans="1:12" ht="30" x14ac:dyDescent="0.25">
      <c r="A535" s="10">
        <v>530</v>
      </c>
      <c r="B535" t="s">
        <v>12</v>
      </c>
      <c r="C535" t="s">
        <v>13</v>
      </c>
      <c r="D535" t="s">
        <v>147</v>
      </c>
      <c r="E535" s="52" t="s">
        <v>148</v>
      </c>
      <c r="F535" t="s">
        <v>16</v>
      </c>
      <c r="G535" s="21">
        <v>0</v>
      </c>
      <c r="H535" s="21">
        <v>0</v>
      </c>
      <c r="I535" s="21">
        <v>0</v>
      </c>
      <c r="J535" s="21">
        <v>-56.9</v>
      </c>
      <c r="K535" s="21">
        <v>0</v>
      </c>
      <c r="L535" s="21">
        <v>-56.9</v>
      </c>
    </row>
    <row r="536" spans="1:12" ht="30" x14ac:dyDescent="0.25">
      <c r="A536" s="10">
        <v>531</v>
      </c>
      <c r="B536" t="s">
        <v>555</v>
      </c>
      <c r="C536" t="s">
        <v>17</v>
      </c>
      <c r="D536" t="s">
        <v>147</v>
      </c>
      <c r="E536" s="52" t="s">
        <v>148</v>
      </c>
      <c r="F536" t="s">
        <v>556</v>
      </c>
      <c r="G536" s="21">
        <v>-588.69000000000005</v>
      </c>
      <c r="H536" s="21">
        <v>0</v>
      </c>
      <c r="I536" s="21">
        <v>0</v>
      </c>
      <c r="J536" s="21">
        <v>0</v>
      </c>
      <c r="K536" s="21">
        <v>11.77</v>
      </c>
      <c r="L536" s="21">
        <v>-576.91999999999996</v>
      </c>
    </row>
    <row r="537" spans="1:12" ht="30" x14ac:dyDescent="0.25">
      <c r="A537" s="10">
        <v>532</v>
      </c>
      <c r="B537" t="s">
        <v>33</v>
      </c>
      <c r="C537" t="s">
        <v>13</v>
      </c>
      <c r="D537" t="s">
        <v>147</v>
      </c>
      <c r="E537" s="52" t="s">
        <v>148</v>
      </c>
      <c r="F537" t="s">
        <v>34</v>
      </c>
      <c r="G537" s="21">
        <v>0</v>
      </c>
      <c r="H537" s="21">
        <v>0</v>
      </c>
      <c r="I537" s="21">
        <v>0</v>
      </c>
      <c r="J537" s="21">
        <v>-6.85</v>
      </c>
      <c r="K537" s="21">
        <v>0</v>
      </c>
      <c r="L537" s="21">
        <v>-6.85</v>
      </c>
    </row>
    <row r="538" spans="1:12" ht="30" x14ac:dyDescent="0.25">
      <c r="A538" s="10">
        <v>533</v>
      </c>
      <c r="B538" t="s">
        <v>557</v>
      </c>
      <c r="C538" t="s">
        <v>17</v>
      </c>
      <c r="D538" t="s">
        <v>147</v>
      </c>
      <c r="E538" s="52" t="s">
        <v>148</v>
      </c>
      <c r="F538" t="s">
        <v>558</v>
      </c>
      <c r="G538" s="21">
        <v>-403.77</v>
      </c>
      <c r="H538" s="21">
        <v>0</v>
      </c>
      <c r="I538" s="21">
        <v>0</v>
      </c>
      <c r="J538" s="21">
        <v>0</v>
      </c>
      <c r="K538" s="21">
        <v>8.08</v>
      </c>
      <c r="L538" s="21">
        <v>-395.69</v>
      </c>
    </row>
    <row r="539" spans="1:12" ht="30" x14ac:dyDescent="0.25">
      <c r="A539" s="10">
        <v>534</v>
      </c>
      <c r="B539" t="s">
        <v>29</v>
      </c>
      <c r="C539" t="s">
        <v>13</v>
      </c>
      <c r="D539" t="s">
        <v>147</v>
      </c>
      <c r="E539" s="52" t="s">
        <v>148</v>
      </c>
      <c r="F539" t="s">
        <v>30</v>
      </c>
      <c r="G539" s="21">
        <v>0</v>
      </c>
      <c r="H539" s="21">
        <v>0</v>
      </c>
      <c r="I539" s="21">
        <v>0</v>
      </c>
      <c r="J539" s="21">
        <v>-0.08</v>
      </c>
      <c r="K539" s="21">
        <v>0</v>
      </c>
      <c r="L539" s="21">
        <v>-0.08</v>
      </c>
    </row>
    <row r="540" spans="1:12" ht="30" x14ac:dyDescent="0.25">
      <c r="A540" s="10">
        <v>535</v>
      </c>
      <c r="B540" t="s">
        <v>22</v>
      </c>
      <c r="C540" t="s">
        <v>13</v>
      </c>
      <c r="D540" t="s">
        <v>147</v>
      </c>
      <c r="E540" s="52" t="s">
        <v>148</v>
      </c>
      <c r="F540" t="s">
        <v>23</v>
      </c>
      <c r="G540" s="21">
        <v>0</v>
      </c>
      <c r="H540" s="21">
        <v>0</v>
      </c>
      <c r="I540" s="21">
        <v>0</v>
      </c>
      <c r="J540" s="21">
        <v>-393.27</v>
      </c>
      <c r="K540" s="21">
        <v>0</v>
      </c>
      <c r="L540" s="21">
        <v>-393.27</v>
      </c>
    </row>
    <row r="541" spans="1:12" ht="30" x14ac:dyDescent="0.25">
      <c r="A541" s="10">
        <v>536</v>
      </c>
      <c r="B541" t="s">
        <v>22</v>
      </c>
      <c r="C541" t="s">
        <v>13</v>
      </c>
      <c r="D541" t="s">
        <v>147</v>
      </c>
      <c r="E541" s="52" t="s">
        <v>148</v>
      </c>
      <c r="F541" t="s">
        <v>24</v>
      </c>
      <c r="G541" s="21">
        <v>0</v>
      </c>
      <c r="H541" s="21">
        <v>0</v>
      </c>
      <c r="I541" s="21">
        <v>0</v>
      </c>
      <c r="J541" s="21">
        <v>-0.76</v>
      </c>
      <c r="K541" s="21">
        <v>0</v>
      </c>
      <c r="L541" s="21">
        <v>-0.76</v>
      </c>
    </row>
    <row r="542" spans="1:12" ht="30" x14ac:dyDescent="0.25">
      <c r="A542" s="10">
        <v>537</v>
      </c>
      <c r="B542" t="s">
        <v>550</v>
      </c>
      <c r="C542" t="s">
        <v>17</v>
      </c>
      <c r="D542" t="s">
        <v>147</v>
      </c>
      <c r="E542" s="52" t="s">
        <v>148</v>
      </c>
      <c r="F542" t="s">
        <v>551</v>
      </c>
      <c r="G542" s="21">
        <v>-11065.08</v>
      </c>
      <c r="H542" s="21">
        <v>0</v>
      </c>
      <c r="I542" s="21">
        <v>0</v>
      </c>
      <c r="J542" s="21">
        <v>0</v>
      </c>
      <c r="K542" s="21">
        <v>221.3</v>
      </c>
      <c r="L542" s="21">
        <v>-10843.78</v>
      </c>
    </row>
    <row r="543" spans="1:12" ht="30" x14ac:dyDescent="0.25">
      <c r="A543" s="10">
        <v>538</v>
      </c>
      <c r="B543" t="s">
        <v>550</v>
      </c>
      <c r="C543" t="s">
        <v>13</v>
      </c>
      <c r="D543" t="s">
        <v>147</v>
      </c>
      <c r="E543" s="52" t="s">
        <v>148</v>
      </c>
      <c r="F543" t="s">
        <v>551</v>
      </c>
      <c r="G543" s="21">
        <v>0</v>
      </c>
      <c r="H543" s="21">
        <v>0</v>
      </c>
      <c r="I543" s="21">
        <v>0</v>
      </c>
      <c r="J543" s="21">
        <v>-1327.81</v>
      </c>
      <c r="K543" s="21">
        <v>0</v>
      </c>
      <c r="L543" s="21">
        <v>-1327.81</v>
      </c>
    </row>
    <row r="544" spans="1:12" ht="30" x14ac:dyDescent="0.25">
      <c r="A544" s="10">
        <v>539</v>
      </c>
      <c r="B544" t="s">
        <v>550</v>
      </c>
      <c r="C544" t="s">
        <v>17</v>
      </c>
      <c r="D544" t="s">
        <v>147</v>
      </c>
      <c r="E544" s="52" t="s">
        <v>148</v>
      </c>
      <c r="F544" t="s">
        <v>552</v>
      </c>
      <c r="G544" s="21">
        <v>-0.8</v>
      </c>
      <c r="H544" s="21">
        <v>0</v>
      </c>
      <c r="I544" s="21">
        <v>0</v>
      </c>
      <c r="J544" s="21">
        <v>0</v>
      </c>
      <c r="K544" s="21">
        <v>0.02</v>
      </c>
      <c r="L544" s="21">
        <v>-0.78</v>
      </c>
    </row>
    <row r="545" spans="1:12" ht="30" x14ac:dyDescent="0.25">
      <c r="A545" s="10">
        <v>540</v>
      </c>
      <c r="B545" t="s">
        <v>550</v>
      </c>
      <c r="C545" t="s">
        <v>13</v>
      </c>
      <c r="D545" t="s">
        <v>147</v>
      </c>
      <c r="E545" s="52" t="s">
        <v>148</v>
      </c>
      <c r="F545" t="s">
        <v>552</v>
      </c>
      <c r="G545" s="21">
        <v>0</v>
      </c>
      <c r="H545" s="21">
        <v>0</v>
      </c>
      <c r="I545" s="21">
        <v>0</v>
      </c>
      <c r="J545" s="21">
        <v>-0.1</v>
      </c>
      <c r="K545" s="21">
        <v>0</v>
      </c>
      <c r="L545" s="21">
        <v>-0.1</v>
      </c>
    </row>
    <row r="546" spans="1:12" ht="30" x14ac:dyDescent="0.25">
      <c r="A546" s="10">
        <v>541</v>
      </c>
      <c r="B546" t="s">
        <v>557</v>
      </c>
      <c r="C546" t="s">
        <v>17</v>
      </c>
      <c r="D546" t="s">
        <v>149</v>
      </c>
      <c r="E546" s="52" t="s">
        <v>150</v>
      </c>
      <c r="F546" t="s">
        <v>558</v>
      </c>
      <c r="G546" s="21">
        <v>0</v>
      </c>
      <c r="H546" s="21">
        <v>0</v>
      </c>
      <c r="I546" s="21">
        <v>-11.5</v>
      </c>
      <c r="J546" s="21">
        <v>0</v>
      </c>
      <c r="K546" s="21">
        <v>0.23</v>
      </c>
      <c r="L546" s="21">
        <v>-11.27</v>
      </c>
    </row>
    <row r="547" spans="1:12" ht="30" x14ac:dyDescent="0.25">
      <c r="A547" s="10">
        <v>542</v>
      </c>
      <c r="B547" t="s">
        <v>18</v>
      </c>
      <c r="C547" t="s">
        <v>17</v>
      </c>
      <c r="D547" t="s">
        <v>149</v>
      </c>
      <c r="E547" s="52" t="s">
        <v>150</v>
      </c>
      <c r="F547" t="s">
        <v>19</v>
      </c>
      <c r="G547" s="21">
        <v>0</v>
      </c>
      <c r="H547" s="21">
        <v>0</v>
      </c>
      <c r="I547" s="21">
        <v>-0.79</v>
      </c>
      <c r="J547" s="21">
        <v>0</v>
      </c>
      <c r="K547" s="21">
        <v>0.09</v>
      </c>
      <c r="L547" s="21">
        <v>-0.7</v>
      </c>
    </row>
    <row r="548" spans="1:12" ht="30" x14ac:dyDescent="0.25">
      <c r="A548" s="10">
        <v>543</v>
      </c>
      <c r="B548" t="s">
        <v>550</v>
      </c>
      <c r="C548" t="s">
        <v>17</v>
      </c>
      <c r="D548" t="s">
        <v>149</v>
      </c>
      <c r="E548" s="52" t="s">
        <v>150</v>
      </c>
      <c r="F548" t="s">
        <v>551</v>
      </c>
      <c r="G548" s="21">
        <v>0</v>
      </c>
      <c r="H548" s="21">
        <v>0</v>
      </c>
      <c r="I548" s="21">
        <v>-918.99</v>
      </c>
      <c r="J548" s="21">
        <v>0</v>
      </c>
      <c r="K548" s="21">
        <v>18.38</v>
      </c>
      <c r="L548" s="21">
        <v>-900.61</v>
      </c>
    </row>
    <row r="549" spans="1:12" ht="30" x14ac:dyDescent="0.25">
      <c r="A549" s="10">
        <v>544</v>
      </c>
      <c r="B549" t="s">
        <v>550</v>
      </c>
      <c r="C549" t="s">
        <v>17</v>
      </c>
      <c r="D549" t="s">
        <v>149</v>
      </c>
      <c r="E549" s="52" t="s">
        <v>150</v>
      </c>
      <c r="F549" t="s">
        <v>551</v>
      </c>
      <c r="G549" s="21">
        <v>0</v>
      </c>
      <c r="H549" s="21">
        <v>0</v>
      </c>
      <c r="I549" s="21">
        <v>-1707.32</v>
      </c>
      <c r="J549" s="21">
        <v>0</v>
      </c>
      <c r="K549" s="21">
        <v>34.15</v>
      </c>
      <c r="L549" s="21">
        <v>-1673.17</v>
      </c>
    </row>
    <row r="550" spans="1:12" ht="30" x14ac:dyDescent="0.25">
      <c r="A550" s="10">
        <v>545</v>
      </c>
      <c r="B550" t="s">
        <v>550</v>
      </c>
      <c r="C550" t="s">
        <v>17</v>
      </c>
      <c r="D550" t="s">
        <v>149</v>
      </c>
      <c r="E550" s="52" t="s">
        <v>150</v>
      </c>
      <c r="F550" t="s">
        <v>552</v>
      </c>
      <c r="G550" s="21">
        <v>0</v>
      </c>
      <c r="H550" s="21">
        <v>0</v>
      </c>
      <c r="I550" s="21">
        <v>-7.0000000000000007E-2</v>
      </c>
      <c r="J550" s="21">
        <v>0</v>
      </c>
      <c r="K550" s="21">
        <v>0</v>
      </c>
      <c r="L550" s="21">
        <v>-7.0000000000000007E-2</v>
      </c>
    </row>
    <row r="551" spans="1:12" ht="30" x14ac:dyDescent="0.25">
      <c r="A551" s="10">
        <v>546</v>
      </c>
      <c r="B551" t="s">
        <v>550</v>
      </c>
      <c r="C551" t="s">
        <v>17</v>
      </c>
      <c r="D551" t="s">
        <v>149</v>
      </c>
      <c r="E551" s="52" t="s">
        <v>150</v>
      </c>
      <c r="F551" t="s">
        <v>552</v>
      </c>
      <c r="G551" s="21">
        <v>0</v>
      </c>
      <c r="H551" s="21">
        <v>0</v>
      </c>
      <c r="I551" s="21">
        <v>-0.12</v>
      </c>
      <c r="J551" s="21">
        <v>0</v>
      </c>
      <c r="K551" s="21">
        <v>0</v>
      </c>
      <c r="L551" s="21">
        <v>-0.12</v>
      </c>
    </row>
    <row r="552" spans="1:12" ht="30" x14ac:dyDescent="0.25">
      <c r="A552" s="10">
        <v>547</v>
      </c>
      <c r="B552" t="s">
        <v>18</v>
      </c>
      <c r="C552" t="s">
        <v>17</v>
      </c>
      <c r="D552" t="s">
        <v>151</v>
      </c>
      <c r="E552" s="52" t="s">
        <v>152</v>
      </c>
      <c r="F552" t="s">
        <v>19</v>
      </c>
      <c r="G552" s="21">
        <v>0</v>
      </c>
      <c r="H552" s="21">
        <v>0</v>
      </c>
      <c r="I552" s="21">
        <v>-0.9</v>
      </c>
      <c r="J552" s="21">
        <v>0</v>
      </c>
      <c r="K552" s="21">
        <v>0.11</v>
      </c>
      <c r="L552" s="21">
        <v>-0.79</v>
      </c>
    </row>
    <row r="553" spans="1:12" ht="30" x14ac:dyDescent="0.25">
      <c r="A553" s="10">
        <v>548</v>
      </c>
      <c r="B553" t="s">
        <v>559</v>
      </c>
      <c r="C553" t="s">
        <v>17</v>
      </c>
      <c r="D553" t="s">
        <v>587</v>
      </c>
      <c r="E553" s="52" t="s">
        <v>152</v>
      </c>
      <c r="F553" t="s">
        <v>560</v>
      </c>
      <c r="G553" s="21">
        <v>0</v>
      </c>
      <c r="H553" s="21">
        <v>0</v>
      </c>
      <c r="I553" s="21">
        <v>-0.02</v>
      </c>
      <c r="J553" s="21">
        <v>0</v>
      </c>
      <c r="K553" s="21">
        <v>0</v>
      </c>
      <c r="L553" s="21">
        <v>-0.02</v>
      </c>
    </row>
    <row r="554" spans="1:12" ht="30" x14ac:dyDescent="0.25">
      <c r="A554" s="10">
        <v>549</v>
      </c>
      <c r="B554" t="s">
        <v>550</v>
      </c>
      <c r="C554" t="s">
        <v>17</v>
      </c>
      <c r="D554" t="s">
        <v>587</v>
      </c>
      <c r="E554" s="52" t="s">
        <v>152</v>
      </c>
      <c r="F554" t="s">
        <v>551</v>
      </c>
      <c r="G554" s="21">
        <v>0</v>
      </c>
      <c r="H554" s="21">
        <v>0</v>
      </c>
      <c r="I554" s="21">
        <v>-310.05</v>
      </c>
      <c r="J554" s="21">
        <v>0</v>
      </c>
      <c r="K554" s="21">
        <v>6.2</v>
      </c>
      <c r="L554" s="21">
        <v>-303.85000000000002</v>
      </c>
    </row>
    <row r="555" spans="1:12" ht="30" x14ac:dyDescent="0.25">
      <c r="A555" s="10">
        <v>550</v>
      </c>
      <c r="B555" t="s">
        <v>550</v>
      </c>
      <c r="C555" t="s">
        <v>17</v>
      </c>
      <c r="D555" t="s">
        <v>587</v>
      </c>
      <c r="E555" s="52" t="s">
        <v>152</v>
      </c>
      <c r="F555" t="s">
        <v>551</v>
      </c>
      <c r="G555" s="21">
        <v>0</v>
      </c>
      <c r="H555" s="21">
        <v>0</v>
      </c>
      <c r="I555" s="21">
        <v>-2441.3000000000002</v>
      </c>
      <c r="J555" s="21">
        <v>0</v>
      </c>
      <c r="K555" s="21">
        <v>48.83</v>
      </c>
      <c r="L555" s="21">
        <v>-2392.4699999999998</v>
      </c>
    </row>
    <row r="556" spans="1:12" ht="30" x14ac:dyDescent="0.25">
      <c r="A556" s="10">
        <v>551</v>
      </c>
      <c r="B556" t="s">
        <v>550</v>
      </c>
      <c r="C556" t="s">
        <v>17</v>
      </c>
      <c r="D556" t="s">
        <v>587</v>
      </c>
      <c r="E556" s="52" t="s">
        <v>152</v>
      </c>
      <c r="F556" t="s">
        <v>552</v>
      </c>
      <c r="G556" s="21">
        <v>0</v>
      </c>
      <c r="H556" s="21">
        <v>0</v>
      </c>
      <c r="I556" s="21">
        <v>-0.02</v>
      </c>
      <c r="J556" s="21">
        <v>0</v>
      </c>
      <c r="K556" s="21">
        <v>0</v>
      </c>
      <c r="L556" s="21">
        <v>-0.02</v>
      </c>
    </row>
    <row r="557" spans="1:12" ht="30" x14ac:dyDescent="0.25">
      <c r="A557" s="10">
        <v>552</v>
      </c>
      <c r="B557" t="s">
        <v>550</v>
      </c>
      <c r="C557" t="s">
        <v>17</v>
      </c>
      <c r="D557" t="s">
        <v>587</v>
      </c>
      <c r="E557" s="52" t="s">
        <v>152</v>
      </c>
      <c r="F557" t="s">
        <v>552</v>
      </c>
      <c r="G557" s="21">
        <v>0</v>
      </c>
      <c r="H557" s="21">
        <v>0</v>
      </c>
      <c r="I557" s="21">
        <v>-0.18</v>
      </c>
      <c r="J557" s="21">
        <v>0</v>
      </c>
      <c r="K557" s="21">
        <v>0</v>
      </c>
      <c r="L557" s="21">
        <v>-0.18</v>
      </c>
    </row>
    <row r="558" spans="1:12" ht="30" x14ac:dyDescent="0.25">
      <c r="A558" s="10">
        <v>553</v>
      </c>
      <c r="B558" t="s">
        <v>550</v>
      </c>
      <c r="C558" t="s">
        <v>17</v>
      </c>
      <c r="D558" t="s">
        <v>153</v>
      </c>
      <c r="E558" s="52" t="s">
        <v>154</v>
      </c>
      <c r="F558" t="s">
        <v>551</v>
      </c>
      <c r="G558" s="21">
        <v>0</v>
      </c>
      <c r="H558" s="21">
        <v>0</v>
      </c>
      <c r="I558" s="21">
        <v>-2.67</v>
      </c>
      <c r="J558" s="21">
        <v>0</v>
      </c>
      <c r="K558" s="21">
        <v>0.05</v>
      </c>
      <c r="L558" s="21">
        <v>-2.62</v>
      </c>
    </row>
    <row r="559" spans="1:12" ht="30" x14ac:dyDescent="0.25">
      <c r="A559" s="10">
        <v>554</v>
      </c>
      <c r="B559" t="s">
        <v>550</v>
      </c>
      <c r="C559" t="s">
        <v>17</v>
      </c>
      <c r="D559" t="s">
        <v>155</v>
      </c>
      <c r="E559" s="52" t="s">
        <v>156</v>
      </c>
      <c r="F559" t="s">
        <v>551</v>
      </c>
      <c r="G559" s="21">
        <v>0</v>
      </c>
      <c r="H559" s="21">
        <v>0</v>
      </c>
      <c r="I559" s="21">
        <v>-11.24</v>
      </c>
      <c r="J559" s="21">
        <v>0</v>
      </c>
      <c r="K559" s="21">
        <v>0.22</v>
      </c>
      <c r="L559" s="21">
        <v>-11.02</v>
      </c>
    </row>
    <row r="560" spans="1:12" ht="30" x14ac:dyDescent="0.25">
      <c r="A560" s="10">
        <v>555</v>
      </c>
      <c r="B560" t="s">
        <v>555</v>
      </c>
      <c r="C560" t="s">
        <v>17</v>
      </c>
      <c r="D560" t="s">
        <v>157</v>
      </c>
      <c r="E560" s="52" t="s">
        <v>158</v>
      </c>
      <c r="F560" t="s">
        <v>556</v>
      </c>
      <c r="G560" s="21">
        <v>-21.2</v>
      </c>
      <c r="H560" s="21">
        <v>0</v>
      </c>
      <c r="I560" s="21">
        <v>0</v>
      </c>
      <c r="J560" s="21">
        <v>0</v>
      </c>
      <c r="K560" s="21">
        <v>0.42</v>
      </c>
      <c r="L560" s="21">
        <v>-20.78</v>
      </c>
    </row>
    <row r="561" spans="1:12" ht="30" x14ac:dyDescent="0.25">
      <c r="A561" s="10">
        <v>556</v>
      </c>
      <c r="B561" t="s">
        <v>555</v>
      </c>
      <c r="C561" t="s">
        <v>13</v>
      </c>
      <c r="D561" t="s">
        <v>157</v>
      </c>
      <c r="E561" s="52" t="s">
        <v>158</v>
      </c>
      <c r="F561" t="s">
        <v>556</v>
      </c>
      <c r="G561" s="21">
        <v>0</v>
      </c>
      <c r="H561" s="21">
        <v>0</v>
      </c>
      <c r="I561" s="21">
        <v>0</v>
      </c>
      <c r="J561" s="21">
        <v>-2.54</v>
      </c>
      <c r="K561" s="21">
        <v>0</v>
      </c>
      <c r="L561" s="21">
        <v>-2.54</v>
      </c>
    </row>
    <row r="562" spans="1:12" ht="30" x14ac:dyDescent="0.25">
      <c r="A562" s="10">
        <v>557</v>
      </c>
      <c r="B562" t="s">
        <v>557</v>
      </c>
      <c r="C562" t="s">
        <v>17</v>
      </c>
      <c r="D562" t="s">
        <v>157</v>
      </c>
      <c r="E562" s="52" t="s">
        <v>158</v>
      </c>
      <c r="F562" t="s">
        <v>558</v>
      </c>
      <c r="G562" s="21">
        <v>-1.2</v>
      </c>
      <c r="H562" s="21">
        <v>0</v>
      </c>
      <c r="I562" s="21">
        <v>0</v>
      </c>
      <c r="J562" s="21">
        <v>0</v>
      </c>
      <c r="K562" s="21">
        <v>0.02</v>
      </c>
      <c r="L562" s="21">
        <v>-1.18</v>
      </c>
    </row>
    <row r="563" spans="1:12" ht="30" x14ac:dyDescent="0.25">
      <c r="A563" s="10">
        <v>558</v>
      </c>
      <c r="B563" t="s">
        <v>557</v>
      </c>
      <c r="C563" t="s">
        <v>13</v>
      </c>
      <c r="D563" t="s">
        <v>157</v>
      </c>
      <c r="E563" s="52" t="s">
        <v>158</v>
      </c>
      <c r="F563" t="s">
        <v>558</v>
      </c>
      <c r="G563" s="21">
        <v>0</v>
      </c>
      <c r="H563" s="21">
        <v>0</v>
      </c>
      <c r="I563" s="21">
        <v>0</v>
      </c>
      <c r="J563" s="21">
        <v>-0.14000000000000001</v>
      </c>
      <c r="K563" s="21">
        <v>0</v>
      </c>
      <c r="L563" s="21">
        <v>-0.14000000000000001</v>
      </c>
    </row>
    <row r="564" spans="1:12" ht="30" x14ac:dyDescent="0.25">
      <c r="A564" s="10">
        <v>559</v>
      </c>
      <c r="B564" t="s">
        <v>550</v>
      </c>
      <c r="C564" t="s">
        <v>17</v>
      </c>
      <c r="D564" t="s">
        <v>157</v>
      </c>
      <c r="E564" s="52" t="s">
        <v>158</v>
      </c>
      <c r="F564" t="s">
        <v>551</v>
      </c>
      <c r="G564" s="21">
        <v>-149.24</v>
      </c>
      <c r="H564" s="21">
        <v>0</v>
      </c>
      <c r="I564" s="21">
        <v>0</v>
      </c>
      <c r="J564" s="21">
        <v>0</v>
      </c>
      <c r="K564" s="21">
        <v>2.98</v>
      </c>
      <c r="L564" s="21">
        <v>-146.26</v>
      </c>
    </row>
    <row r="565" spans="1:12" ht="30" x14ac:dyDescent="0.25">
      <c r="A565" s="10">
        <v>560</v>
      </c>
      <c r="B565" t="s">
        <v>550</v>
      </c>
      <c r="C565" t="s">
        <v>17</v>
      </c>
      <c r="D565" t="s">
        <v>157</v>
      </c>
      <c r="E565" s="52" t="s">
        <v>158</v>
      </c>
      <c r="F565" t="s">
        <v>551</v>
      </c>
      <c r="G565" s="21">
        <v>0</v>
      </c>
      <c r="H565" s="21">
        <v>0</v>
      </c>
      <c r="I565" s="21">
        <v>-312.47000000000003</v>
      </c>
      <c r="J565" s="21">
        <v>0</v>
      </c>
      <c r="K565" s="21">
        <v>6.25</v>
      </c>
      <c r="L565" s="21">
        <v>-306.22000000000003</v>
      </c>
    </row>
    <row r="566" spans="1:12" ht="30" x14ac:dyDescent="0.25">
      <c r="A566" s="10">
        <v>561</v>
      </c>
      <c r="B566" t="s">
        <v>550</v>
      </c>
      <c r="C566" t="s">
        <v>13</v>
      </c>
      <c r="D566" t="s">
        <v>157</v>
      </c>
      <c r="E566" s="52" t="s">
        <v>158</v>
      </c>
      <c r="F566" t="s">
        <v>551</v>
      </c>
      <c r="G566" s="21">
        <v>0</v>
      </c>
      <c r="H566" s="21">
        <v>0</v>
      </c>
      <c r="I566" s="21">
        <v>0</v>
      </c>
      <c r="J566" s="21">
        <v>-17.91</v>
      </c>
      <c r="K566" s="21">
        <v>0</v>
      </c>
      <c r="L566" s="21">
        <v>-17.91</v>
      </c>
    </row>
    <row r="567" spans="1:12" ht="30" x14ac:dyDescent="0.25">
      <c r="A567" s="10">
        <v>562</v>
      </c>
      <c r="B567" t="s">
        <v>550</v>
      </c>
      <c r="C567" t="s">
        <v>17</v>
      </c>
      <c r="D567" t="s">
        <v>157</v>
      </c>
      <c r="E567" s="52" t="s">
        <v>158</v>
      </c>
      <c r="F567" t="s">
        <v>552</v>
      </c>
      <c r="G567" s="21">
        <v>-0.01</v>
      </c>
      <c r="H567" s="21">
        <v>0</v>
      </c>
      <c r="I567" s="21">
        <v>0</v>
      </c>
      <c r="J567" s="21">
        <v>0</v>
      </c>
      <c r="K567" s="21">
        <v>0</v>
      </c>
      <c r="L567" s="21">
        <v>-0.01</v>
      </c>
    </row>
    <row r="568" spans="1:12" ht="30" x14ac:dyDescent="0.25">
      <c r="A568" s="10">
        <v>563</v>
      </c>
      <c r="B568" t="s">
        <v>550</v>
      </c>
      <c r="C568" t="s">
        <v>17</v>
      </c>
      <c r="D568" t="s">
        <v>157</v>
      </c>
      <c r="E568" s="52" t="s">
        <v>158</v>
      </c>
      <c r="F568" t="s">
        <v>552</v>
      </c>
      <c r="G568" s="21">
        <v>0</v>
      </c>
      <c r="H568" s="21">
        <v>0</v>
      </c>
      <c r="I568" s="21">
        <v>-0.02</v>
      </c>
      <c r="J568" s="21">
        <v>0</v>
      </c>
      <c r="K568" s="21">
        <v>0</v>
      </c>
      <c r="L568" s="21">
        <v>-0.02</v>
      </c>
    </row>
    <row r="569" spans="1:12" ht="30" x14ac:dyDescent="0.25">
      <c r="A569" s="10">
        <v>564</v>
      </c>
      <c r="B569" t="s">
        <v>550</v>
      </c>
      <c r="C569" t="s">
        <v>13</v>
      </c>
      <c r="D569" t="s">
        <v>157</v>
      </c>
      <c r="E569" s="52" t="s">
        <v>158</v>
      </c>
      <c r="F569" t="s">
        <v>552</v>
      </c>
      <c r="G569" s="21">
        <v>0</v>
      </c>
      <c r="H569" s="21">
        <v>0</v>
      </c>
      <c r="I569" s="21">
        <v>0</v>
      </c>
      <c r="J569" s="21">
        <v>0</v>
      </c>
      <c r="K569" s="21">
        <v>0</v>
      </c>
      <c r="L569" s="21">
        <v>0</v>
      </c>
    </row>
    <row r="570" spans="1:12" ht="30" x14ac:dyDescent="0.25">
      <c r="A570" s="10">
        <v>565</v>
      </c>
      <c r="B570" t="s">
        <v>550</v>
      </c>
      <c r="C570" t="s">
        <v>17</v>
      </c>
      <c r="D570" t="s">
        <v>588</v>
      </c>
      <c r="E570" s="52" t="s">
        <v>158</v>
      </c>
      <c r="F570" t="s">
        <v>551</v>
      </c>
      <c r="G570" s="21">
        <v>0</v>
      </c>
      <c r="H570" s="21">
        <v>0</v>
      </c>
      <c r="I570" s="21">
        <v>-1.81</v>
      </c>
      <c r="J570" s="21">
        <v>0</v>
      </c>
      <c r="K570" s="21">
        <v>0.04</v>
      </c>
      <c r="L570" s="21">
        <v>-1.77</v>
      </c>
    </row>
    <row r="571" spans="1:12" ht="30" x14ac:dyDescent="0.25">
      <c r="A571" s="10">
        <v>566</v>
      </c>
      <c r="B571" t="s">
        <v>550</v>
      </c>
      <c r="C571" t="s">
        <v>17</v>
      </c>
      <c r="D571" t="s">
        <v>589</v>
      </c>
      <c r="E571" s="52" t="s">
        <v>590</v>
      </c>
      <c r="F571" t="s">
        <v>551</v>
      </c>
      <c r="G571" s="21">
        <v>0</v>
      </c>
      <c r="H571" s="21">
        <v>0</v>
      </c>
      <c r="I571" s="21">
        <v>-1.1000000000000001</v>
      </c>
      <c r="J571" s="21">
        <v>0</v>
      </c>
      <c r="K571" s="21">
        <v>0.02</v>
      </c>
      <c r="L571" s="21">
        <v>-1.08</v>
      </c>
    </row>
    <row r="572" spans="1:12" ht="30" x14ac:dyDescent="0.25">
      <c r="A572" s="10">
        <v>567</v>
      </c>
      <c r="B572" t="s">
        <v>12</v>
      </c>
      <c r="C572" t="s">
        <v>13</v>
      </c>
      <c r="D572" t="s">
        <v>160</v>
      </c>
      <c r="E572" s="52" t="s">
        <v>161</v>
      </c>
      <c r="F572" t="s">
        <v>16</v>
      </c>
      <c r="G572" s="21">
        <v>0</v>
      </c>
      <c r="H572" s="21">
        <v>0</v>
      </c>
      <c r="I572" s="21">
        <v>0</v>
      </c>
      <c r="J572" s="21">
        <v>-5.0199999999999996</v>
      </c>
      <c r="K572" s="21">
        <v>0</v>
      </c>
      <c r="L572" s="21">
        <v>-5.0199999999999996</v>
      </c>
    </row>
    <row r="573" spans="1:12" ht="30" x14ac:dyDescent="0.25">
      <c r="A573" s="10">
        <v>568</v>
      </c>
      <c r="B573" t="s">
        <v>22</v>
      </c>
      <c r="C573" t="s">
        <v>17</v>
      </c>
      <c r="D573" t="s">
        <v>160</v>
      </c>
      <c r="E573" s="52" t="s">
        <v>161</v>
      </c>
      <c r="F573" t="s">
        <v>23</v>
      </c>
      <c r="G573" s="21">
        <v>-1088.45</v>
      </c>
      <c r="H573" s="21">
        <v>0</v>
      </c>
      <c r="I573" s="21">
        <v>0</v>
      </c>
      <c r="J573" s="21">
        <v>0</v>
      </c>
      <c r="K573" s="21">
        <v>0</v>
      </c>
      <c r="L573" s="21">
        <v>-1088.45</v>
      </c>
    </row>
    <row r="574" spans="1:12" ht="30" x14ac:dyDescent="0.25">
      <c r="A574" s="10">
        <v>569</v>
      </c>
      <c r="B574" t="s">
        <v>22</v>
      </c>
      <c r="C574" t="s">
        <v>49</v>
      </c>
      <c r="D574" t="s">
        <v>160</v>
      </c>
      <c r="E574" s="52" t="s">
        <v>161</v>
      </c>
      <c r="F574" t="s">
        <v>23</v>
      </c>
      <c r="G574" s="21">
        <v>-2.99</v>
      </c>
      <c r="H574" s="21">
        <v>0</v>
      </c>
      <c r="I574" s="21">
        <v>0</v>
      </c>
      <c r="J574" s="21">
        <v>0</v>
      </c>
      <c r="K574" s="21">
        <v>0</v>
      </c>
      <c r="L574" s="21">
        <v>-2.99</v>
      </c>
    </row>
    <row r="575" spans="1:12" ht="30" x14ac:dyDescent="0.25">
      <c r="A575" s="10">
        <v>570</v>
      </c>
      <c r="B575" t="s">
        <v>22</v>
      </c>
      <c r="C575" t="s">
        <v>13</v>
      </c>
      <c r="D575" t="s">
        <v>160</v>
      </c>
      <c r="E575" s="52" t="s">
        <v>161</v>
      </c>
      <c r="F575" t="s">
        <v>23</v>
      </c>
      <c r="G575" s="21">
        <v>0</v>
      </c>
      <c r="H575" s="21">
        <v>0</v>
      </c>
      <c r="I575" s="21">
        <v>0</v>
      </c>
      <c r="J575" s="21">
        <v>-134.51</v>
      </c>
      <c r="K575" s="21">
        <v>0</v>
      </c>
      <c r="L575" s="21">
        <v>-134.51</v>
      </c>
    </row>
    <row r="576" spans="1:12" ht="30" x14ac:dyDescent="0.25">
      <c r="A576" s="10">
        <v>571</v>
      </c>
      <c r="B576" t="s">
        <v>22</v>
      </c>
      <c r="C576" t="s">
        <v>17</v>
      </c>
      <c r="D576" t="s">
        <v>160</v>
      </c>
      <c r="E576" s="52" t="s">
        <v>161</v>
      </c>
      <c r="F576" t="s">
        <v>24</v>
      </c>
      <c r="G576" s="21">
        <v>-2.11</v>
      </c>
      <c r="H576" s="21">
        <v>0</v>
      </c>
      <c r="I576" s="21">
        <v>0</v>
      </c>
      <c r="J576" s="21">
        <v>0</v>
      </c>
      <c r="K576" s="21">
        <v>0</v>
      </c>
      <c r="L576" s="21">
        <v>-2.11</v>
      </c>
    </row>
    <row r="577" spans="1:12" ht="30" x14ac:dyDescent="0.25">
      <c r="A577" s="10">
        <v>572</v>
      </c>
      <c r="B577" t="s">
        <v>22</v>
      </c>
      <c r="C577" t="s">
        <v>49</v>
      </c>
      <c r="D577" t="s">
        <v>160</v>
      </c>
      <c r="E577" s="52" t="s">
        <v>161</v>
      </c>
      <c r="F577" t="s">
        <v>24</v>
      </c>
      <c r="G577" s="21">
        <v>-0.01</v>
      </c>
      <c r="H577" s="21">
        <v>0</v>
      </c>
      <c r="I577" s="21">
        <v>0</v>
      </c>
      <c r="J577" s="21">
        <v>0</v>
      </c>
      <c r="K577" s="21">
        <v>0</v>
      </c>
      <c r="L577" s="21">
        <v>-0.01</v>
      </c>
    </row>
    <row r="578" spans="1:12" ht="30" x14ac:dyDescent="0.25">
      <c r="A578" s="10">
        <v>573</v>
      </c>
      <c r="B578" t="s">
        <v>22</v>
      </c>
      <c r="C578" t="s">
        <v>13</v>
      </c>
      <c r="D578" t="s">
        <v>160</v>
      </c>
      <c r="E578" s="52" t="s">
        <v>161</v>
      </c>
      <c r="F578" t="s">
        <v>24</v>
      </c>
      <c r="G578" s="21">
        <v>0</v>
      </c>
      <c r="H578" s="21">
        <v>0</v>
      </c>
      <c r="I578" s="21">
        <v>0</v>
      </c>
      <c r="J578" s="21">
        <v>-0.26</v>
      </c>
      <c r="K578" s="21">
        <v>0</v>
      </c>
      <c r="L578" s="21">
        <v>-0.26</v>
      </c>
    </row>
    <row r="579" spans="1:12" ht="30" x14ac:dyDescent="0.25">
      <c r="A579" s="10">
        <v>574</v>
      </c>
      <c r="B579" t="s">
        <v>550</v>
      </c>
      <c r="C579" t="s">
        <v>17</v>
      </c>
      <c r="D579" t="s">
        <v>160</v>
      </c>
      <c r="E579" s="52" t="s">
        <v>161</v>
      </c>
      <c r="F579" t="s">
        <v>551</v>
      </c>
      <c r="G579" s="21">
        <v>-75.599999999999994</v>
      </c>
      <c r="H579" s="21">
        <v>0</v>
      </c>
      <c r="I579" s="21">
        <v>0</v>
      </c>
      <c r="J579" s="21">
        <v>0</v>
      </c>
      <c r="K579" s="21">
        <v>0</v>
      </c>
      <c r="L579" s="21">
        <v>-75.599999999999994</v>
      </c>
    </row>
    <row r="580" spans="1:12" ht="30" x14ac:dyDescent="0.25">
      <c r="A580" s="10">
        <v>575</v>
      </c>
      <c r="B580" t="s">
        <v>550</v>
      </c>
      <c r="C580" t="s">
        <v>17</v>
      </c>
      <c r="D580" t="s">
        <v>160</v>
      </c>
      <c r="E580" s="52" t="s">
        <v>161</v>
      </c>
      <c r="F580" t="s">
        <v>552</v>
      </c>
      <c r="G580" s="21">
        <v>-0.01</v>
      </c>
      <c r="H580" s="21">
        <v>0</v>
      </c>
      <c r="I580" s="21">
        <v>0</v>
      </c>
      <c r="J580" s="21">
        <v>0</v>
      </c>
      <c r="K580" s="21">
        <v>0</v>
      </c>
      <c r="L580" s="21">
        <v>-0.01</v>
      </c>
    </row>
    <row r="581" spans="1:12" ht="30" x14ac:dyDescent="0.25">
      <c r="A581" s="10">
        <v>576</v>
      </c>
      <c r="B581" t="s">
        <v>550</v>
      </c>
      <c r="C581" t="s">
        <v>17</v>
      </c>
      <c r="D581" t="s">
        <v>591</v>
      </c>
      <c r="E581" s="52" t="s">
        <v>163</v>
      </c>
      <c r="F581" t="s">
        <v>551</v>
      </c>
      <c r="G581" s="21">
        <v>0</v>
      </c>
      <c r="H581" s="21">
        <v>0</v>
      </c>
      <c r="I581" s="21">
        <v>-13.3</v>
      </c>
      <c r="J581" s="21">
        <v>0</v>
      </c>
      <c r="K581" s="21">
        <v>0.27</v>
      </c>
      <c r="L581" s="21">
        <v>-13.03</v>
      </c>
    </row>
    <row r="582" spans="1:12" ht="30" x14ac:dyDescent="0.25">
      <c r="A582" s="10">
        <v>577</v>
      </c>
      <c r="B582" t="s">
        <v>566</v>
      </c>
      <c r="C582" t="s">
        <v>17</v>
      </c>
      <c r="D582" t="s">
        <v>164</v>
      </c>
      <c r="E582" s="52" t="s">
        <v>165</v>
      </c>
      <c r="F582" t="s">
        <v>567</v>
      </c>
      <c r="G582" s="21">
        <v>0</v>
      </c>
      <c r="H582" s="21">
        <v>0</v>
      </c>
      <c r="I582" s="21">
        <v>-0.28000000000000003</v>
      </c>
      <c r="J582" s="21">
        <v>0</v>
      </c>
      <c r="K582" s="21">
        <v>0.01</v>
      </c>
      <c r="L582" s="21">
        <v>-0.27</v>
      </c>
    </row>
    <row r="583" spans="1:12" ht="30" x14ac:dyDescent="0.25">
      <c r="A583" s="10">
        <v>578</v>
      </c>
      <c r="B583" t="s">
        <v>18</v>
      </c>
      <c r="C583" t="s">
        <v>17</v>
      </c>
      <c r="D583" t="s">
        <v>164</v>
      </c>
      <c r="E583" s="52" t="s">
        <v>165</v>
      </c>
      <c r="F583" t="s">
        <v>19</v>
      </c>
      <c r="G583" s="21">
        <v>0</v>
      </c>
      <c r="H583" s="21">
        <v>0</v>
      </c>
      <c r="I583" s="21">
        <v>-5.69</v>
      </c>
      <c r="J583" s="21">
        <v>0</v>
      </c>
      <c r="K583" s="21">
        <v>0.67</v>
      </c>
      <c r="L583" s="21">
        <v>-5.0199999999999996</v>
      </c>
    </row>
    <row r="584" spans="1:12" ht="30" x14ac:dyDescent="0.25">
      <c r="A584" s="10">
        <v>579</v>
      </c>
      <c r="B584" t="s">
        <v>20</v>
      </c>
      <c r="C584" t="s">
        <v>17</v>
      </c>
      <c r="D584" t="s">
        <v>164</v>
      </c>
      <c r="E584" s="52" t="s">
        <v>165</v>
      </c>
      <c r="F584" t="s">
        <v>21</v>
      </c>
      <c r="G584" s="21">
        <v>0</v>
      </c>
      <c r="H584" s="21">
        <v>0</v>
      </c>
      <c r="I584" s="21">
        <v>-3.28</v>
      </c>
      <c r="J584" s="21">
        <v>0</v>
      </c>
      <c r="K584" s="21">
        <v>7.0000000000000007E-2</v>
      </c>
      <c r="L584" s="21">
        <v>-3.21</v>
      </c>
    </row>
    <row r="585" spans="1:12" ht="30" x14ac:dyDescent="0.25">
      <c r="A585" s="10">
        <v>580</v>
      </c>
      <c r="B585" t="s">
        <v>20</v>
      </c>
      <c r="C585" t="s">
        <v>49</v>
      </c>
      <c r="D585" t="s">
        <v>164</v>
      </c>
      <c r="E585" s="52" t="s">
        <v>165</v>
      </c>
      <c r="F585" t="s">
        <v>21</v>
      </c>
      <c r="G585" s="21">
        <v>0</v>
      </c>
      <c r="H585" s="21">
        <v>0</v>
      </c>
      <c r="I585" s="21">
        <v>-0.03</v>
      </c>
      <c r="J585" s="21">
        <v>0</v>
      </c>
      <c r="K585" s="21">
        <v>0</v>
      </c>
      <c r="L585" s="21">
        <v>-0.03</v>
      </c>
    </row>
    <row r="586" spans="1:12" ht="30" x14ac:dyDescent="0.25">
      <c r="A586" s="10">
        <v>581</v>
      </c>
      <c r="B586" t="s">
        <v>550</v>
      </c>
      <c r="C586" t="s">
        <v>17</v>
      </c>
      <c r="D586" t="s">
        <v>164</v>
      </c>
      <c r="E586" s="52" t="s">
        <v>165</v>
      </c>
      <c r="F586" t="s">
        <v>551</v>
      </c>
      <c r="G586" s="21">
        <v>0</v>
      </c>
      <c r="H586" s="21">
        <v>0</v>
      </c>
      <c r="I586" s="21">
        <v>-11160.81</v>
      </c>
      <c r="J586" s="21">
        <v>0</v>
      </c>
      <c r="K586" s="21">
        <v>223.21</v>
      </c>
      <c r="L586" s="21">
        <v>-10937.6</v>
      </c>
    </row>
    <row r="587" spans="1:12" ht="30" x14ac:dyDescent="0.25">
      <c r="A587" s="10">
        <v>582</v>
      </c>
      <c r="B587" t="s">
        <v>550</v>
      </c>
      <c r="C587" t="s">
        <v>49</v>
      </c>
      <c r="D587" t="s">
        <v>164</v>
      </c>
      <c r="E587" s="52" t="s">
        <v>165</v>
      </c>
      <c r="F587" t="s">
        <v>551</v>
      </c>
      <c r="G587" s="21">
        <v>0</v>
      </c>
      <c r="H587" s="21">
        <v>0</v>
      </c>
      <c r="I587" s="21">
        <v>-3.5</v>
      </c>
      <c r="J587" s="21">
        <v>0</v>
      </c>
      <c r="K587" s="21">
        <v>0</v>
      </c>
      <c r="L587" s="21">
        <v>-3.5</v>
      </c>
    </row>
    <row r="588" spans="1:12" ht="30" x14ac:dyDescent="0.25">
      <c r="A588" s="10">
        <v>583</v>
      </c>
      <c r="B588" t="s">
        <v>550</v>
      </c>
      <c r="C588" t="s">
        <v>17</v>
      </c>
      <c r="D588" t="s">
        <v>164</v>
      </c>
      <c r="E588" s="52" t="s">
        <v>165</v>
      </c>
      <c r="F588" t="s">
        <v>552</v>
      </c>
      <c r="G588" s="21">
        <v>0</v>
      </c>
      <c r="H588" s="21">
        <v>0</v>
      </c>
      <c r="I588" s="21">
        <v>-0.8</v>
      </c>
      <c r="J588" s="21">
        <v>0</v>
      </c>
      <c r="K588" s="21">
        <v>0.02</v>
      </c>
      <c r="L588" s="21">
        <v>-0.78</v>
      </c>
    </row>
    <row r="589" spans="1:12" ht="30" x14ac:dyDescent="0.25">
      <c r="A589" s="10">
        <v>584</v>
      </c>
      <c r="B589" t="s">
        <v>555</v>
      </c>
      <c r="C589" t="s">
        <v>17</v>
      </c>
      <c r="D589" t="s">
        <v>166</v>
      </c>
      <c r="E589" s="52" t="s">
        <v>167</v>
      </c>
      <c r="F589" t="s">
        <v>556</v>
      </c>
      <c r="G589" s="21">
        <v>-702.92</v>
      </c>
      <c r="H589" s="21">
        <v>0</v>
      </c>
      <c r="I589" s="21">
        <v>0</v>
      </c>
      <c r="J589" s="21">
        <v>0</v>
      </c>
      <c r="K589" s="21">
        <v>14.06</v>
      </c>
      <c r="L589" s="21">
        <v>-688.86</v>
      </c>
    </row>
    <row r="590" spans="1:12" ht="30" x14ac:dyDescent="0.25">
      <c r="A590" s="10">
        <v>585</v>
      </c>
      <c r="B590" t="s">
        <v>555</v>
      </c>
      <c r="C590" t="s">
        <v>13</v>
      </c>
      <c r="D590" t="s">
        <v>166</v>
      </c>
      <c r="E590" s="52" t="s">
        <v>167</v>
      </c>
      <c r="F590" t="s">
        <v>556</v>
      </c>
      <c r="G590" s="21">
        <v>0</v>
      </c>
      <c r="H590" s="21">
        <v>0</v>
      </c>
      <c r="I590" s="21">
        <v>0</v>
      </c>
      <c r="J590" s="21">
        <v>-84.35</v>
      </c>
      <c r="K590" s="21">
        <v>0</v>
      </c>
      <c r="L590" s="21">
        <v>-84.35</v>
      </c>
    </row>
    <row r="591" spans="1:12" ht="30" x14ac:dyDescent="0.25">
      <c r="A591" s="10">
        <v>586</v>
      </c>
      <c r="B591" t="s">
        <v>557</v>
      </c>
      <c r="C591" t="s">
        <v>17</v>
      </c>
      <c r="D591" t="s">
        <v>166</v>
      </c>
      <c r="E591" s="52" t="s">
        <v>167</v>
      </c>
      <c r="F591" t="s">
        <v>558</v>
      </c>
      <c r="G591" s="21">
        <v>-451.98</v>
      </c>
      <c r="H591" s="21">
        <v>0</v>
      </c>
      <c r="I591" s="21">
        <v>0</v>
      </c>
      <c r="J591" s="21">
        <v>0</v>
      </c>
      <c r="K591" s="21">
        <v>9.0399999999999991</v>
      </c>
      <c r="L591" s="21">
        <v>-442.94</v>
      </c>
    </row>
    <row r="592" spans="1:12" ht="30" x14ac:dyDescent="0.25">
      <c r="A592" s="10">
        <v>587</v>
      </c>
      <c r="B592" t="s">
        <v>557</v>
      </c>
      <c r="C592" t="s">
        <v>13</v>
      </c>
      <c r="D592" t="s">
        <v>166</v>
      </c>
      <c r="E592" s="52" t="s">
        <v>167</v>
      </c>
      <c r="F592" t="s">
        <v>558</v>
      </c>
      <c r="G592" s="21">
        <v>0</v>
      </c>
      <c r="H592" s="21">
        <v>0</v>
      </c>
      <c r="I592" s="21">
        <v>0</v>
      </c>
      <c r="J592" s="21">
        <v>-54.24</v>
      </c>
      <c r="K592" s="21">
        <v>0</v>
      </c>
      <c r="L592" s="21">
        <v>-54.24</v>
      </c>
    </row>
    <row r="593" spans="1:12" ht="30" x14ac:dyDescent="0.25">
      <c r="A593" s="10">
        <v>588</v>
      </c>
      <c r="B593" t="s">
        <v>550</v>
      </c>
      <c r="C593" t="s">
        <v>17</v>
      </c>
      <c r="D593" t="s">
        <v>166</v>
      </c>
      <c r="E593" s="52" t="s">
        <v>167</v>
      </c>
      <c r="F593" t="s">
        <v>551</v>
      </c>
      <c r="G593" s="21">
        <v>-13507</v>
      </c>
      <c r="H593" s="21">
        <v>0</v>
      </c>
      <c r="I593" s="21">
        <v>0</v>
      </c>
      <c r="J593" s="21">
        <v>0</v>
      </c>
      <c r="K593" s="21">
        <v>270.14</v>
      </c>
      <c r="L593" s="21">
        <v>-13236.86</v>
      </c>
    </row>
    <row r="594" spans="1:12" ht="30" x14ac:dyDescent="0.25">
      <c r="A594" s="10">
        <v>589</v>
      </c>
      <c r="B594" t="s">
        <v>550</v>
      </c>
      <c r="C594" t="s">
        <v>13</v>
      </c>
      <c r="D594" t="s">
        <v>166</v>
      </c>
      <c r="E594" s="52" t="s">
        <v>167</v>
      </c>
      <c r="F594" t="s">
        <v>551</v>
      </c>
      <c r="G594" s="21">
        <v>0</v>
      </c>
      <c r="H594" s="21">
        <v>0</v>
      </c>
      <c r="I594" s="21">
        <v>0</v>
      </c>
      <c r="J594" s="21">
        <v>-1620.84</v>
      </c>
      <c r="K594" s="21">
        <v>0</v>
      </c>
      <c r="L594" s="21">
        <v>-1620.84</v>
      </c>
    </row>
    <row r="595" spans="1:12" ht="30" x14ac:dyDescent="0.25">
      <c r="A595" s="10">
        <v>590</v>
      </c>
      <c r="B595" t="s">
        <v>550</v>
      </c>
      <c r="C595" t="s">
        <v>17</v>
      </c>
      <c r="D595" t="s">
        <v>166</v>
      </c>
      <c r="E595" s="52" t="s">
        <v>167</v>
      </c>
      <c r="F595" t="s">
        <v>552</v>
      </c>
      <c r="G595" s="21">
        <v>-0.97</v>
      </c>
      <c r="H595" s="21">
        <v>0</v>
      </c>
      <c r="I595" s="21">
        <v>0</v>
      </c>
      <c r="J595" s="21">
        <v>0</v>
      </c>
      <c r="K595" s="21">
        <v>0.02</v>
      </c>
      <c r="L595" s="21">
        <v>-0.95</v>
      </c>
    </row>
    <row r="596" spans="1:12" ht="30" x14ac:dyDescent="0.25">
      <c r="A596" s="10">
        <v>591</v>
      </c>
      <c r="B596" t="s">
        <v>550</v>
      </c>
      <c r="C596" t="s">
        <v>13</v>
      </c>
      <c r="D596" t="s">
        <v>166</v>
      </c>
      <c r="E596" s="52" t="s">
        <v>167</v>
      </c>
      <c r="F596" t="s">
        <v>552</v>
      </c>
      <c r="G596" s="21">
        <v>0</v>
      </c>
      <c r="H596" s="21">
        <v>0</v>
      </c>
      <c r="I596" s="21">
        <v>0</v>
      </c>
      <c r="J596" s="21">
        <v>-0.12</v>
      </c>
      <c r="K596" s="21">
        <v>0</v>
      </c>
      <c r="L596" s="21">
        <v>-0.12</v>
      </c>
    </row>
    <row r="597" spans="1:12" x14ac:dyDescent="0.25">
      <c r="A597" s="10">
        <v>592</v>
      </c>
      <c r="B597" t="s">
        <v>550</v>
      </c>
      <c r="C597" t="s">
        <v>17</v>
      </c>
      <c r="D597" t="s">
        <v>168</v>
      </c>
      <c r="E597" s="52" t="s">
        <v>169</v>
      </c>
      <c r="F597" t="s">
        <v>551</v>
      </c>
      <c r="G597" s="21">
        <v>-1293.7</v>
      </c>
      <c r="H597" s="21">
        <v>0</v>
      </c>
      <c r="I597" s="21">
        <v>0</v>
      </c>
      <c r="J597" s="21">
        <v>0</v>
      </c>
      <c r="K597" s="21">
        <v>25.87</v>
      </c>
      <c r="L597" s="21">
        <v>-1267.83</v>
      </c>
    </row>
    <row r="598" spans="1:12" x14ac:dyDescent="0.25">
      <c r="A598" s="10">
        <v>593</v>
      </c>
      <c r="B598" t="s">
        <v>550</v>
      </c>
      <c r="C598" t="s">
        <v>17</v>
      </c>
      <c r="D598" t="s">
        <v>168</v>
      </c>
      <c r="E598" s="52" t="s">
        <v>169</v>
      </c>
      <c r="F598" t="s">
        <v>552</v>
      </c>
      <c r="G598" s="21">
        <v>-0.09</v>
      </c>
      <c r="H598" s="21">
        <v>0</v>
      </c>
      <c r="I598" s="21">
        <v>0</v>
      </c>
      <c r="J598" s="21">
        <v>0</v>
      </c>
      <c r="K598" s="21">
        <v>0</v>
      </c>
      <c r="L598" s="21">
        <v>-0.09</v>
      </c>
    </row>
    <row r="599" spans="1:12" ht="30" x14ac:dyDescent="0.25">
      <c r="A599" s="10">
        <v>594</v>
      </c>
      <c r="B599" t="s">
        <v>22</v>
      </c>
      <c r="C599" t="s">
        <v>17</v>
      </c>
      <c r="D599" t="s">
        <v>592</v>
      </c>
      <c r="E599" s="52" t="s">
        <v>171</v>
      </c>
      <c r="F599" t="s">
        <v>23</v>
      </c>
      <c r="G599" s="21">
        <v>0</v>
      </c>
      <c r="H599" s="21">
        <v>0</v>
      </c>
      <c r="I599" s="21">
        <v>0</v>
      </c>
      <c r="J599" s="21">
        <v>0</v>
      </c>
      <c r="K599" s="21">
        <v>0</v>
      </c>
      <c r="L599" s="21">
        <v>0</v>
      </c>
    </row>
    <row r="600" spans="1:12" ht="30" x14ac:dyDescent="0.25">
      <c r="A600" s="10">
        <v>595</v>
      </c>
      <c r="B600" t="s">
        <v>550</v>
      </c>
      <c r="C600" t="s">
        <v>17</v>
      </c>
      <c r="D600" t="s">
        <v>592</v>
      </c>
      <c r="E600" s="52" t="s">
        <v>171</v>
      </c>
      <c r="F600" t="s">
        <v>551</v>
      </c>
      <c r="G600" s="21">
        <v>0</v>
      </c>
      <c r="H600" s="21">
        <v>0</v>
      </c>
      <c r="I600" s="21">
        <v>-7.09</v>
      </c>
      <c r="J600" s="21">
        <v>0</v>
      </c>
      <c r="K600" s="21">
        <v>0.14000000000000001</v>
      </c>
      <c r="L600" s="21">
        <v>-6.95</v>
      </c>
    </row>
    <row r="601" spans="1:12" ht="30" x14ac:dyDescent="0.25">
      <c r="A601" s="10">
        <v>596</v>
      </c>
      <c r="B601" t="s">
        <v>555</v>
      </c>
      <c r="C601" t="s">
        <v>17</v>
      </c>
      <c r="D601" t="s">
        <v>172</v>
      </c>
      <c r="E601" s="52" t="s">
        <v>173</v>
      </c>
      <c r="F601" t="s">
        <v>556</v>
      </c>
      <c r="G601" s="21">
        <v>0</v>
      </c>
      <c r="H601" s="21">
        <v>0</v>
      </c>
      <c r="I601" s="21">
        <v>-74.3</v>
      </c>
      <c r="J601" s="21">
        <v>0</v>
      </c>
      <c r="K601" s="21">
        <v>1.49</v>
      </c>
      <c r="L601" s="21">
        <v>-72.81</v>
      </c>
    </row>
    <row r="602" spans="1:12" ht="30" x14ac:dyDescent="0.25">
      <c r="A602" s="10">
        <v>597</v>
      </c>
      <c r="B602" t="s">
        <v>557</v>
      </c>
      <c r="C602" t="s">
        <v>17</v>
      </c>
      <c r="D602" t="s">
        <v>172</v>
      </c>
      <c r="E602" s="52" t="s">
        <v>173</v>
      </c>
      <c r="F602" t="s">
        <v>558</v>
      </c>
      <c r="G602" s="21">
        <v>0</v>
      </c>
      <c r="H602" s="21">
        <v>0</v>
      </c>
      <c r="I602" s="21">
        <v>-40.82</v>
      </c>
      <c r="J602" s="21">
        <v>0</v>
      </c>
      <c r="K602" s="21">
        <v>0.82</v>
      </c>
      <c r="L602" s="21">
        <v>-40</v>
      </c>
    </row>
    <row r="603" spans="1:12" ht="30" x14ac:dyDescent="0.25">
      <c r="A603" s="10">
        <v>598</v>
      </c>
      <c r="B603" t="s">
        <v>550</v>
      </c>
      <c r="C603" t="s">
        <v>17</v>
      </c>
      <c r="D603" t="s">
        <v>172</v>
      </c>
      <c r="E603" s="52" t="s">
        <v>173</v>
      </c>
      <c r="F603" t="s">
        <v>551</v>
      </c>
      <c r="G603" s="21">
        <v>0</v>
      </c>
      <c r="H603" s="21">
        <v>0</v>
      </c>
      <c r="I603" s="21">
        <v>-4268.3500000000004</v>
      </c>
      <c r="J603" s="21">
        <v>0</v>
      </c>
      <c r="K603" s="21">
        <v>85.37</v>
      </c>
      <c r="L603" s="21">
        <v>-4182.9799999999996</v>
      </c>
    </row>
    <row r="604" spans="1:12" ht="30" x14ac:dyDescent="0.25">
      <c r="A604" s="10">
        <v>599</v>
      </c>
      <c r="B604" t="s">
        <v>550</v>
      </c>
      <c r="C604" t="s">
        <v>17</v>
      </c>
      <c r="D604" t="s">
        <v>172</v>
      </c>
      <c r="E604" s="52" t="s">
        <v>173</v>
      </c>
      <c r="F604" t="s">
        <v>551</v>
      </c>
      <c r="G604" s="21">
        <v>0</v>
      </c>
      <c r="H604" s="21">
        <v>0</v>
      </c>
      <c r="I604" s="21">
        <v>-896.15</v>
      </c>
      <c r="J604" s="21">
        <v>0</v>
      </c>
      <c r="K604" s="21">
        <v>17.920000000000002</v>
      </c>
      <c r="L604" s="21">
        <v>-878.23</v>
      </c>
    </row>
    <row r="605" spans="1:12" ht="30" x14ac:dyDescent="0.25">
      <c r="A605" s="10">
        <v>600</v>
      </c>
      <c r="B605" t="s">
        <v>550</v>
      </c>
      <c r="C605" t="s">
        <v>17</v>
      </c>
      <c r="D605" t="s">
        <v>172</v>
      </c>
      <c r="E605" s="52" t="s">
        <v>173</v>
      </c>
      <c r="F605" t="s">
        <v>552</v>
      </c>
      <c r="G605" s="21">
        <v>0</v>
      </c>
      <c r="H605" s="21">
        <v>0</v>
      </c>
      <c r="I605" s="21">
        <v>-0.31</v>
      </c>
      <c r="J605" s="21">
        <v>0</v>
      </c>
      <c r="K605" s="21">
        <v>0.01</v>
      </c>
      <c r="L605" s="21">
        <v>-0.3</v>
      </c>
    </row>
    <row r="606" spans="1:12" ht="30" x14ac:dyDescent="0.25">
      <c r="A606" s="10">
        <v>601</v>
      </c>
      <c r="B606" t="s">
        <v>550</v>
      </c>
      <c r="C606" t="s">
        <v>17</v>
      </c>
      <c r="D606" t="s">
        <v>172</v>
      </c>
      <c r="E606" s="52" t="s">
        <v>173</v>
      </c>
      <c r="F606" t="s">
        <v>552</v>
      </c>
      <c r="G606" s="21">
        <v>0</v>
      </c>
      <c r="H606" s="21">
        <v>0</v>
      </c>
      <c r="I606" s="21">
        <v>-0.06</v>
      </c>
      <c r="J606" s="21">
        <v>0</v>
      </c>
      <c r="K606" s="21">
        <v>0</v>
      </c>
      <c r="L606" s="21">
        <v>-0.06</v>
      </c>
    </row>
    <row r="607" spans="1:12" ht="30" x14ac:dyDescent="0.25">
      <c r="A607" s="10">
        <v>602</v>
      </c>
      <c r="B607" t="s">
        <v>18</v>
      </c>
      <c r="C607" t="s">
        <v>17</v>
      </c>
      <c r="D607" t="s">
        <v>174</v>
      </c>
      <c r="E607" s="52" t="s">
        <v>175</v>
      </c>
      <c r="F607" t="s">
        <v>19</v>
      </c>
      <c r="G607" s="21">
        <v>0</v>
      </c>
      <c r="H607" s="21">
        <v>0</v>
      </c>
      <c r="I607" s="21">
        <v>-1.02</v>
      </c>
      <c r="J607" s="21">
        <v>0</v>
      </c>
      <c r="K607" s="21">
        <v>0.12</v>
      </c>
      <c r="L607" s="21">
        <v>-0.9</v>
      </c>
    </row>
    <row r="608" spans="1:12" ht="30" x14ac:dyDescent="0.25">
      <c r="A608" s="10">
        <v>603</v>
      </c>
      <c r="B608" t="s">
        <v>584</v>
      </c>
      <c r="C608" t="s">
        <v>17</v>
      </c>
      <c r="D608" t="s">
        <v>593</v>
      </c>
      <c r="E608" s="52" t="s">
        <v>175</v>
      </c>
      <c r="F608" t="s">
        <v>585</v>
      </c>
      <c r="G608" s="21">
        <v>0</v>
      </c>
      <c r="H608" s="21">
        <v>0</v>
      </c>
      <c r="I608" s="21">
        <v>-323.95999999999998</v>
      </c>
      <c r="J608" s="21">
        <v>0</v>
      </c>
      <c r="K608" s="21">
        <v>6.48</v>
      </c>
      <c r="L608" s="21">
        <v>-317.48</v>
      </c>
    </row>
    <row r="609" spans="1:12" ht="30" x14ac:dyDescent="0.25">
      <c r="A609" s="10">
        <v>604</v>
      </c>
      <c r="B609" t="s">
        <v>559</v>
      </c>
      <c r="C609" t="s">
        <v>17</v>
      </c>
      <c r="D609" t="s">
        <v>593</v>
      </c>
      <c r="E609" s="52" t="s">
        <v>175</v>
      </c>
      <c r="F609" t="s">
        <v>560</v>
      </c>
      <c r="G609" s="21">
        <v>0</v>
      </c>
      <c r="H609" s="21">
        <v>0</v>
      </c>
      <c r="I609" s="21">
        <v>-0.21</v>
      </c>
      <c r="J609" s="21">
        <v>0</v>
      </c>
      <c r="K609" s="21">
        <v>0</v>
      </c>
      <c r="L609" s="21">
        <v>-0.21</v>
      </c>
    </row>
    <row r="610" spans="1:12" ht="30" x14ac:dyDescent="0.25">
      <c r="A610" s="10">
        <v>605</v>
      </c>
      <c r="B610" t="s">
        <v>550</v>
      </c>
      <c r="C610" t="s">
        <v>17</v>
      </c>
      <c r="D610" t="s">
        <v>593</v>
      </c>
      <c r="E610" s="52" t="s">
        <v>175</v>
      </c>
      <c r="F610" t="s">
        <v>551</v>
      </c>
      <c r="G610" s="21">
        <v>0</v>
      </c>
      <c r="H610" s="21">
        <v>0</v>
      </c>
      <c r="I610" s="21">
        <v>-26.24</v>
      </c>
      <c r="J610" s="21">
        <v>0</v>
      </c>
      <c r="K610" s="21">
        <v>0.52</v>
      </c>
      <c r="L610" s="21">
        <v>-25.72</v>
      </c>
    </row>
    <row r="611" spans="1:12" ht="30" x14ac:dyDescent="0.25">
      <c r="A611" s="10">
        <v>606</v>
      </c>
      <c r="B611" t="s">
        <v>550</v>
      </c>
      <c r="C611" t="s">
        <v>17</v>
      </c>
      <c r="D611" t="s">
        <v>593</v>
      </c>
      <c r="E611" s="52" t="s">
        <v>175</v>
      </c>
      <c r="F611" t="s">
        <v>551</v>
      </c>
      <c r="G611" s="21">
        <v>0</v>
      </c>
      <c r="H611" s="21">
        <v>0</v>
      </c>
      <c r="I611" s="21">
        <v>-3346.13</v>
      </c>
      <c r="J611" s="21">
        <v>0</v>
      </c>
      <c r="K611" s="21">
        <v>66.92</v>
      </c>
      <c r="L611" s="21">
        <v>-3279.21</v>
      </c>
    </row>
    <row r="612" spans="1:12" ht="30" x14ac:dyDescent="0.25">
      <c r="A612" s="10">
        <v>607</v>
      </c>
      <c r="B612" t="s">
        <v>550</v>
      </c>
      <c r="C612" t="s">
        <v>17</v>
      </c>
      <c r="D612" t="s">
        <v>593</v>
      </c>
      <c r="E612" s="52" t="s">
        <v>175</v>
      </c>
      <c r="F612" t="s">
        <v>552</v>
      </c>
      <c r="G612" s="21">
        <v>0</v>
      </c>
      <c r="H612" s="21">
        <v>0</v>
      </c>
      <c r="I612" s="21">
        <v>-0.24</v>
      </c>
      <c r="J612" s="21">
        <v>0</v>
      </c>
      <c r="K612" s="21">
        <v>0</v>
      </c>
      <c r="L612" s="21">
        <v>-0.24</v>
      </c>
    </row>
    <row r="613" spans="1:12" ht="30" x14ac:dyDescent="0.25">
      <c r="A613" s="10">
        <v>608</v>
      </c>
      <c r="B613" t="s">
        <v>550</v>
      </c>
      <c r="C613" t="s">
        <v>17</v>
      </c>
      <c r="D613" t="s">
        <v>594</v>
      </c>
      <c r="E613" s="52" t="s">
        <v>595</v>
      </c>
      <c r="F613" t="s">
        <v>551</v>
      </c>
      <c r="G613" s="21">
        <v>0</v>
      </c>
      <c r="H613" s="21">
        <v>0</v>
      </c>
      <c r="I613" s="21">
        <v>-125.21</v>
      </c>
      <c r="J613" s="21">
        <v>0</v>
      </c>
      <c r="K613" s="21">
        <v>2.5</v>
      </c>
      <c r="L613" s="21">
        <v>-122.71</v>
      </c>
    </row>
    <row r="614" spans="1:12" ht="30" x14ac:dyDescent="0.25">
      <c r="A614" s="10">
        <v>609</v>
      </c>
      <c r="B614" t="s">
        <v>550</v>
      </c>
      <c r="C614" t="s">
        <v>17</v>
      </c>
      <c r="D614" t="s">
        <v>594</v>
      </c>
      <c r="E614" s="52" t="s">
        <v>595</v>
      </c>
      <c r="F614" t="s">
        <v>552</v>
      </c>
      <c r="G614" s="21">
        <v>0</v>
      </c>
      <c r="H614" s="21">
        <v>0</v>
      </c>
      <c r="I614" s="21">
        <v>-0.01</v>
      </c>
      <c r="J614" s="21">
        <v>0</v>
      </c>
      <c r="K614" s="21">
        <v>0</v>
      </c>
      <c r="L614" s="21">
        <v>-0.01</v>
      </c>
    </row>
    <row r="615" spans="1:12" ht="30" x14ac:dyDescent="0.25">
      <c r="A615" s="10">
        <v>610</v>
      </c>
      <c r="B615" t="s">
        <v>555</v>
      </c>
      <c r="C615" t="s">
        <v>17</v>
      </c>
      <c r="D615" t="s">
        <v>176</v>
      </c>
      <c r="E615" s="52" t="s">
        <v>177</v>
      </c>
      <c r="F615" t="s">
        <v>556</v>
      </c>
      <c r="G615" s="21">
        <v>-890.02</v>
      </c>
      <c r="H615" s="21">
        <v>0</v>
      </c>
      <c r="I615" s="21">
        <v>0</v>
      </c>
      <c r="J615" s="21">
        <v>0</v>
      </c>
      <c r="K615" s="21">
        <v>17.8</v>
      </c>
      <c r="L615" s="21">
        <v>-872.22</v>
      </c>
    </row>
    <row r="616" spans="1:12" ht="30" x14ac:dyDescent="0.25">
      <c r="A616" s="10">
        <v>611</v>
      </c>
      <c r="B616" t="s">
        <v>555</v>
      </c>
      <c r="C616" t="s">
        <v>13</v>
      </c>
      <c r="D616" t="s">
        <v>176</v>
      </c>
      <c r="E616" s="52" t="s">
        <v>177</v>
      </c>
      <c r="F616" t="s">
        <v>556</v>
      </c>
      <c r="G616" s="21">
        <v>0</v>
      </c>
      <c r="H616" s="21">
        <v>0</v>
      </c>
      <c r="I616" s="21">
        <v>0</v>
      </c>
      <c r="J616" s="21">
        <v>-106.8</v>
      </c>
      <c r="K616" s="21">
        <v>0</v>
      </c>
      <c r="L616" s="21">
        <v>-106.8</v>
      </c>
    </row>
    <row r="617" spans="1:12" ht="30" x14ac:dyDescent="0.25">
      <c r="A617" s="10">
        <v>612</v>
      </c>
      <c r="B617" t="s">
        <v>557</v>
      </c>
      <c r="C617" t="s">
        <v>17</v>
      </c>
      <c r="D617" t="s">
        <v>176</v>
      </c>
      <c r="E617" s="52" t="s">
        <v>177</v>
      </c>
      <c r="F617" t="s">
        <v>558</v>
      </c>
      <c r="G617" s="21">
        <v>-525.89</v>
      </c>
      <c r="H617" s="21">
        <v>0</v>
      </c>
      <c r="I617" s="21">
        <v>0</v>
      </c>
      <c r="J617" s="21">
        <v>0</v>
      </c>
      <c r="K617" s="21">
        <v>10.52</v>
      </c>
      <c r="L617" s="21">
        <v>-515.37</v>
      </c>
    </row>
    <row r="618" spans="1:12" ht="30" x14ac:dyDescent="0.25">
      <c r="A618" s="10">
        <v>613</v>
      </c>
      <c r="B618" t="s">
        <v>557</v>
      </c>
      <c r="C618" t="s">
        <v>13</v>
      </c>
      <c r="D618" t="s">
        <v>176</v>
      </c>
      <c r="E618" s="52" t="s">
        <v>177</v>
      </c>
      <c r="F618" t="s">
        <v>558</v>
      </c>
      <c r="G618" s="21">
        <v>0</v>
      </c>
      <c r="H618" s="21">
        <v>0</v>
      </c>
      <c r="I618" s="21">
        <v>0</v>
      </c>
      <c r="J618" s="21">
        <v>-63.11</v>
      </c>
      <c r="K618" s="21">
        <v>0</v>
      </c>
      <c r="L618" s="21">
        <v>-63.11</v>
      </c>
    </row>
    <row r="619" spans="1:12" ht="30" x14ac:dyDescent="0.25">
      <c r="A619" s="10">
        <v>614</v>
      </c>
      <c r="B619" t="s">
        <v>550</v>
      </c>
      <c r="C619" t="s">
        <v>17</v>
      </c>
      <c r="D619" t="s">
        <v>176</v>
      </c>
      <c r="E619" s="52" t="s">
        <v>177</v>
      </c>
      <c r="F619" t="s">
        <v>551</v>
      </c>
      <c r="G619" s="21">
        <v>-2529.21</v>
      </c>
      <c r="H619" s="21">
        <v>0</v>
      </c>
      <c r="I619" s="21">
        <v>0</v>
      </c>
      <c r="J619" s="21">
        <v>0</v>
      </c>
      <c r="K619" s="21">
        <v>50.58</v>
      </c>
      <c r="L619" s="21">
        <v>-2478.63</v>
      </c>
    </row>
    <row r="620" spans="1:12" ht="30" x14ac:dyDescent="0.25">
      <c r="A620" s="10">
        <v>615</v>
      </c>
      <c r="B620" t="s">
        <v>550</v>
      </c>
      <c r="C620" t="s">
        <v>17</v>
      </c>
      <c r="D620" t="s">
        <v>176</v>
      </c>
      <c r="E620" s="52" t="s">
        <v>177</v>
      </c>
      <c r="F620" t="s">
        <v>551</v>
      </c>
      <c r="G620" s="21">
        <v>-5428.32</v>
      </c>
      <c r="H620" s="21">
        <v>0</v>
      </c>
      <c r="I620" s="21">
        <v>0</v>
      </c>
      <c r="J620" s="21">
        <v>0</v>
      </c>
      <c r="K620" s="21">
        <v>108.57</v>
      </c>
      <c r="L620" s="21">
        <v>-5319.75</v>
      </c>
    </row>
    <row r="621" spans="1:12" ht="30" x14ac:dyDescent="0.25">
      <c r="A621" s="10">
        <v>616</v>
      </c>
      <c r="B621" t="s">
        <v>550</v>
      </c>
      <c r="C621" t="s">
        <v>13</v>
      </c>
      <c r="D621" t="s">
        <v>176</v>
      </c>
      <c r="E621" s="52" t="s">
        <v>177</v>
      </c>
      <c r="F621" t="s">
        <v>551</v>
      </c>
      <c r="G621" s="21">
        <v>0</v>
      </c>
      <c r="H621" s="21">
        <v>0</v>
      </c>
      <c r="I621" s="21">
        <v>0</v>
      </c>
      <c r="J621" s="21">
        <v>-303.51</v>
      </c>
      <c r="K621" s="21">
        <v>0</v>
      </c>
      <c r="L621" s="21">
        <v>-303.51</v>
      </c>
    </row>
    <row r="622" spans="1:12" ht="30" x14ac:dyDescent="0.25">
      <c r="A622" s="10">
        <v>617</v>
      </c>
      <c r="B622" t="s">
        <v>550</v>
      </c>
      <c r="C622" t="s">
        <v>13</v>
      </c>
      <c r="D622" t="s">
        <v>176</v>
      </c>
      <c r="E622" s="52" t="s">
        <v>177</v>
      </c>
      <c r="F622" t="s">
        <v>551</v>
      </c>
      <c r="G622" s="21">
        <v>0</v>
      </c>
      <c r="H622" s="21">
        <v>0</v>
      </c>
      <c r="I622" s="21">
        <v>0</v>
      </c>
      <c r="J622" s="21">
        <v>-651.4</v>
      </c>
      <c r="K622" s="21">
        <v>0</v>
      </c>
      <c r="L622" s="21">
        <v>-651.4</v>
      </c>
    </row>
    <row r="623" spans="1:12" ht="30" x14ac:dyDescent="0.25">
      <c r="A623" s="10">
        <v>618</v>
      </c>
      <c r="B623" t="s">
        <v>550</v>
      </c>
      <c r="C623" t="s">
        <v>17</v>
      </c>
      <c r="D623" t="s">
        <v>176</v>
      </c>
      <c r="E623" s="52" t="s">
        <v>177</v>
      </c>
      <c r="F623" t="s">
        <v>552</v>
      </c>
      <c r="G623" s="21">
        <v>-0.18</v>
      </c>
      <c r="H623" s="21">
        <v>0</v>
      </c>
      <c r="I623" s="21">
        <v>0</v>
      </c>
      <c r="J623" s="21">
        <v>0</v>
      </c>
      <c r="K623" s="21">
        <v>0</v>
      </c>
      <c r="L623" s="21">
        <v>-0.18</v>
      </c>
    </row>
    <row r="624" spans="1:12" ht="30" x14ac:dyDescent="0.25">
      <c r="A624" s="10">
        <v>619</v>
      </c>
      <c r="B624" t="s">
        <v>550</v>
      </c>
      <c r="C624" t="s">
        <v>17</v>
      </c>
      <c r="D624" t="s">
        <v>176</v>
      </c>
      <c r="E624" s="52" t="s">
        <v>177</v>
      </c>
      <c r="F624" t="s">
        <v>552</v>
      </c>
      <c r="G624" s="21">
        <v>-0.39</v>
      </c>
      <c r="H624" s="21">
        <v>0</v>
      </c>
      <c r="I624" s="21">
        <v>0</v>
      </c>
      <c r="J624" s="21">
        <v>0</v>
      </c>
      <c r="K624" s="21">
        <v>0.01</v>
      </c>
      <c r="L624" s="21">
        <v>-0.38</v>
      </c>
    </row>
    <row r="625" spans="1:12" ht="30" x14ac:dyDescent="0.25">
      <c r="A625" s="10">
        <v>620</v>
      </c>
      <c r="B625" t="s">
        <v>550</v>
      </c>
      <c r="C625" t="s">
        <v>13</v>
      </c>
      <c r="D625" t="s">
        <v>176</v>
      </c>
      <c r="E625" s="52" t="s">
        <v>177</v>
      </c>
      <c r="F625" t="s">
        <v>552</v>
      </c>
      <c r="G625" s="21">
        <v>0</v>
      </c>
      <c r="H625" s="21">
        <v>0</v>
      </c>
      <c r="I625" s="21">
        <v>0</v>
      </c>
      <c r="J625" s="21">
        <v>-0.02</v>
      </c>
      <c r="K625" s="21">
        <v>0</v>
      </c>
      <c r="L625" s="21">
        <v>-0.02</v>
      </c>
    </row>
    <row r="626" spans="1:12" ht="30" x14ac:dyDescent="0.25">
      <c r="A626" s="10">
        <v>621</v>
      </c>
      <c r="B626" t="s">
        <v>550</v>
      </c>
      <c r="C626" t="s">
        <v>13</v>
      </c>
      <c r="D626" t="s">
        <v>176</v>
      </c>
      <c r="E626" s="52" t="s">
        <v>177</v>
      </c>
      <c r="F626" t="s">
        <v>552</v>
      </c>
      <c r="G626" s="21">
        <v>0</v>
      </c>
      <c r="H626" s="21">
        <v>0</v>
      </c>
      <c r="I626" s="21">
        <v>0</v>
      </c>
      <c r="J626" s="21">
        <v>-0.05</v>
      </c>
      <c r="K626" s="21">
        <v>0</v>
      </c>
      <c r="L626" s="21">
        <v>-0.05</v>
      </c>
    </row>
    <row r="627" spans="1:12" ht="30" x14ac:dyDescent="0.25">
      <c r="A627" s="10">
        <v>622</v>
      </c>
      <c r="B627" t="s">
        <v>559</v>
      </c>
      <c r="C627" t="s">
        <v>17</v>
      </c>
      <c r="D627" t="s">
        <v>178</v>
      </c>
      <c r="E627" s="52" t="s">
        <v>179</v>
      </c>
      <c r="F627" t="s">
        <v>560</v>
      </c>
      <c r="G627" s="21">
        <v>0</v>
      </c>
      <c r="H627" s="21">
        <v>0</v>
      </c>
      <c r="I627" s="21">
        <v>-0.85</v>
      </c>
      <c r="J627" s="21">
        <v>0</v>
      </c>
      <c r="K627" s="21">
        <v>0.02</v>
      </c>
      <c r="L627" s="21">
        <v>-0.83</v>
      </c>
    </row>
    <row r="628" spans="1:12" ht="30" x14ac:dyDescent="0.25">
      <c r="A628" s="10">
        <v>623</v>
      </c>
      <c r="B628" t="s">
        <v>18</v>
      </c>
      <c r="C628" t="s">
        <v>17</v>
      </c>
      <c r="D628" t="s">
        <v>178</v>
      </c>
      <c r="E628" s="52" t="s">
        <v>179</v>
      </c>
      <c r="F628" t="s">
        <v>19</v>
      </c>
      <c r="G628" s="21">
        <v>0</v>
      </c>
      <c r="H628" s="21">
        <v>0</v>
      </c>
      <c r="I628" s="21">
        <v>-0.25</v>
      </c>
      <c r="J628" s="21">
        <v>0</v>
      </c>
      <c r="K628" s="21">
        <v>0.03</v>
      </c>
      <c r="L628" s="21">
        <v>-0.22</v>
      </c>
    </row>
    <row r="629" spans="1:12" ht="30" x14ac:dyDescent="0.25">
      <c r="A629" s="10">
        <v>624</v>
      </c>
      <c r="B629" t="s">
        <v>18</v>
      </c>
      <c r="C629" t="s">
        <v>17</v>
      </c>
      <c r="D629" t="s">
        <v>178</v>
      </c>
      <c r="E629" s="52" t="s">
        <v>179</v>
      </c>
      <c r="F629" t="s">
        <v>19</v>
      </c>
      <c r="G629" s="21">
        <v>0</v>
      </c>
      <c r="H629" s="21">
        <v>0</v>
      </c>
      <c r="I629" s="21">
        <v>-0.06</v>
      </c>
      <c r="J629" s="21">
        <v>0</v>
      </c>
      <c r="K629" s="21">
        <v>0.01</v>
      </c>
      <c r="L629" s="21">
        <v>-0.05</v>
      </c>
    </row>
    <row r="630" spans="1:12" ht="30" x14ac:dyDescent="0.25">
      <c r="A630" s="10">
        <v>625</v>
      </c>
      <c r="B630" t="s">
        <v>18</v>
      </c>
      <c r="C630" t="s">
        <v>17</v>
      </c>
      <c r="D630" t="s">
        <v>178</v>
      </c>
      <c r="E630" s="52" t="s">
        <v>179</v>
      </c>
      <c r="F630" t="s">
        <v>19</v>
      </c>
      <c r="G630" s="21">
        <v>0</v>
      </c>
      <c r="H630" s="21">
        <v>0</v>
      </c>
      <c r="I630" s="21">
        <v>-0.01</v>
      </c>
      <c r="J630" s="21">
        <v>0</v>
      </c>
      <c r="K630" s="21">
        <v>0</v>
      </c>
      <c r="L630" s="21">
        <v>-0.01</v>
      </c>
    </row>
    <row r="631" spans="1:12" ht="30" x14ac:dyDescent="0.25">
      <c r="A631" s="10">
        <v>626</v>
      </c>
      <c r="B631" t="s">
        <v>18</v>
      </c>
      <c r="C631" t="s">
        <v>17</v>
      </c>
      <c r="D631" t="s">
        <v>178</v>
      </c>
      <c r="E631" s="52" t="s">
        <v>179</v>
      </c>
      <c r="F631" t="s">
        <v>19</v>
      </c>
      <c r="G631" s="21">
        <v>0</v>
      </c>
      <c r="H631" s="21">
        <v>0</v>
      </c>
      <c r="I631" s="21">
        <v>-0.01</v>
      </c>
      <c r="J631" s="21">
        <v>0</v>
      </c>
      <c r="K631" s="21">
        <v>0</v>
      </c>
      <c r="L631" s="21">
        <v>-0.01</v>
      </c>
    </row>
    <row r="632" spans="1:12" ht="30" x14ac:dyDescent="0.25">
      <c r="A632" s="10">
        <v>627</v>
      </c>
      <c r="B632" t="s">
        <v>550</v>
      </c>
      <c r="C632" t="s">
        <v>17</v>
      </c>
      <c r="D632" t="s">
        <v>178</v>
      </c>
      <c r="E632" s="52" t="s">
        <v>179</v>
      </c>
      <c r="F632" t="s">
        <v>551</v>
      </c>
      <c r="G632" s="21">
        <v>0</v>
      </c>
      <c r="H632" s="21">
        <v>0</v>
      </c>
      <c r="I632" s="21">
        <v>-70.599999999999994</v>
      </c>
      <c r="J632" s="21">
        <v>0</v>
      </c>
      <c r="K632" s="21">
        <v>1.41</v>
      </c>
      <c r="L632" s="21">
        <v>-69.19</v>
      </c>
    </row>
    <row r="633" spans="1:12" ht="30" x14ac:dyDescent="0.25">
      <c r="A633" s="10">
        <v>628</v>
      </c>
      <c r="B633" t="s">
        <v>550</v>
      </c>
      <c r="C633" t="s">
        <v>17</v>
      </c>
      <c r="D633" t="s">
        <v>178</v>
      </c>
      <c r="E633" s="52" t="s">
        <v>179</v>
      </c>
      <c r="F633" t="s">
        <v>551</v>
      </c>
      <c r="G633" s="21">
        <v>0</v>
      </c>
      <c r="H633" s="21">
        <v>0</v>
      </c>
      <c r="I633" s="21">
        <v>-464887.81</v>
      </c>
      <c r="J633" s="21">
        <v>0</v>
      </c>
      <c r="K633" s="21">
        <v>9297.76</v>
      </c>
      <c r="L633" s="21">
        <v>-455590.05</v>
      </c>
    </row>
    <row r="634" spans="1:12" ht="30" x14ac:dyDescent="0.25">
      <c r="A634" s="10">
        <v>629</v>
      </c>
      <c r="B634" t="s">
        <v>550</v>
      </c>
      <c r="C634" t="s">
        <v>17</v>
      </c>
      <c r="D634" t="s">
        <v>178</v>
      </c>
      <c r="E634" s="52" t="s">
        <v>179</v>
      </c>
      <c r="F634" t="s">
        <v>551</v>
      </c>
      <c r="G634" s="21">
        <v>0</v>
      </c>
      <c r="H634" s="21">
        <v>0</v>
      </c>
      <c r="I634" s="21">
        <v>-875.38</v>
      </c>
      <c r="J634" s="21">
        <v>0</v>
      </c>
      <c r="K634" s="21">
        <v>17.510000000000002</v>
      </c>
      <c r="L634" s="21">
        <v>-857.87</v>
      </c>
    </row>
    <row r="635" spans="1:12" ht="30" x14ac:dyDescent="0.25">
      <c r="A635" s="10">
        <v>630</v>
      </c>
      <c r="B635" t="s">
        <v>550</v>
      </c>
      <c r="C635" t="s">
        <v>17</v>
      </c>
      <c r="D635" t="s">
        <v>178</v>
      </c>
      <c r="E635" s="52" t="s">
        <v>179</v>
      </c>
      <c r="F635" t="s">
        <v>551</v>
      </c>
      <c r="G635" s="21">
        <v>0</v>
      </c>
      <c r="H635" s="21">
        <v>0</v>
      </c>
      <c r="I635" s="21">
        <v>-415.27</v>
      </c>
      <c r="J635" s="21">
        <v>0</v>
      </c>
      <c r="K635" s="21">
        <v>8.31</v>
      </c>
      <c r="L635" s="21">
        <v>-406.96</v>
      </c>
    </row>
    <row r="636" spans="1:12" ht="30" x14ac:dyDescent="0.25">
      <c r="A636" s="10">
        <v>631</v>
      </c>
      <c r="B636" t="s">
        <v>550</v>
      </c>
      <c r="C636" t="s">
        <v>17</v>
      </c>
      <c r="D636" t="s">
        <v>178</v>
      </c>
      <c r="E636" s="52" t="s">
        <v>179</v>
      </c>
      <c r="F636" t="s">
        <v>551</v>
      </c>
      <c r="G636" s="21">
        <v>0</v>
      </c>
      <c r="H636" s="21">
        <v>0</v>
      </c>
      <c r="I636" s="21">
        <v>-47.57</v>
      </c>
      <c r="J636" s="21">
        <v>0</v>
      </c>
      <c r="K636" s="21">
        <v>0.95</v>
      </c>
      <c r="L636" s="21">
        <v>-46.62</v>
      </c>
    </row>
    <row r="637" spans="1:12" ht="30" x14ac:dyDescent="0.25">
      <c r="A637" s="10">
        <v>632</v>
      </c>
      <c r="B637" t="s">
        <v>550</v>
      </c>
      <c r="C637" t="s">
        <v>17</v>
      </c>
      <c r="D637" t="s">
        <v>178</v>
      </c>
      <c r="E637" s="52" t="s">
        <v>179</v>
      </c>
      <c r="F637" t="s">
        <v>552</v>
      </c>
      <c r="G637" s="21">
        <v>0</v>
      </c>
      <c r="H637" s="21">
        <v>0</v>
      </c>
      <c r="I637" s="21">
        <v>-0.01</v>
      </c>
      <c r="J637" s="21">
        <v>0</v>
      </c>
      <c r="K637" s="21">
        <v>0</v>
      </c>
      <c r="L637" s="21">
        <v>-0.01</v>
      </c>
    </row>
    <row r="638" spans="1:12" ht="30" x14ac:dyDescent="0.25">
      <c r="A638" s="10">
        <v>633</v>
      </c>
      <c r="B638" t="s">
        <v>550</v>
      </c>
      <c r="C638" t="s">
        <v>17</v>
      </c>
      <c r="D638" t="s">
        <v>178</v>
      </c>
      <c r="E638" s="52" t="s">
        <v>179</v>
      </c>
      <c r="F638" t="s">
        <v>552</v>
      </c>
      <c r="G638" s="21">
        <v>0</v>
      </c>
      <c r="H638" s="21">
        <v>0</v>
      </c>
      <c r="I638" s="21">
        <v>-33.44</v>
      </c>
      <c r="J638" s="21">
        <v>0</v>
      </c>
      <c r="K638" s="21">
        <v>0.67</v>
      </c>
      <c r="L638" s="21">
        <v>-32.770000000000003</v>
      </c>
    </row>
    <row r="639" spans="1:12" ht="30" x14ac:dyDescent="0.25">
      <c r="A639" s="10">
        <v>634</v>
      </c>
      <c r="B639" t="s">
        <v>550</v>
      </c>
      <c r="C639" t="s">
        <v>17</v>
      </c>
      <c r="D639" t="s">
        <v>178</v>
      </c>
      <c r="E639" s="52" t="s">
        <v>179</v>
      </c>
      <c r="F639" t="s">
        <v>552</v>
      </c>
      <c r="G639" s="21">
        <v>0</v>
      </c>
      <c r="H639" s="21">
        <v>0</v>
      </c>
      <c r="I639" s="21">
        <v>-0.06</v>
      </c>
      <c r="J639" s="21">
        <v>0</v>
      </c>
      <c r="K639" s="21">
        <v>0</v>
      </c>
      <c r="L639" s="21">
        <v>-0.06</v>
      </c>
    </row>
    <row r="640" spans="1:12" ht="30" x14ac:dyDescent="0.25">
      <c r="A640" s="10">
        <v>635</v>
      </c>
      <c r="B640" t="s">
        <v>550</v>
      </c>
      <c r="C640" t="s">
        <v>17</v>
      </c>
      <c r="D640" t="s">
        <v>178</v>
      </c>
      <c r="E640" s="52" t="s">
        <v>179</v>
      </c>
      <c r="F640" t="s">
        <v>552</v>
      </c>
      <c r="G640" s="21">
        <v>0</v>
      </c>
      <c r="H640" s="21">
        <v>0</v>
      </c>
      <c r="I640" s="21">
        <v>-0.03</v>
      </c>
      <c r="J640" s="21">
        <v>0</v>
      </c>
      <c r="K640" s="21">
        <v>0</v>
      </c>
      <c r="L640" s="21">
        <v>-0.03</v>
      </c>
    </row>
    <row r="641" spans="1:12" ht="30" x14ac:dyDescent="0.25">
      <c r="A641" s="10">
        <v>636</v>
      </c>
      <c r="B641" t="s">
        <v>18</v>
      </c>
      <c r="C641" t="s">
        <v>17</v>
      </c>
      <c r="D641" t="s">
        <v>180</v>
      </c>
      <c r="E641" s="52" t="s">
        <v>179</v>
      </c>
      <c r="F641" t="s">
        <v>19</v>
      </c>
      <c r="G641" s="21">
        <v>0</v>
      </c>
      <c r="H641" s="21">
        <v>0</v>
      </c>
      <c r="I641" s="21">
        <v>0</v>
      </c>
      <c r="J641" s="21">
        <v>0</v>
      </c>
      <c r="K641" s="21">
        <v>0</v>
      </c>
      <c r="L641" s="21">
        <v>0</v>
      </c>
    </row>
    <row r="642" spans="1:12" ht="30" x14ac:dyDescent="0.25">
      <c r="A642" s="10">
        <v>637</v>
      </c>
      <c r="B642" t="s">
        <v>550</v>
      </c>
      <c r="C642" t="s">
        <v>17</v>
      </c>
      <c r="D642" t="s">
        <v>180</v>
      </c>
      <c r="E642" s="52" t="s">
        <v>179</v>
      </c>
      <c r="F642" t="s">
        <v>551</v>
      </c>
      <c r="G642" s="21">
        <v>0</v>
      </c>
      <c r="H642" s="21">
        <v>0</v>
      </c>
      <c r="I642" s="21">
        <v>-3.17</v>
      </c>
      <c r="J642" s="21">
        <v>0</v>
      </c>
      <c r="K642" s="21">
        <v>0.06</v>
      </c>
      <c r="L642" s="21">
        <v>-3.11</v>
      </c>
    </row>
    <row r="643" spans="1:12" ht="30" x14ac:dyDescent="0.25">
      <c r="A643" s="10">
        <v>638</v>
      </c>
      <c r="B643" t="s">
        <v>559</v>
      </c>
      <c r="C643" t="s">
        <v>17</v>
      </c>
      <c r="D643" t="s">
        <v>181</v>
      </c>
      <c r="E643" s="52" t="s">
        <v>182</v>
      </c>
      <c r="F643" t="s">
        <v>560</v>
      </c>
      <c r="G643" s="21">
        <v>-0.14000000000000001</v>
      </c>
      <c r="H643" s="21">
        <v>0</v>
      </c>
      <c r="I643" s="21">
        <v>0</v>
      </c>
      <c r="J643" s="21">
        <v>0</v>
      </c>
      <c r="K643" s="21">
        <v>0</v>
      </c>
      <c r="L643" s="21">
        <v>-0.14000000000000001</v>
      </c>
    </row>
    <row r="644" spans="1:12" ht="30" x14ac:dyDescent="0.25">
      <c r="A644" s="10">
        <v>639</v>
      </c>
      <c r="B644" t="s">
        <v>559</v>
      </c>
      <c r="C644" t="s">
        <v>17</v>
      </c>
      <c r="D644" t="s">
        <v>181</v>
      </c>
      <c r="E644" s="52" t="s">
        <v>182</v>
      </c>
      <c r="F644" t="s">
        <v>560</v>
      </c>
      <c r="G644" s="21">
        <v>-0.04</v>
      </c>
      <c r="H644" s="21">
        <v>0</v>
      </c>
      <c r="I644" s="21">
        <v>0</v>
      </c>
      <c r="J644" s="21">
        <v>0</v>
      </c>
      <c r="K644" s="21">
        <v>0</v>
      </c>
      <c r="L644" s="21">
        <v>-0.04</v>
      </c>
    </row>
    <row r="645" spans="1:12" ht="30" x14ac:dyDescent="0.25">
      <c r="A645" s="10">
        <v>640</v>
      </c>
      <c r="B645" t="s">
        <v>559</v>
      </c>
      <c r="C645" t="s">
        <v>13</v>
      </c>
      <c r="D645" t="s">
        <v>181</v>
      </c>
      <c r="E645" s="52" t="s">
        <v>182</v>
      </c>
      <c r="F645" t="s">
        <v>560</v>
      </c>
      <c r="G645" s="21">
        <v>0</v>
      </c>
      <c r="H645" s="21">
        <v>0</v>
      </c>
      <c r="I645" s="21">
        <v>0</v>
      </c>
      <c r="J645" s="21">
        <v>-0.02</v>
      </c>
      <c r="K645" s="21">
        <v>0</v>
      </c>
      <c r="L645" s="21">
        <v>-0.02</v>
      </c>
    </row>
    <row r="646" spans="1:12" ht="30" x14ac:dyDescent="0.25">
      <c r="A646" s="10">
        <v>641</v>
      </c>
      <c r="B646" t="s">
        <v>559</v>
      </c>
      <c r="C646" t="s">
        <v>13</v>
      </c>
      <c r="D646" t="s">
        <v>181</v>
      </c>
      <c r="E646" s="52" t="s">
        <v>182</v>
      </c>
      <c r="F646" t="s">
        <v>560</v>
      </c>
      <c r="G646" s="21">
        <v>0</v>
      </c>
      <c r="H646" s="21">
        <v>0</v>
      </c>
      <c r="I646" s="21">
        <v>0</v>
      </c>
      <c r="J646" s="21">
        <v>0</v>
      </c>
      <c r="K646" s="21">
        <v>0</v>
      </c>
      <c r="L646" s="21">
        <v>0</v>
      </c>
    </row>
    <row r="647" spans="1:12" ht="30" x14ac:dyDescent="0.25">
      <c r="A647" s="10">
        <v>642</v>
      </c>
      <c r="B647" t="s">
        <v>18</v>
      </c>
      <c r="C647" t="s">
        <v>17</v>
      </c>
      <c r="D647" t="s">
        <v>181</v>
      </c>
      <c r="E647" s="52" t="s">
        <v>182</v>
      </c>
      <c r="F647" t="s">
        <v>19</v>
      </c>
      <c r="G647" s="21">
        <v>-0.24</v>
      </c>
      <c r="H647" s="21">
        <v>0</v>
      </c>
      <c r="I647" s="21">
        <v>0</v>
      </c>
      <c r="J647" s="21">
        <v>0</v>
      </c>
      <c r="K647" s="21">
        <v>0.21</v>
      </c>
      <c r="L647" s="21">
        <v>-0.03</v>
      </c>
    </row>
    <row r="648" spans="1:12" ht="30" x14ac:dyDescent="0.25">
      <c r="A648" s="10">
        <v>643</v>
      </c>
      <c r="B648" t="s">
        <v>550</v>
      </c>
      <c r="C648" t="s">
        <v>13</v>
      </c>
      <c r="D648" t="s">
        <v>181</v>
      </c>
      <c r="E648" s="52" t="s">
        <v>182</v>
      </c>
      <c r="F648" t="s">
        <v>551</v>
      </c>
      <c r="G648" s="21">
        <v>0</v>
      </c>
      <c r="H648" s="21">
        <v>0</v>
      </c>
      <c r="I648" s="21">
        <v>0</v>
      </c>
      <c r="J648" s="21">
        <v>-137.91999999999999</v>
      </c>
      <c r="K648" s="21">
        <v>0</v>
      </c>
      <c r="L648" s="21">
        <v>-137.91999999999999</v>
      </c>
    </row>
    <row r="649" spans="1:12" ht="30" x14ac:dyDescent="0.25">
      <c r="A649" s="10">
        <v>644</v>
      </c>
      <c r="B649" t="s">
        <v>550</v>
      </c>
      <c r="C649" t="s">
        <v>17</v>
      </c>
      <c r="D649" t="s">
        <v>181</v>
      </c>
      <c r="E649" s="52" t="s">
        <v>182</v>
      </c>
      <c r="F649" t="s">
        <v>551</v>
      </c>
      <c r="G649" s="21">
        <v>-259</v>
      </c>
      <c r="H649" s="21">
        <v>0</v>
      </c>
      <c r="I649" s="21">
        <v>0</v>
      </c>
      <c r="J649" s="21">
        <v>0</v>
      </c>
      <c r="K649" s="21">
        <v>5.18</v>
      </c>
      <c r="L649" s="21">
        <v>-253.82</v>
      </c>
    </row>
    <row r="650" spans="1:12" ht="30" x14ac:dyDescent="0.25">
      <c r="A650" s="10">
        <v>645</v>
      </c>
      <c r="B650" t="s">
        <v>550</v>
      </c>
      <c r="C650" t="s">
        <v>17</v>
      </c>
      <c r="D650" t="s">
        <v>181</v>
      </c>
      <c r="E650" s="52" t="s">
        <v>182</v>
      </c>
      <c r="F650" t="s">
        <v>551</v>
      </c>
      <c r="G650" s="21">
        <v>-1149.3399999999999</v>
      </c>
      <c r="H650" s="21">
        <v>0</v>
      </c>
      <c r="I650" s="21">
        <v>0</v>
      </c>
      <c r="J650" s="21">
        <v>0</v>
      </c>
      <c r="K650" s="21">
        <v>22.99</v>
      </c>
      <c r="L650" s="21">
        <v>-1126.3499999999999</v>
      </c>
    </row>
    <row r="651" spans="1:12" ht="30" x14ac:dyDescent="0.25">
      <c r="A651" s="10">
        <v>646</v>
      </c>
      <c r="B651" t="s">
        <v>550</v>
      </c>
      <c r="C651" t="s">
        <v>13</v>
      </c>
      <c r="D651" t="s">
        <v>181</v>
      </c>
      <c r="E651" s="52" t="s">
        <v>182</v>
      </c>
      <c r="F651" t="s">
        <v>551</v>
      </c>
      <c r="G651" s="21">
        <v>0</v>
      </c>
      <c r="H651" s="21">
        <v>0</v>
      </c>
      <c r="I651" s="21">
        <v>0</v>
      </c>
      <c r="J651" s="21">
        <v>-31.08</v>
      </c>
      <c r="K651" s="21">
        <v>0</v>
      </c>
      <c r="L651" s="21">
        <v>-31.08</v>
      </c>
    </row>
    <row r="652" spans="1:12" ht="30" x14ac:dyDescent="0.25">
      <c r="A652" s="10">
        <v>647</v>
      </c>
      <c r="B652" t="s">
        <v>550</v>
      </c>
      <c r="C652" t="s">
        <v>17</v>
      </c>
      <c r="D652" t="s">
        <v>181</v>
      </c>
      <c r="E652" s="52" t="s">
        <v>182</v>
      </c>
      <c r="F652" t="s">
        <v>552</v>
      </c>
      <c r="G652" s="21">
        <v>-0.02</v>
      </c>
      <c r="H652" s="21">
        <v>0</v>
      </c>
      <c r="I652" s="21">
        <v>0</v>
      </c>
      <c r="J652" s="21">
        <v>0</v>
      </c>
      <c r="K652" s="21">
        <v>0</v>
      </c>
      <c r="L652" s="21">
        <v>-0.02</v>
      </c>
    </row>
    <row r="653" spans="1:12" ht="30" x14ac:dyDescent="0.25">
      <c r="A653" s="10">
        <v>648</v>
      </c>
      <c r="B653" t="s">
        <v>550</v>
      </c>
      <c r="C653" t="s">
        <v>17</v>
      </c>
      <c r="D653" t="s">
        <v>181</v>
      </c>
      <c r="E653" s="52" t="s">
        <v>182</v>
      </c>
      <c r="F653" t="s">
        <v>552</v>
      </c>
      <c r="G653" s="21">
        <v>-0.08</v>
      </c>
      <c r="H653" s="21">
        <v>0</v>
      </c>
      <c r="I653" s="21">
        <v>0</v>
      </c>
      <c r="J653" s="21">
        <v>0</v>
      </c>
      <c r="K653" s="21">
        <v>0</v>
      </c>
      <c r="L653" s="21">
        <v>-0.08</v>
      </c>
    </row>
    <row r="654" spans="1:12" ht="30" x14ac:dyDescent="0.25">
      <c r="A654" s="10">
        <v>649</v>
      </c>
      <c r="B654" t="s">
        <v>550</v>
      </c>
      <c r="C654" t="s">
        <v>13</v>
      </c>
      <c r="D654" t="s">
        <v>181</v>
      </c>
      <c r="E654" s="52" t="s">
        <v>182</v>
      </c>
      <c r="F654" t="s">
        <v>552</v>
      </c>
      <c r="G654" s="21">
        <v>0</v>
      </c>
      <c r="H654" s="21">
        <v>0</v>
      </c>
      <c r="I654" s="21">
        <v>0</v>
      </c>
      <c r="J654" s="21">
        <v>0</v>
      </c>
      <c r="K654" s="21">
        <v>0</v>
      </c>
      <c r="L654" s="21">
        <v>0</v>
      </c>
    </row>
    <row r="655" spans="1:12" ht="30" x14ac:dyDescent="0.25">
      <c r="A655" s="10">
        <v>650</v>
      </c>
      <c r="B655" t="s">
        <v>550</v>
      </c>
      <c r="C655" t="s">
        <v>13</v>
      </c>
      <c r="D655" t="s">
        <v>181</v>
      </c>
      <c r="E655" s="52" t="s">
        <v>182</v>
      </c>
      <c r="F655" t="s">
        <v>552</v>
      </c>
      <c r="G655" s="21">
        <v>0</v>
      </c>
      <c r="H655" s="21">
        <v>0</v>
      </c>
      <c r="I655" s="21">
        <v>0</v>
      </c>
      <c r="J655" s="21">
        <v>-0.01</v>
      </c>
      <c r="K655" s="21">
        <v>0</v>
      </c>
      <c r="L655" s="21">
        <v>-0.01</v>
      </c>
    </row>
    <row r="656" spans="1:12" x14ac:dyDescent="0.25">
      <c r="A656" s="10">
        <v>651</v>
      </c>
      <c r="B656" t="s">
        <v>559</v>
      </c>
      <c r="C656" t="s">
        <v>17</v>
      </c>
      <c r="D656" t="s">
        <v>183</v>
      </c>
      <c r="E656" s="52" t="s">
        <v>184</v>
      </c>
      <c r="F656" t="s">
        <v>560</v>
      </c>
      <c r="G656" s="21">
        <v>-0.08</v>
      </c>
      <c r="H656" s="21">
        <v>0</v>
      </c>
      <c r="I656" s="21">
        <v>0</v>
      </c>
      <c r="J656" s="21">
        <v>0</v>
      </c>
      <c r="K656" s="21">
        <v>0</v>
      </c>
      <c r="L656" s="21">
        <v>-0.08</v>
      </c>
    </row>
    <row r="657" spans="1:12" x14ac:dyDescent="0.25">
      <c r="A657" s="10">
        <v>652</v>
      </c>
      <c r="B657" t="s">
        <v>559</v>
      </c>
      <c r="C657" t="s">
        <v>13</v>
      </c>
      <c r="D657" t="s">
        <v>183</v>
      </c>
      <c r="E657" s="52" t="s">
        <v>184</v>
      </c>
      <c r="F657" t="s">
        <v>560</v>
      </c>
      <c r="G657" s="21">
        <v>0</v>
      </c>
      <c r="H657" s="21">
        <v>0</v>
      </c>
      <c r="I657" s="21">
        <v>0</v>
      </c>
      <c r="J657" s="21">
        <v>-0.01</v>
      </c>
      <c r="K657" s="21">
        <v>0</v>
      </c>
      <c r="L657" s="21">
        <v>-0.01</v>
      </c>
    </row>
    <row r="658" spans="1:12" x14ac:dyDescent="0.25">
      <c r="A658" s="10">
        <v>653</v>
      </c>
      <c r="B658" t="s">
        <v>18</v>
      </c>
      <c r="C658" t="s">
        <v>17</v>
      </c>
      <c r="D658" t="s">
        <v>183</v>
      </c>
      <c r="E658" s="52" t="s">
        <v>184</v>
      </c>
      <c r="F658" t="s">
        <v>19</v>
      </c>
      <c r="G658" s="21">
        <v>0</v>
      </c>
      <c r="H658" s="21">
        <v>0</v>
      </c>
      <c r="I658" s="21">
        <v>0</v>
      </c>
      <c r="J658" s="21">
        <v>0</v>
      </c>
      <c r="K658" s="21">
        <v>0</v>
      </c>
      <c r="L658" s="21">
        <v>0</v>
      </c>
    </row>
    <row r="659" spans="1:12" x14ac:dyDescent="0.25">
      <c r="A659" s="10">
        <v>654</v>
      </c>
      <c r="B659" t="s">
        <v>550</v>
      </c>
      <c r="C659" t="s">
        <v>17</v>
      </c>
      <c r="D659" t="s">
        <v>183</v>
      </c>
      <c r="E659" s="52" t="s">
        <v>184</v>
      </c>
      <c r="F659" t="s">
        <v>551</v>
      </c>
      <c r="G659" s="21">
        <v>-26.27</v>
      </c>
      <c r="H659" s="21">
        <v>0</v>
      </c>
      <c r="I659" s="21">
        <v>0</v>
      </c>
      <c r="J659" s="21">
        <v>0</v>
      </c>
      <c r="K659" s="21">
        <v>0.53</v>
      </c>
      <c r="L659" s="21">
        <v>-25.74</v>
      </c>
    </row>
    <row r="660" spans="1:12" x14ac:dyDescent="0.25">
      <c r="A660" s="10">
        <v>655</v>
      </c>
      <c r="B660" t="s">
        <v>550</v>
      </c>
      <c r="C660" t="s">
        <v>13</v>
      </c>
      <c r="D660" t="s">
        <v>183</v>
      </c>
      <c r="E660" s="52" t="s">
        <v>184</v>
      </c>
      <c r="F660" t="s">
        <v>551</v>
      </c>
      <c r="G660" s="21">
        <v>0</v>
      </c>
      <c r="H660" s="21">
        <v>0</v>
      </c>
      <c r="I660" s="21">
        <v>0</v>
      </c>
      <c r="J660" s="21">
        <v>-3.15</v>
      </c>
      <c r="K660" s="21">
        <v>0</v>
      </c>
      <c r="L660" s="21">
        <v>-3.15</v>
      </c>
    </row>
    <row r="661" spans="1:12" ht="30" x14ac:dyDescent="0.25">
      <c r="A661" s="10">
        <v>656</v>
      </c>
      <c r="B661" t="s">
        <v>18</v>
      </c>
      <c r="C661" t="s">
        <v>17</v>
      </c>
      <c r="D661" t="s">
        <v>185</v>
      </c>
      <c r="E661" s="52" t="s">
        <v>186</v>
      </c>
      <c r="F661" t="s">
        <v>19</v>
      </c>
      <c r="G661" s="21">
        <v>-0.56000000000000005</v>
      </c>
      <c r="H661" s="21">
        <v>0</v>
      </c>
      <c r="I661" s="21">
        <v>0</v>
      </c>
      <c r="J661" s="21">
        <v>0</v>
      </c>
      <c r="K661" s="21">
        <v>0.5</v>
      </c>
      <c r="L661" s="21">
        <v>-0.06</v>
      </c>
    </row>
    <row r="662" spans="1:12" ht="30" x14ac:dyDescent="0.25">
      <c r="A662" s="10">
        <v>657</v>
      </c>
      <c r="B662" t="s">
        <v>550</v>
      </c>
      <c r="C662" t="s">
        <v>17</v>
      </c>
      <c r="D662" t="s">
        <v>185</v>
      </c>
      <c r="E662" s="52" t="s">
        <v>186</v>
      </c>
      <c r="F662" t="s">
        <v>551</v>
      </c>
      <c r="G662" s="21">
        <v>-12201.68</v>
      </c>
      <c r="H662" s="21">
        <v>0</v>
      </c>
      <c r="I662" s="21">
        <v>0</v>
      </c>
      <c r="J662" s="21">
        <v>0</v>
      </c>
      <c r="K662" s="21">
        <v>244.03</v>
      </c>
      <c r="L662" s="21">
        <v>-11957.65</v>
      </c>
    </row>
    <row r="663" spans="1:12" ht="30" x14ac:dyDescent="0.25">
      <c r="A663" s="10">
        <v>658</v>
      </c>
      <c r="B663" t="s">
        <v>550</v>
      </c>
      <c r="C663" t="s">
        <v>13</v>
      </c>
      <c r="D663" t="s">
        <v>185</v>
      </c>
      <c r="E663" s="52" t="s">
        <v>186</v>
      </c>
      <c r="F663" t="s">
        <v>551</v>
      </c>
      <c r="G663" s="21">
        <v>0</v>
      </c>
      <c r="H663" s="21">
        <v>0</v>
      </c>
      <c r="I663" s="21">
        <v>0</v>
      </c>
      <c r="J663" s="21">
        <v>-1464.2</v>
      </c>
      <c r="K663" s="21">
        <v>0</v>
      </c>
      <c r="L663" s="21">
        <v>-1464.2</v>
      </c>
    </row>
    <row r="664" spans="1:12" ht="30" x14ac:dyDescent="0.25">
      <c r="A664" s="10">
        <v>659</v>
      </c>
      <c r="B664" t="s">
        <v>550</v>
      </c>
      <c r="C664" t="s">
        <v>17</v>
      </c>
      <c r="D664" t="s">
        <v>185</v>
      </c>
      <c r="E664" s="52" t="s">
        <v>186</v>
      </c>
      <c r="F664" t="s">
        <v>552</v>
      </c>
      <c r="G664" s="21">
        <v>-0.88</v>
      </c>
      <c r="H664" s="21">
        <v>0</v>
      </c>
      <c r="I664" s="21">
        <v>0</v>
      </c>
      <c r="J664" s="21">
        <v>0</v>
      </c>
      <c r="K664" s="21">
        <v>0.02</v>
      </c>
      <c r="L664" s="21">
        <v>-0.86</v>
      </c>
    </row>
    <row r="665" spans="1:12" ht="30" x14ac:dyDescent="0.25">
      <c r="A665" s="10">
        <v>660</v>
      </c>
      <c r="B665" t="s">
        <v>550</v>
      </c>
      <c r="C665" t="s">
        <v>13</v>
      </c>
      <c r="D665" t="s">
        <v>185</v>
      </c>
      <c r="E665" s="52" t="s">
        <v>186</v>
      </c>
      <c r="F665" t="s">
        <v>552</v>
      </c>
      <c r="G665" s="21">
        <v>0</v>
      </c>
      <c r="H665" s="21">
        <v>0</v>
      </c>
      <c r="I665" s="21">
        <v>0</v>
      </c>
      <c r="J665" s="21">
        <v>-0.11</v>
      </c>
      <c r="K665" s="21">
        <v>0</v>
      </c>
      <c r="L665" s="21">
        <v>-0.11</v>
      </c>
    </row>
    <row r="666" spans="1:12" x14ac:dyDescent="0.25">
      <c r="A666" s="10">
        <v>661</v>
      </c>
      <c r="B666" t="s">
        <v>559</v>
      </c>
      <c r="C666" t="s">
        <v>17</v>
      </c>
      <c r="D666" t="s">
        <v>187</v>
      </c>
      <c r="E666" s="52" t="s">
        <v>188</v>
      </c>
      <c r="F666" t="s">
        <v>560</v>
      </c>
      <c r="G666" s="21">
        <v>-1.64</v>
      </c>
      <c r="H666" s="21">
        <v>0</v>
      </c>
      <c r="I666" s="21">
        <v>0</v>
      </c>
      <c r="J666" s="21">
        <v>0</v>
      </c>
      <c r="K666" s="21">
        <v>0.03</v>
      </c>
      <c r="L666" s="21">
        <v>-1.61</v>
      </c>
    </row>
    <row r="667" spans="1:12" x14ac:dyDescent="0.25">
      <c r="A667" s="10">
        <v>662</v>
      </c>
      <c r="B667" t="s">
        <v>559</v>
      </c>
      <c r="C667" t="s">
        <v>13</v>
      </c>
      <c r="D667" t="s">
        <v>187</v>
      </c>
      <c r="E667" s="52" t="s">
        <v>188</v>
      </c>
      <c r="F667" t="s">
        <v>560</v>
      </c>
      <c r="G667" s="21">
        <v>0</v>
      </c>
      <c r="H667" s="21">
        <v>0</v>
      </c>
      <c r="I667" s="21">
        <v>0</v>
      </c>
      <c r="J667" s="21">
        <v>-0.2</v>
      </c>
      <c r="K667" s="21">
        <v>0</v>
      </c>
      <c r="L667" s="21">
        <v>-0.2</v>
      </c>
    </row>
    <row r="668" spans="1:12" x14ac:dyDescent="0.25">
      <c r="A668" s="10">
        <v>663</v>
      </c>
      <c r="B668" t="s">
        <v>18</v>
      </c>
      <c r="C668" t="s">
        <v>17</v>
      </c>
      <c r="D668" t="s">
        <v>187</v>
      </c>
      <c r="E668" s="52" t="s">
        <v>188</v>
      </c>
      <c r="F668" t="s">
        <v>19</v>
      </c>
      <c r="G668" s="21">
        <v>-0.2</v>
      </c>
      <c r="H668" s="21">
        <v>0</v>
      </c>
      <c r="I668" s="21">
        <v>0</v>
      </c>
      <c r="J668" s="21">
        <v>0</v>
      </c>
      <c r="K668" s="21">
        <v>0.17</v>
      </c>
      <c r="L668" s="21">
        <v>-0.03</v>
      </c>
    </row>
    <row r="669" spans="1:12" x14ac:dyDescent="0.25">
      <c r="A669" s="10">
        <v>664</v>
      </c>
      <c r="B669" t="s">
        <v>18</v>
      </c>
      <c r="C669" t="s">
        <v>17</v>
      </c>
      <c r="D669" t="s">
        <v>187</v>
      </c>
      <c r="E669" s="52" t="s">
        <v>188</v>
      </c>
      <c r="F669" t="s">
        <v>19</v>
      </c>
      <c r="G669" s="21">
        <v>-0.2</v>
      </c>
      <c r="H669" s="21">
        <v>0</v>
      </c>
      <c r="I669" s="21">
        <v>0</v>
      </c>
      <c r="J669" s="21">
        <v>0</v>
      </c>
      <c r="K669" s="21">
        <v>0.18</v>
      </c>
      <c r="L669" s="21">
        <v>-0.02</v>
      </c>
    </row>
    <row r="670" spans="1:12" x14ac:dyDescent="0.25">
      <c r="A670" s="10">
        <v>665</v>
      </c>
      <c r="B670" t="s">
        <v>550</v>
      </c>
      <c r="C670" t="s">
        <v>17</v>
      </c>
      <c r="D670" t="s">
        <v>187</v>
      </c>
      <c r="E670" s="52" t="s">
        <v>188</v>
      </c>
      <c r="F670" t="s">
        <v>551</v>
      </c>
      <c r="G670" s="21">
        <v>-225.22</v>
      </c>
      <c r="H670" s="21">
        <v>0</v>
      </c>
      <c r="I670" s="21">
        <v>0</v>
      </c>
      <c r="J670" s="21">
        <v>0</v>
      </c>
      <c r="K670" s="21">
        <v>4.5</v>
      </c>
      <c r="L670" s="21">
        <v>-220.72</v>
      </c>
    </row>
    <row r="671" spans="1:12" x14ac:dyDescent="0.25">
      <c r="A671" s="10">
        <v>666</v>
      </c>
      <c r="B671" t="s">
        <v>550</v>
      </c>
      <c r="C671" t="s">
        <v>17</v>
      </c>
      <c r="D671" t="s">
        <v>187</v>
      </c>
      <c r="E671" s="52" t="s">
        <v>188</v>
      </c>
      <c r="F671" t="s">
        <v>551</v>
      </c>
      <c r="G671" s="21">
        <v>-1170</v>
      </c>
      <c r="H671" s="21">
        <v>0</v>
      </c>
      <c r="I671" s="21">
        <v>0</v>
      </c>
      <c r="J671" s="21">
        <v>0</v>
      </c>
      <c r="K671" s="21">
        <v>23.4</v>
      </c>
      <c r="L671" s="21">
        <v>-1146.5999999999999</v>
      </c>
    </row>
    <row r="672" spans="1:12" x14ac:dyDescent="0.25">
      <c r="A672" s="10">
        <v>667</v>
      </c>
      <c r="B672" t="s">
        <v>550</v>
      </c>
      <c r="C672" t="s">
        <v>13</v>
      </c>
      <c r="D672" t="s">
        <v>187</v>
      </c>
      <c r="E672" s="52" t="s">
        <v>188</v>
      </c>
      <c r="F672" t="s">
        <v>551</v>
      </c>
      <c r="G672" s="21">
        <v>0</v>
      </c>
      <c r="H672" s="21">
        <v>0</v>
      </c>
      <c r="I672" s="21">
        <v>0</v>
      </c>
      <c r="J672" s="21">
        <v>-27.03</v>
      </c>
      <c r="K672" s="21">
        <v>0</v>
      </c>
      <c r="L672" s="21">
        <v>-27.03</v>
      </c>
    </row>
    <row r="673" spans="1:12" x14ac:dyDescent="0.25">
      <c r="A673" s="10">
        <v>668</v>
      </c>
      <c r="B673" t="s">
        <v>550</v>
      </c>
      <c r="C673" t="s">
        <v>13</v>
      </c>
      <c r="D673" t="s">
        <v>187</v>
      </c>
      <c r="E673" s="52" t="s">
        <v>188</v>
      </c>
      <c r="F673" t="s">
        <v>551</v>
      </c>
      <c r="G673" s="21">
        <v>0</v>
      </c>
      <c r="H673" s="21">
        <v>0</v>
      </c>
      <c r="I673" s="21">
        <v>0</v>
      </c>
      <c r="J673" s="21">
        <v>-140.4</v>
      </c>
      <c r="K673" s="21">
        <v>0</v>
      </c>
      <c r="L673" s="21">
        <v>-140.4</v>
      </c>
    </row>
    <row r="674" spans="1:12" x14ac:dyDescent="0.25">
      <c r="A674" s="10">
        <v>669</v>
      </c>
      <c r="B674" t="s">
        <v>550</v>
      </c>
      <c r="C674" t="s">
        <v>17</v>
      </c>
      <c r="D674" t="s">
        <v>187</v>
      </c>
      <c r="E674" s="52" t="s">
        <v>188</v>
      </c>
      <c r="F674" t="s">
        <v>552</v>
      </c>
      <c r="G674" s="21">
        <v>-0.02</v>
      </c>
      <c r="H674" s="21">
        <v>0</v>
      </c>
      <c r="I674" s="21">
        <v>0</v>
      </c>
      <c r="J674" s="21">
        <v>0</v>
      </c>
      <c r="K674" s="21">
        <v>0</v>
      </c>
      <c r="L674" s="21">
        <v>-0.02</v>
      </c>
    </row>
    <row r="675" spans="1:12" x14ac:dyDescent="0.25">
      <c r="A675" s="10">
        <v>670</v>
      </c>
      <c r="B675" t="s">
        <v>550</v>
      </c>
      <c r="C675" t="s">
        <v>17</v>
      </c>
      <c r="D675" t="s">
        <v>187</v>
      </c>
      <c r="E675" s="52" t="s">
        <v>188</v>
      </c>
      <c r="F675" t="s">
        <v>552</v>
      </c>
      <c r="G675" s="21">
        <v>-0.08</v>
      </c>
      <c r="H675" s="21">
        <v>0</v>
      </c>
      <c r="I675" s="21">
        <v>0</v>
      </c>
      <c r="J675" s="21">
        <v>0</v>
      </c>
      <c r="K675" s="21">
        <v>0</v>
      </c>
      <c r="L675" s="21">
        <v>-0.08</v>
      </c>
    </row>
    <row r="676" spans="1:12" x14ac:dyDescent="0.25">
      <c r="A676" s="10">
        <v>671</v>
      </c>
      <c r="B676" t="s">
        <v>550</v>
      </c>
      <c r="C676" t="s">
        <v>13</v>
      </c>
      <c r="D676" t="s">
        <v>187</v>
      </c>
      <c r="E676" s="52" t="s">
        <v>188</v>
      </c>
      <c r="F676" t="s">
        <v>552</v>
      </c>
      <c r="G676" s="21">
        <v>0</v>
      </c>
      <c r="H676" s="21">
        <v>0</v>
      </c>
      <c r="I676" s="21">
        <v>0</v>
      </c>
      <c r="J676" s="21">
        <v>0</v>
      </c>
      <c r="K676" s="21">
        <v>0</v>
      </c>
      <c r="L676" s="21">
        <v>0</v>
      </c>
    </row>
    <row r="677" spans="1:12" x14ac:dyDescent="0.25">
      <c r="A677" s="10">
        <v>672</v>
      </c>
      <c r="B677" t="s">
        <v>550</v>
      </c>
      <c r="C677" t="s">
        <v>13</v>
      </c>
      <c r="D677" t="s">
        <v>187</v>
      </c>
      <c r="E677" s="52" t="s">
        <v>188</v>
      </c>
      <c r="F677" t="s">
        <v>552</v>
      </c>
      <c r="G677" s="21">
        <v>0</v>
      </c>
      <c r="H677" s="21">
        <v>0</v>
      </c>
      <c r="I677" s="21">
        <v>0</v>
      </c>
      <c r="J677" s="21">
        <v>-0.01</v>
      </c>
      <c r="K677" s="21">
        <v>0</v>
      </c>
      <c r="L677" s="21">
        <v>-0.01</v>
      </c>
    </row>
    <row r="678" spans="1:12" x14ac:dyDescent="0.25">
      <c r="A678" s="10">
        <v>673</v>
      </c>
      <c r="B678" t="s">
        <v>18</v>
      </c>
      <c r="C678" t="s">
        <v>17</v>
      </c>
      <c r="D678" t="s">
        <v>189</v>
      </c>
      <c r="E678" s="52" t="s">
        <v>190</v>
      </c>
      <c r="F678" t="s">
        <v>19</v>
      </c>
      <c r="G678" s="21">
        <v>0</v>
      </c>
      <c r="H678" s="21">
        <v>0</v>
      </c>
      <c r="I678" s="21">
        <v>-0.14000000000000001</v>
      </c>
      <c r="J678" s="21">
        <v>0</v>
      </c>
      <c r="K678" s="21">
        <v>0.02</v>
      </c>
      <c r="L678" s="21">
        <v>-0.12</v>
      </c>
    </row>
    <row r="679" spans="1:12" x14ac:dyDescent="0.25">
      <c r="A679" s="10">
        <v>674</v>
      </c>
      <c r="B679" t="s">
        <v>12</v>
      </c>
      <c r="C679" t="s">
        <v>17</v>
      </c>
      <c r="D679" t="s">
        <v>596</v>
      </c>
      <c r="E679" s="52" t="s">
        <v>190</v>
      </c>
      <c r="F679" t="s">
        <v>16</v>
      </c>
      <c r="G679" s="21">
        <v>0</v>
      </c>
      <c r="H679" s="21">
        <v>0</v>
      </c>
      <c r="I679" s="21">
        <v>-2.27</v>
      </c>
      <c r="J679" s="21">
        <v>0</v>
      </c>
      <c r="K679" s="21">
        <v>0.05</v>
      </c>
      <c r="L679" s="21">
        <v>-2.2200000000000002</v>
      </c>
    </row>
    <row r="680" spans="1:12" x14ac:dyDescent="0.25">
      <c r="A680" s="10">
        <v>675</v>
      </c>
      <c r="B680" t="s">
        <v>12</v>
      </c>
      <c r="C680" t="s">
        <v>49</v>
      </c>
      <c r="D680" t="s">
        <v>596</v>
      </c>
      <c r="E680" s="52" t="s">
        <v>190</v>
      </c>
      <c r="F680" t="s">
        <v>16</v>
      </c>
      <c r="G680" s="21">
        <v>0</v>
      </c>
      <c r="H680" s="21">
        <v>0</v>
      </c>
      <c r="I680" s="21">
        <v>-0.01</v>
      </c>
      <c r="J680" s="21">
        <v>0</v>
      </c>
      <c r="K680" s="21">
        <v>0</v>
      </c>
      <c r="L680" s="21">
        <v>-0.01</v>
      </c>
    </row>
    <row r="681" spans="1:12" x14ac:dyDescent="0.25">
      <c r="A681" s="10">
        <v>676</v>
      </c>
      <c r="B681" t="s">
        <v>555</v>
      </c>
      <c r="C681" t="s">
        <v>17</v>
      </c>
      <c r="D681" t="s">
        <v>596</v>
      </c>
      <c r="E681" s="52" t="s">
        <v>190</v>
      </c>
      <c r="F681" t="s">
        <v>556</v>
      </c>
      <c r="G681" s="21">
        <v>0</v>
      </c>
      <c r="H681" s="21">
        <v>0</v>
      </c>
      <c r="I681" s="21">
        <v>-2.84</v>
      </c>
      <c r="J681" s="21">
        <v>0</v>
      </c>
      <c r="K681" s="21">
        <v>0.06</v>
      </c>
      <c r="L681" s="21">
        <v>-2.78</v>
      </c>
    </row>
    <row r="682" spans="1:12" x14ac:dyDescent="0.25">
      <c r="A682" s="10">
        <v>677</v>
      </c>
      <c r="B682" t="s">
        <v>557</v>
      </c>
      <c r="C682" t="s">
        <v>17</v>
      </c>
      <c r="D682" t="s">
        <v>596</v>
      </c>
      <c r="E682" s="52" t="s">
        <v>190</v>
      </c>
      <c r="F682" t="s">
        <v>558</v>
      </c>
      <c r="G682" s="21">
        <v>0</v>
      </c>
      <c r="H682" s="21">
        <v>0</v>
      </c>
      <c r="I682" s="21">
        <v>-2.2400000000000002</v>
      </c>
      <c r="J682" s="21">
        <v>0</v>
      </c>
      <c r="K682" s="21">
        <v>0.04</v>
      </c>
      <c r="L682" s="21">
        <v>-2.2000000000000002</v>
      </c>
    </row>
    <row r="683" spans="1:12" x14ac:dyDescent="0.25">
      <c r="A683" s="10">
        <v>678</v>
      </c>
      <c r="B683" t="s">
        <v>22</v>
      </c>
      <c r="C683" t="s">
        <v>17</v>
      </c>
      <c r="D683" t="s">
        <v>596</v>
      </c>
      <c r="E683" s="52" t="s">
        <v>190</v>
      </c>
      <c r="F683" t="s">
        <v>23</v>
      </c>
      <c r="G683" s="21">
        <v>0</v>
      </c>
      <c r="H683" s="21">
        <v>0</v>
      </c>
      <c r="I683" s="21">
        <v>-0.03</v>
      </c>
      <c r="J683" s="21">
        <v>0</v>
      </c>
      <c r="K683" s="21">
        <v>0</v>
      </c>
      <c r="L683" s="21">
        <v>-0.03</v>
      </c>
    </row>
    <row r="684" spans="1:12" x14ac:dyDescent="0.25">
      <c r="A684" s="10">
        <v>679</v>
      </c>
      <c r="B684" t="s">
        <v>22</v>
      </c>
      <c r="C684" t="s">
        <v>17</v>
      </c>
      <c r="D684" t="s">
        <v>596</v>
      </c>
      <c r="E684" s="52" t="s">
        <v>190</v>
      </c>
      <c r="F684" t="s">
        <v>24</v>
      </c>
      <c r="G684" s="21">
        <v>0</v>
      </c>
      <c r="H684" s="21">
        <v>0</v>
      </c>
      <c r="I684" s="21">
        <v>0</v>
      </c>
      <c r="J684" s="21">
        <v>0</v>
      </c>
      <c r="K684" s="21">
        <v>0</v>
      </c>
      <c r="L684" s="21">
        <v>0</v>
      </c>
    </row>
    <row r="685" spans="1:12" x14ac:dyDescent="0.25">
      <c r="A685" s="10">
        <v>680</v>
      </c>
      <c r="B685" t="s">
        <v>550</v>
      </c>
      <c r="C685" t="s">
        <v>17</v>
      </c>
      <c r="D685" t="s">
        <v>596</v>
      </c>
      <c r="E685" s="52" t="s">
        <v>190</v>
      </c>
      <c r="F685" t="s">
        <v>551</v>
      </c>
      <c r="G685" s="21">
        <v>0</v>
      </c>
      <c r="H685" s="21">
        <v>0</v>
      </c>
      <c r="I685" s="21">
        <v>-20.079999999999998</v>
      </c>
      <c r="J685" s="21">
        <v>0</v>
      </c>
      <c r="K685" s="21">
        <v>0.4</v>
      </c>
      <c r="L685" s="21">
        <v>-19.68</v>
      </c>
    </row>
    <row r="686" spans="1:12" x14ac:dyDescent="0.25">
      <c r="A686" s="10">
        <v>681</v>
      </c>
      <c r="B686" t="s">
        <v>550</v>
      </c>
      <c r="C686" t="s">
        <v>17</v>
      </c>
      <c r="D686" t="s">
        <v>596</v>
      </c>
      <c r="E686" s="52" t="s">
        <v>190</v>
      </c>
      <c r="F686" t="s">
        <v>551</v>
      </c>
      <c r="G686" s="21">
        <v>0</v>
      </c>
      <c r="H686" s="21">
        <v>0</v>
      </c>
      <c r="I686" s="21">
        <v>-314.86</v>
      </c>
      <c r="J686" s="21">
        <v>0</v>
      </c>
      <c r="K686" s="21">
        <v>6.3</v>
      </c>
      <c r="L686" s="21">
        <v>-308.56</v>
      </c>
    </row>
    <row r="687" spans="1:12" x14ac:dyDescent="0.25">
      <c r="A687" s="10">
        <v>682</v>
      </c>
      <c r="B687" t="s">
        <v>550</v>
      </c>
      <c r="C687" t="s">
        <v>17</v>
      </c>
      <c r="D687" t="s">
        <v>596</v>
      </c>
      <c r="E687" s="52" t="s">
        <v>190</v>
      </c>
      <c r="F687" t="s">
        <v>552</v>
      </c>
      <c r="G687" s="21">
        <v>0</v>
      </c>
      <c r="H687" s="21">
        <v>0</v>
      </c>
      <c r="I687" s="21">
        <v>-0.02</v>
      </c>
      <c r="J687" s="21">
        <v>0</v>
      </c>
      <c r="K687" s="21">
        <v>0</v>
      </c>
      <c r="L687" s="21">
        <v>-0.02</v>
      </c>
    </row>
    <row r="688" spans="1:12" ht="30" x14ac:dyDescent="0.25">
      <c r="A688" s="10">
        <v>683</v>
      </c>
      <c r="B688" t="s">
        <v>18</v>
      </c>
      <c r="C688" t="s">
        <v>17</v>
      </c>
      <c r="D688" t="s">
        <v>191</v>
      </c>
      <c r="E688" s="52" t="s">
        <v>192</v>
      </c>
      <c r="F688" t="s">
        <v>19</v>
      </c>
      <c r="G688" s="21">
        <v>0</v>
      </c>
      <c r="H688" s="21">
        <v>0</v>
      </c>
      <c r="I688" s="21">
        <v>-0.21</v>
      </c>
      <c r="J688" s="21">
        <v>0</v>
      </c>
      <c r="K688" s="21">
        <v>0.02</v>
      </c>
      <c r="L688" s="21">
        <v>-0.19</v>
      </c>
    </row>
    <row r="689" spans="1:12" ht="30" x14ac:dyDescent="0.25">
      <c r="A689" s="10">
        <v>684</v>
      </c>
      <c r="B689" t="s">
        <v>18</v>
      </c>
      <c r="C689" t="s">
        <v>17</v>
      </c>
      <c r="D689" t="s">
        <v>191</v>
      </c>
      <c r="E689" s="52" t="s">
        <v>192</v>
      </c>
      <c r="F689" t="s">
        <v>19</v>
      </c>
      <c r="G689" s="21">
        <v>0</v>
      </c>
      <c r="H689" s="21">
        <v>0</v>
      </c>
      <c r="I689" s="21">
        <v>-12.43</v>
      </c>
      <c r="J689" s="21">
        <v>0</v>
      </c>
      <c r="K689" s="21">
        <v>0.25</v>
      </c>
      <c r="L689" s="21">
        <v>-12.18</v>
      </c>
    </row>
    <row r="690" spans="1:12" ht="30" x14ac:dyDescent="0.25">
      <c r="A690" s="10">
        <v>685</v>
      </c>
      <c r="B690" t="s">
        <v>20</v>
      </c>
      <c r="C690" t="s">
        <v>17</v>
      </c>
      <c r="D690" t="s">
        <v>191</v>
      </c>
      <c r="E690" s="52" t="s">
        <v>192</v>
      </c>
      <c r="F690" t="s">
        <v>21</v>
      </c>
      <c r="G690" s="21">
        <v>0</v>
      </c>
      <c r="H690" s="21">
        <v>0</v>
      </c>
      <c r="I690" s="21">
        <v>-18.579999999999998</v>
      </c>
      <c r="J690" s="21">
        <v>0</v>
      </c>
      <c r="K690" s="21">
        <v>0.37</v>
      </c>
      <c r="L690" s="21">
        <v>-18.21</v>
      </c>
    </row>
    <row r="691" spans="1:12" ht="30" x14ac:dyDescent="0.25">
      <c r="A691" s="10">
        <v>686</v>
      </c>
      <c r="B691" t="s">
        <v>550</v>
      </c>
      <c r="C691" t="s">
        <v>17</v>
      </c>
      <c r="D691" t="s">
        <v>191</v>
      </c>
      <c r="E691" s="52" t="s">
        <v>192</v>
      </c>
      <c r="F691" t="s">
        <v>551</v>
      </c>
      <c r="G691" s="21">
        <v>0</v>
      </c>
      <c r="H691" s="21">
        <v>0</v>
      </c>
      <c r="I691" s="21">
        <v>-3000.78</v>
      </c>
      <c r="J691" s="21">
        <v>0</v>
      </c>
      <c r="K691" s="21">
        <v>60.02</v>
      </c>
      <c r="L691" s="21">
        <v>-2940.76</v>
      </c>
    </row>
    <row r="692" spans="1:12" ht="30" x14ac:dyDescent="0.25">
      <c r="A692" s="10">
        <v>687</v>
      </c>
      <c r="B692" t="s">
        <v>550</v>
      </c>
      <c r="C692" t="s">
        <v>17</v>
      </c>
      <c r="D692" t="s">
        <v>191</v>
      </c>
      <c r="E692" s="52" t="s">
        <v>192</v>
      </c>
      <c r="F692" t="s">
        <v>551</v>
      </c>
      <c r="G692" s="21">
        <v>0</v>
      </c>
      <c r="H692" s="21">
        <v>0</v>
      </c>
      <c r="I692" s="21">
        <v>-526.82000000000005</v>
      </c>
      <c r="J692" s="21">
        <v>0</v>
      </c>
      <c r="K692" s="21">
        <v>10.54</v>
      </c>
      <c r="L692" s="21">
        <v>-516.28</v>
      </c>
    </row>
    <row r="693" spans="1:12" ht="30" x14ac:dyDescent="0.25">
      <c r="A693" s="10">
        <v>688</v>
      </c>
      <c r="B693" t="s">
        <v>550</v>
      </c>
      <c r="C693" t="s">
        <v>17</v>
      </c>
      <c r="D693" t="s">
        <v>191</v>
      </c>
      <c r="E693" s="52" t="s">
        <v>192</v>
      </c>
      <c r="F693" t="s">
        <v>552</v>
      </c>
      <c r="G693" s="21">
        <v>0</v>
      </c>
      <c r="H693" s="21">
        <v>0</v>
      </c>
      <c r="I693" s="21">
        <v>-0.22</v>
      </c>
      <c r="J693" s="21">
        <v>0</v>
      </c>
      <c r="K693" s="21">
        <v>0</v>
      </c>
      <c r="L693" s="21">
        <v>-0.22</v>
      </c>
    </row>
    <row r="694" spans="1:12" ht="30" x14ac:dyDescent="0.25">
      <c r="A694" s="10">
        <v>689</v>
      </c>
      <c r="B694" t="s">
        <v>550</v>
      </c>
      <c r="C694" t="s">
        <v>17</v>
      </c>
      <c r="D694" t="s">
        <v>191</v>
      </c>
      <c r="E694" s="52" t="s">
        <v>192</v>
      </c>
      <c r="F694" t="s">
        <v>552</v>
      </c>
      <c r="G694" s="21">
        <v>0</v>
      </c>
      <c r="H694" s="21">
        <v>0</v>
      </c>
      <c r="I694" s="21">
        <v>-0.04</v>
      </c>
      <c r="J694" s="21">
        <v>0</v>
      </c>
      <c r="K694" s="21">
        <v>0</v>
      </c>
      <c r="L694" s="21">
        <v>-0.04</v>
      </c>
    </row>
    <row r="695" spans="1:12" ht="30" x14ac:dyDescent="0.25">
      <c r="A695" s="10">
        <v>690</v>
      </c>
      <c r="B695" t="s">
        <v>566</v>
      </c>
      <c r="C695" t="s">
        <v>17</v>
      </c>
      <c r="D695" t="s">
        <v>193</v>
      </c>
      <c r="E695" s="52" t="s">
        <v>194</v>
      </c>
      <c r="F695" t="s">
        <v>567</v>
      </c>
      <c r="G695" s="21">
        <v>0</v>
      </c>
      <c r="H695" s="21">
        <v>0</v>
      </c>
      <c r="I695" s="21">
        <v>-0.01</v>
      </c>
      <c r="J695" s="21">
        <v>0</v>
      </c>
      <c r="K695" s="21">
        <v>0</v>
      </c>
      <c r="L695" s="21">
        <v>-0.01</v>
      </c>
    </row>
    <row r="696" spans="1:12" ht="30" x14ac:dyDescent="0.25">
      <c r="A696" s="10">
        <v>691</v>
      </c>
      <c r="B696" t="s">
        <v>18</v>
      </c>
      <c r="C696" t="s">
        <v>17</v>
      </c>
      <c r="D696" t="s">
        <v>193</v>
      </c>
      <c r="E696" s="52" t="s">
        <v>194</v>
      </c>
      <c r="F696" t="s">
        <v>19</v>
      </c>
      <c r="G696" s="21">
        <v>0</v>
      </c>
      <c r="H696" s="21">
        <v>0</v>
      </c>
      <c r="I696" s="21">
        <v>-0.02</v>
      </c>
      <c r="J696" s="21">
        <v>0</v>
      </c>
      <c r="K696" s="21">
        <v>0</v>
      </c>
      <c r="L696" s="21">
        <v>-0.02</v>
      </c>
    </row>
    <row r="697" spans="1:12" ht="30" x14ac:dyDescent="0.25">
      <c r="A697" s="10">
        <v>692</v>
      </c>
      <c r="B697" t="s">
        <v>550</v>
      </c>
      <c r="C697" t="s">
        <v>17</v>
      </c>
      <c r="D697" t="s">
        <v>597</v>
      </c>
      <c r="E697" s="52" t="s">
        <v>194</v>
      </c>
      <c r="F697" t="s">
        <v>551</v>
      </c>
      <c r="G697" s="21">
        <v>0</v>
      </c>
      <c r="H697" s="21">
        <v>0</v>
      </c>
      <c r="I697" s="21">
        <v>-35.25</v>
      </c>
      <c r="J697" s="21">
        <v>0</v>
      </c>
      <c r="K697" s="21">
        <v>0.7</v>
      </c>
      <c r="L697" s="21">
        <v>-34.549999999999997</v>
      </c>
    </row>
    <row r="698" spans="1:12" ht="30" x14ac:dyDescent="0.25">
      <c r="A698" s="10">
        <v>693</v>
      </c>
      <c r="B698" t="s">
        <v>550</v>
      </c>
      <c r="C698" t="s">
        <v>17</v>
      </c>
      <c r="D698" t="s">
        <v>597</v>
      </c>
      <c r="E698" s="52" t="s">
        <v>194</v>
      </c>
      <c r="F698" t="s">
        <v>551</v>
      </c>
      <c r="G698" s="21">
        <v>0</v>
      </c>
      <c r="H698" s="21">
        <v>0</v>
      </c>
      <c r="I698" s="21">
        <v>-0.54</v>
      </c>
      <c r="J698" s="21">
        <v>0</v>
      </c>
      <c r="K698" s="21">
        <v>0.01</v>
      </c>
      <c r="L698" s="21">
        <v>-0.53</v>
      </c>
    </row>
    <row r="699" spans="1:12" ht="30" x14ac:dyDescent="0.25">
      <c r="A699" s="10">
        <v>694</v>
      </c>
      <c r="B699" t="s">
        <v>18</v>
      </c>
      <c r="C699" t="s">
        <v>17</v>
      </c>
      <c r="D699" t="s">
        <v>195</v>
      </c>
      <c r="E699" s="52" t="s">
        <v>196</v>
      </c>
      <c r="F699" t="s">
        <v>19</v>
      </c>
      <c r="G699" s="21">
        <v>-0.64</v>
      </c>
      <c r="H699" s="21">
        <v>0</v>
      </c>
      <c r="I699" s="21">
        <v>0</v>
      </c>
      <c r="J699" s="21">
        <v>0</v>
      </c>
      <c r="K699" s="21">
        <v>0.56999999999999995</v>
      </c>
      <c r="L699" s="21">
        <v>-7.0000000000000007E-2</v>
      </c>
    </row>
    <row r="700" spans="1:12" ht="30" x14ac:dyDescent="0.25">
      <c r="A700" s="10">
        <v>695</v>
      </c>
      <c r="B700" t="s">
        <v>550</v>
      </c>
      <c r="C700" t="s">
        <v>17</v>
      </c>
      <c r="D700" t="s">
        <v>195</v>
      </c>
      <c r="E700" s="52" t="s">
        <v>196</v>
      </c>
      <c r="F700" t="s">
        <v>551</v>
      </c>
      <c r="G700" s="21">
        <v>-31079.1</v>
      </c>
      <c r="H700" s="21">
        <v>0</v>
      </c>
      <c r="I700" s="21">
        <v>0</v>
      </c>
      <c r="J700" s="21">
        <v>0</v>
      </c>
      <c r="K700" s="21">
        <v>621.58000000000004</v>
      </c>
      <c r="L700" s="21">
        <v>-30457.52</v>
      </c>
    </row>
    <row r="701" spans="1:12" ht="30" x14ac:dyDescent="0.25">
      <c r="A701" s="10">
        <v>696</v>
      </c>
      <c r="B701" t="s">
        <v>550</v>
      </c>
      <c r="C701" t="s">
        <v>13</v>
      </c>
      <c r="D701" t="s">
        <v>195</v>
      </c>
      <c r="E701" s="52" t="s">
        <v>196</v>
      </c>
      <c r="F701" t="s">
        <v>551</v>
      </c>
      <c r="G701" s="21">
        <v>0</v>
      </c>
      <c r="H701" s="21">
        <v>0</v>
      </c>
      <c r="I701" s="21">
        <v>0</v>
      </c>
      <c r="J701" s="21">
        <v>-3729.49</v>
      </c>
      <c r="K701" s="21">
        <v>0</v>
      </c>
      <c r="L701" s="21">
        <v>-3729.49</v>
      </c>
    </row>
    <row r="702" spans="1:12" ht="30" x14ac:dyDescent="0.25">
      <c r="A702" s="10">
        <v>697</v>
      </c>
      <c r="B702" t="s">
        <v>550</v>
      </c>
      <c r="C702" t="s">
        <v>17</v>
      </c>
      <c r="D702" t="s">
        <v>195</v>
      </c>
      <c r="E702" s="52" t="s">
        <v>196</v>
      </c>
      <c r="F702" t="s">
        <v>552</v>
      </c>
      <c r="G702" s="21">
        <v>-2.2400000000000002</v>
      </c>
      <c r="H702" s="21">
        <v>0</v>
      </c>
      <c r="I702" s="21">
        <v>0</v>
      </c>
      <c r="J702" s="21">
        <v>0</v>
      </c>
      <c r="K702" s="21">
        <v>0.04</v>
      </c>
      <c r="L702" s="21">
        <v>-2.2000000000000002</v>
      </c>
    </row>
    <row r="703" spans="1:12" ht="30" x14ac:dyDescent="0.25">
      <c r="A703" s="10">
        <v>698</v>
      </c>
      <c r="B703" t="s">
        <v>550</v>
      </c>
      <c r="C703" t="s">
        <v>13</v>
      </c>
      <c r="D703" t="s">
        <v>195</v>
      </c>
      <c r="E703" s="52" t="s">
        <v>196</v>
      </c>
      <c r="F703" t="s">
        <v>552</v>
      </c>
      <c r="G703" s="21">
        <v>0</v>
      </c>
      <c r="H703" s="21">
        <v>0</v>
      </c>
      <c r="I703" s="21">
        <v>0</v>
      </c>
      <c r="J703" s="21">
        <v>-0.27</v>
      </c>
      <c r="K703" s="21">
        <v>0</v>
      </c>
      <c r="L703" s="21">
        <v>-0.27</v>
      </c>
    </row>
    <row r="704" spans="1:12" x14ac:dyDescent="0.25">
      <c r="A704" s="10">
        <v>699</v>
      </c>
      <c r="B704" t="s">
        <v>555</v>
      </c>
      <c r="C704" t="s">
        <v>17</v>
      </c>
      <c r="D704" t="s">
        <v>197</v>
      </c>
      <c r="E704" s="52" t="s">
        <v>198</v>
      </c>
      <c r="F704" t="s">
        <v>556</v>
      </c>
      <c r="G704" s="21">
        <v>-41.22</v>
      </c>
      <c r="H704" s="21">
        <v>0</v>
      </c>
      <c r="I704" s="21">
        <v>0</v>
      </c>
      <c r="J704" s="21">
        <v>0</v>
      </c>
      <c r="K704" s="21">
        <v>0.82</v>
      </c>
      <c r="L704" s="21">
        <v>-40.4</v>
      </c>
    </row>
    <row r="705" spans="1:12" x14ac:dyDescent="0.25">
      <c r="A705" s="10">
        <v>700</v>
      </c>
      <c r="B705" t="s">
        <v>555</v>
      </c>
      <c r="C705" t="s">
        <v>13</v>
      </c>
      <c r="D705" t="s">
        <v>197</v>
      </c>
      <c r="E705" s="52" t="s">
        <v>198</v>
      </c>
      <c r="F705" t="s">
        <v>556</v>
      </c>
      <c r="G705" s="21">
        <v>0</v>
      </c>
      <c r="H705" s="21">
        <v>0</v>
      </c>
      <c r="I705" s="21">
        <v>0</v>
      </c>
      <c r="J705" s="21">
        <v>-4.95</v>
      </c>
      <c r="K705" s="21">
        <v>0</v>
      </c>
      <c r="L705" s="21">
        <v>-4.95</v>
      </c>
    </row>
    <row r="706" spans="1:12" x14ac:dyDescent="0.25">
      <c r="A706" s="10">
        <v>701</v>
      </c>
      <c r="B706" t="s">
        <v>557</v>
      </c>
      <c r="C706" t="s">
        <v>17</v>
      </c>
      <c r="D706" t="s">
        <v>197</v>
      </c>
      <c r="E706" s="52" t="s">
        <v>198</v>
      </c>
      <c r="F706" t="s">
        <v>558</v>
      </c>
      <c r="G706" s="21">
        <v>-39.07</v>
      </c>
      <c r="H706" s="21">
        <v>0</v>
      </c>
      <c r="I706" s="21">
        <v>0</v>
      </c>
      <c r="J706" s="21">
        <v>0</v>
      </c>
      <c r="K706" s="21">
        <v>0.78</v>
      </c>
      <c r="L706" s="21">
        <v>-38.29</v>
      </c>
    </row>
    <row r="707" spans="1:12" x14ac:dyDescent="0.25">
      <c r="A707" s="10">
        <v>702</v>
      </c>
      <c r="B707" t="s">
        <v>557</v>
      </c>
      <c r="C707" t="s">
        <v>13</v>
      </c>
      <c r="D707" t="s">
        <v>197</v>
      </c>
      <c r="E707" s="52" t="s">
        <v>198</v>
      </c>
      <c r="F707" t="s">
        <v>558</v>
      </c>
      <c r="G707" s="21">
        <v>0</v>
      </c>
      <c r="H707" s="21">
        <v>0</v>
      </c>
      <c r="I707" s="21">
        <v>0</v>
      </c>
      <c r="J707" s="21">
        <v>-4.6900000000000004</v>
      </c>
      <c r="K707" s="21">
        <v>0</v>
      </c>
      <c r="L707" s="21">
        <v>-4.6900000000000004</v>
      </c>
    </row>
    <row r="708" spans="1:12" x14ac:dyDescent="0.25">
      <c r="A708" s="10">
        <v>703</v>
      </c>
      <c r="B708" t="s">
        <v>18</v>
      </c>
      <c r="C708" t="s">
        <v>17</v>
      </c>
      <c r="D708" t="s">
        <v>197</v>
      </c>
      <c r="E708" s="52" t="s">
        <v>198</v>
      </c>
      <c r="F708" t="s">
        <v>19</v>
      </c>
      <c r="G708" s="21">
        <v>-0.03</v>
      </c>
      <c r="H708" s="21">
        <v>0</v>
      </c>
      <c r="I708" s="21">
        <v>0</v>
      </c>
      <c r="J708" s="21">
        <v>0</v>
      </c>
      <c r="K708" s="21">
        <v>0.03</v>
      </c>
      <c r="L708" s="21">
        <v>0</v>
      </c>
    </row>
    <row r="709" spans="1:12" x14ac:dyDescent="0.25">
      <c r="A709" s="10">
        <v>704</v>
      </c>
      <c r="B709" t="s">
        <v>550</v>
      </c>
      <c r="C709" t="s">
        <v>17</v>
      </c>
      <c r="D709" t="s">
        <v>197</v>
      </c>
      <c r="E709" s="52" t="s">
        <v>198</v>
      </c>
      <c r="F709" t="s">
        <v>551</v>
      </c>
      <c r="G709" s="21">
        <v>-65.510000000000005</v>
      </c>
      <c r="H709" s="21">
        <v>0</v>
      </c>
      <c r="I709" s="21">
        <v>0</v>
      </c>
      <c r="J709" s="21">
        <v>0</v>
      </c>
      <c r="K709" s="21">
        <v>1.31</v>
      </c>
      <c r="L709" s="21">
        <v>-64.2</v>
      </c>
    </row>
    <row r="710" spans="1:12" x14ac:dyDescent="0.25">
      <c r="A710" s="10">
        <v>705</v>
      </c>
      <c r="B710" t="s">
        <v>550</v>
      </c>
      <c r="C710" t="s">
        <v>17</v>
      </c>
      <c r="D710" t="s">
        <v>197</v>
      </c>
      <c r="E710" s="52" t="s">
        <v>198</v>
      </c>
      <c r="F710" t="s">
        <v>551</v>
      </c>
      <c r="G710" s="21">
        <v>0</v>
      </c>
      <c r="H710" s="21">
        <v>0</v>
      </c>
      <c r="I710" s="21">
        <v>-548034.81999999995</v>
      </c>
      <c r="J710" s="21">
        <v>0</v>
      </c>
      <c r="K710" s="21">
        <v>10960.7</v>
      </c>
      <c r="L710" s="21">
        <v>-537074.12</v>
      </c>
    </row>
    <row r="711" spans="1:12" x14ac:dyDescent="0.25">
      <c r="A711" s="10">
        <v>706</v>
      </c>
      <c r="B711" t="s">
        <v>550</v>
      </c>
      <c r="C711" t="s">
        <v>13</v>
      </c>
      <c r="D711" t="s">
        <v>197</v>
      </c>
      <c r="E711" s="52" t="s">
        <v>198</v>
      </c>
      <c r="F711" t="s">
        <v>551</v>
      </c>
      <c r="G711" s="21">
        <v>0</v>
      </c>
      <c r="H711" s="21">
        <v>0</v>
      </c>
      <c r="I711" s="21">
        <v>0</v>
      </c>
      <c r="J711" s="21">
        <v>-7.86</v>
      </c>
      <c r="K711" s="21">
        <v>0</v>
      </c>
      <c r="L711" s="21">
        <v>-7.86</v>
      </c>
    </row>
    <row r="712" spans="1:12" x14ac:dyDescent="0.25">
      <c r="A712" s="10">
        <v>707</v>
      </c>
      <c r="B712" t="s">
        <v>550</v>
      </c>
      <c r="C712" t="s">
        <v>17</v>
      </c>
      <c r="D712" t="s">
        <v>197</v>
      </c>
      <c r="E712" s="52" t="s">
        <v>198</v>
      </c>
      <c r="F712" t="s">
        <v>552</v>
      </c>
      <c r="G712" s="21">
        <v>0</v>
      </c>
      <c r="H712" s="21">
        <v>0</v>
      </c>
      <c r="I712" s="21">
        <v>-39.42</v>
      </c>
      <c r="J712" s="21">
        <v>0</v>
      </c>
      <c r="K712" s="21">
        <v>0.79</v>
      </c>
      <c r="L712" s="21">
        <v>-38.630000000000003</v>
      </c>
    </row>
    <row r="713" spans="1:12" x14ac:dyDescent="0.25">
      <c r="A713" s="10">
        <v>708</v>
      </c>
      <c r="B713" t="s">
        <v>550</v>
      </c>
      <c r="C713" t="s">
        <v>17</v>
      </c>
      <c r="D713" t="s">
        <v>598</v>
      </c>
      <c r="E713" s="52" t="s">
        <v>599</v>
      </c>
      <c r="F713" t="s">
        <v>551</v>
      </c>
      <c r="G713" s="21">
        <v>0</v>
      </c>
      <c r="H713" s="21">
        <v>0</v>
      </c>
      <c r="I713" s="21">
        <v>-101.81</v>
      </c>
      <c r="J713" s="21">
        <v>0</v>
      </c>
      <c r="K713" s="21">
        <v>2.04</v>
      </c>
      <c r="L713" s="21">
        <v>-99.77</v>
      </c>
    </row>
    <row r="714" spans="1:12" x14ac:dyDescent="0.25">
      <c r="A714" s="10">
        <v>709</v>
      </c>
      <c r="B714" t="s">
        <v>550</v>
      </c>
      <c r="C714" t="s">
        <v>17</v>
      </c>
      <c r="D714" t="s">
        <v>598</v>
      </c>
      <c r="E714" s="52" t="s">
        <v>599</v>
      </c>
      <c r="F714" t="s">
        <v>552</v>
      </c>
      <c r="G714" s="21">
        <v>0</v>
      </c>
      <c r="H714" s="21">
        <v>0</v>
      </c>
      <c r="I714" s="21">
        <v>-0.01</v>
      </c>
      <c r="J714" s="21">
        <v>0</v>
      </c>
      <c r="K714" s="21">
        <v>0</v>
      </c>
      <c r="L714" s="21">
        <v>-0.01</v>
      </c>
    </row>
    <row r="715" spans="1:12" x14ac:dyDescent="0.25">
      <c r="A715" s="10">
        <v>710</v>
      </c>
      <c r="B715" t="s">
        <v>555</v>
      </c>
      <c r="C715" t="s">
        <v>17</v>
      </c>
      <c r="D715" t="s">
        <v>199</v>
      </c>
      <c r="E715" s="52" t="s">
        <v>198</v>
      </c>
      <c r="F715" t="s">
        <v>556</v>
      </c>
      <c r="G715" s="21">
        <v>-104.74</v>
      </c>
      <c r="H715" s="21">
        <v>0</v>
      </c>
      <c r="I715" s="21">
        <v>0</v>
      </c>
      <c r="J715" s="21">
        <v>0</v>
      </c>
      <c r="K715" s="21">
        <v>2.09</v>
      </c>
      <c r="L715" s="21">
        <v>-102.65</v>
      </c>
    </row>
    <row r="716" spans="1:12" x14ac:dyDescent="0.25">
      <c r="A716" s="10">
        <v>711</v>
      </c>
      <c r="B716" t="s">
        <v>555</v>
      </c>
      <c r="C716" t="s">
        <v>13</v>
      </c>
      <c r="D716" t="s">
        <v>199</v>
      </c>
      <c r="E716" s="52" t="s">
        <v>198</v>
      </c>
      <c r="F716" t="s">
        <v>556</v>
      </c>
      <c r="G716" s="21">
        <v>0</v>
      </c>
      <c r="H716" s="21">
        <v>0</v>
      </c>
      <c r="I716" s="21">
        <v>0</v>
      </c>
      <c r="J716" s="21">
        <v>-12.57</v>
      </c>
      <c r="K716" s="21">
        <v>0</v>
      </c>
      <c r="L716" s="21">
        <v>-12.57</v>
      </c>
    </row>
    <row r="717" spans="1:12" x14ac:dyDescent="0.25">
      <c r="A717" s="10">
        <v>712</v>
      </c>
      <c r="B717" t="s">
        <v>557</v>
      </c>
      <c r="C717" t="s">
        <v>17</v>
      </c>
      <c r="D717" t="s">
        <v>199</v>
      </c>
      <c r="E717" s="52" t="s">
        <v>198</v>
      </c>
      <c r="F717" t="s">
        <v>558</v>
      </c>
      <c r="G717" s="21">
        <v>-58.46</v>
      </c>
      <c r="H717" s="21">
        <v>0</v>
      </c>
      <c r="I717" s="21">
        <v>0</v>
      </c>
      <c r="J717" s="21">
        <v>0</v>
      </c>
      <c r="K717" s="21">
        <v>1.17</v>
      </c>
      <c r="L717" s="21">
        <v>-57.29</v>
      </c>
    </row>
    <row r="718" spans="1:12" x14ac:dyDescent="0.25">
      <c r="A718" s="10">
        <v>713</v>
      </c>
      <c r="B718" t="s">
        <v>557</v>
      </c>
      <c r="C718" t="s">
        <v>13</v>
      </c>
      <c r="D718" t="s">
        <v>199</v>
      </c>
      <c r="E718" s="52" t="s">
        <v>198</v>
      </c>
      <c r="F718" t="s">
        <v>558</v>
      </c>
      <c r="G718" s="21">
        <v>0</v>
      </c>
      <c r="H718" s="21">
        <v>0</v>
      </c>
      <c r="I718" s="21">
        <v>0</v>
      </c>
      <c r="J718" s="21">
        <v>-7.02</v>
      </c>
      <c r="K718" s="21">
        <v>0</v>
      </c>
      <c r="L718" s="21">
        <v>-7.02</v>
      </c>
    </row>
    <row r="719" spans="1:12" x14ac:dyDescent="0.25">
      <c r="A719" s="10">
        <v>714</v>
      </c>
      <c r="B719" t="s">
        <v>18</v>
      </c>
      <c r="C719" t="s">
        <v>17</v>
      </c>
      <c r="D719" t="s">
        <v>199</v>
      </c>
      <c r="E719" s="52" t="s">
        <v>198</v>
      </c>
      <c r="F719" t="s">
        <v>19</v>
      </c>
      <c r="G719" s="21">
        <v>-0.93</v>
      </c>
      <c r="H719" s="21">
        <v>0</v>
      </c>
      <c r="I719" s="21">
        <v>0</v>
      </c>
      <c r="J719" s="21">
        <v>0</v>
      </c>
      <c r="K719" s="21">
        <v>0.82</v>
      </c>
      <c r="L719" s="21">
        <v>-0.11</v>
      </c>
    </row>
    <row r="720" spans="1:12" x14ac:dyDescent="0.25">
      <c r="A720" s="10">
        <v>715</v>
      </c>
      <c r="B720" t="s">
        <v>18</v>
      </c>
      <c r="C720" t="s">
        <v>17</v>
      </c>
      <c r="D720" t="s">
        <v>199</v>
      </c>
      <c r="E720" s="52" t="s">
        <v>198</v>
      </c>
      <c r="F720" t="s">
        <v>19</v>
      </c>
      <c r="G720" s="21">
        <v>-0.03</v>
      </c>
      <c r="H720" s="21">
        <v>0</v>
      </c>
      <c r="I720" s="21">
        <v>0</v>
      </c>
      <c r="J720" s="21">
        <v>0</v>
      </c>
      <c r="K720" s="21">
        <v>0.03</v>
      </c>
      <c r="L720" s="21">
        <v>0</v>
      </c>
    </row>
    <row r="721" spans="1:12" x14ac:dyDescent="0.25">
      <c r="A721" s="10">
        <v>716</v>
      </c>
      <c r="B721" t="s">
        <v>550</v>
      </c>
      <c r="C721" t="s">
        <v>17</v>
      </c>
      <c r="D721" t="s">
        <v>199</v>
      </c>
      <c r="E721" s="52" t="s">
        <v>198</v>
      </c>
      <c r="F721" t="s">
        <v>551</v>
      </c>
      <c r="G721" s="21">
        <v>-5059.71</v>
      </c>
      <c r="H721" s="21">
        <v>0</v>
      </c>
      <c r="I721" s="21">
        <v>0</v>
      </c>
      <c r="J721" s="21">
        <v>0</v>
      </c>
      <c r="K721" s="21">
        <v>101.19</v>
      </c>
      <c r="L721" s="21">
        <v>-4958.5200000000004</v>
      </c>
    </row>
    <row r="722" spans="1:12" x14ac:dyDescent="0.25">
      <c r="A722" s="10">
        <v>717</v>
      </c>
      <c r="B722" t="s">
        <v>550</v>
      </c>
      <c r="C722" t="s">
        <v>17</v>
      </c>
      <c r="D722" t="s">
        <v>199</v>
      </c>
      <c r="E722" s="52" t="s">
        <v>198</v>
      </c>
      <c r="F722" t="s">
        <v>551</v>
      </c>
      <c r="G722" s="21">
        <v>-671.81</v>
      </c>
      <c r="H722" s="21">
        <v>0</v>
      </c>
      <c r="I722" s="21">
        <v>0</v>
      </c>
      <c r="J722" s="21">
        <v>0</v>
      </c>
      <c r="K722" s="21">
        <v>13.44</v>
      </c>
      <c r="L722" s="21">
        <v>-658.37</v>
      </c>
    </row>
    <row r="723" spans="1:12" x14ac:dyDescent="0.25">
      <c r="A723" s="10">
        <v>718</v>
      </c>
      <c r="B723" t="s">
        <v>550</v>
      </c>
      <c r="C723" t="s">
        <v>13</v>
      </c>
      <c r="D723" t="s">
        <v>199</v>
      </c>
      <c r="E723" s="52" t="s">
        <v>198</v>
      </c>
      <c r="F723" t="s">
        <v>551</v>
      </c>
      <c r="G723" s="21">
        <v>0</v>
      </c>
      <c r="H723" s="21">
        <v>0</v>
      </c>
      <c r="I723" s="21">
        <v>0</v>
      </c>
      <c r="J723" s="21">
        <v>-607.16999999999996</v>
      </c>
      <c r="K723" s="21">
        <v>0</v>
      </c>
      <c r="L723" s="21">
        <v>-607.16999999999996</v>
      </c>
    </row>
    <row r="724" spans="1:12" x14ac:dyDescent="0.25">
      <c r="A724" s="10">
        <v>719</v>
      </c>
      <c r="B724" t="s">
        <v>550</v>
      </c>
      <c r="C724" t="s">
        <v>13</v>
      </c>
      <c r="D724" t="s">
        <v>199</v>
      </c>
      <c r="E724" s="52" t="s">
        <v>198</v>
      </c>
      <c r="F724" t="s">
        <v>551</v>
      </c>
      <c r="G724" s="21">
        <v>0</v>
      </c>
      <c r="H724" s="21">
        <v>0</v>
      </c>
      <c r="I724" s="21">
        <v>0</v>
      </c>
      <c r="J724" s="21">
        <v>-80.62</v>
      </c>
      <c r="K724" s="21">
        <v>0</v>
      </c>
      <c r="L724" s="21">
        <v>-80.62</v>
      </c>
    </row>
    <row r="725" spans="1:12" x14ac:dyDescent="0.25">
      <c r="A725" s="10">
        <v>720</v>
      </c>
      <c r="B725" t="s">
        <v>550</v>
      </c>
      <c r="C725" t="s">
        <v>17</v>
      </c>
      <c r="D725" t="s">
        <v>199</v>
      </c>
      <c r="E725" s="52" t="s">
        <v>198</v>
      </c>
      <c r="F725" t="s">
        <v>552</v>
      </c>
      <c r="G725" s="21">
        <v>-0.36</v>
      </c>
      <c r="H725" s="21">
        <v>0</v>
      </c>
      <c r="I725" s="21">
        <v>0</v>
      </c>
      <c r="J725" s="21">
        <v>0</v>
      </c>
      <c r="K725" s="21">
        <v>0.01</v>
      </c>
      <c r="L725" s="21">
        <v>-0.35</v>
      </c>
    </row>
    <row r="726" spans="1:12" x14ac:dyDescent="0.25">
      <c r="A726" s="10">
        <v>721</v>
      </c>
      <c r="B726" t="s">
        <v>550</v>
      </c>
      <c r="C726" t="s">
        <v>17</v>
      </c>
      <c r="D726" t="s">
        <v>199</v>
      </c>
      <c r="E726" s="52" t="s">
        <v>198</v>
      </c>
      <c r="F726" t="s">
        <v>552</v>
      </c>
      <c r="G726" s="21">
        <v>-0.05</v>
      </c>
      <c r="H726" s="21">
        <v>0</v>
      </c>
      <c r="I726" s="21">
        <v>0</v>
      </c>
      <c r="J726" s="21">
        <v>0</v>
      </c>
      <c r="K726" s="21">
        <v>0</v>
      </c>
      <c r="L726" s="21">
        <v>-0.05</v>
      </c>
    </row>
    <row r="727" spans="1:12" x14ac:dyDescent="0.25">
      <c r="A727" s="10">
        <v>722</v>
      </c>
      <c r="B727" t="s">
        <v>550</v>
      </c>
      <c r="C727" t="s">
        <v>13</v>
      </c>
      <c r="D727" t="s">
        <v>199</v>
      </c>
      <c r="E727" s="52" t="s">
        <v>198</v>
      </c>
      <c r="F727" t="s">
        <v>552</v>
      </c>
      <c r="G727" s="21">
        <v>0</v>
      </c>
      <c r="H727" s="21">
        <v>0</v>
      </c>
      <c r="I727" s="21">
        <v>0</v>
      </c>
      <c r="J727" s="21">
        <v>-0.04</v>
      </c>
      <c r="K727" s="21">
        <v>0</v>
      </c>
      <c r="L727" s="21">
        <v>-0.04</v>
      </c>
    </row>
    <row r="728" spans="1:12" x14ac:dyDescent="0.25">
      <c r="A728" s="10">
        <v>723</v>
      </c>
      <c r="B728" t="s">
        <v>550</v>
      </c>
      <c r="C728" t="s">
        <v>13</v>
      </c>
      <c r="D728" t="s">
        <v>199</v>
      </c>
      <c r="E728" s="52" t="s">
        <v>198</v>
      </c>
      <c r="F728" t="s">
        <v>552</v>
      </c>
      <c r="G728" s="21">
        <v>0</v>
      </c>
      <c r="H728" s="21">
        <v>0</v>
      </c>
      <c r="I728" s="21">
        <v>0</v>
      </c>
      <c r="J728" s="21">
        <v>-0.01</v>
      </c>
      <c r="K728" s="21">
        <v>0</v>
      </c>
      <c r="L728" s="21">
        <v>-0.01</v>
      </c>
    </row>
    <row r="729" spans="1:12" ht="30" x14ac:dyDescent="0.25">
      <c r="A729" s="10">
        <v>724</v>
      </c>
      <c r="B729" t="s">
        <v>555</v>
      </c>
      <c r="C729" t="s">
        <v>17</v>
      </c>
      <c r="D729" t="s">
        <v>200</v>
      </c>
      <c r="E729" s="52" t="s">
        <v>201</v>
      </c>
      <c r="F729" t="s">
        <v>556</v>
      </c>
      <c r="G729" s="21">
        <v>-684.61</v>
      </c>
      <c r="H729" s="21">
        <v>0</v>
      </c>
      <c r="I729" s="21">
        <v>0</v>
      </c>
      <c r="J729" s="21">
        <v>0</v>
      </c>
      <c r="K729" s="21">
        <v>13.69</v>
      </c>
      <c r="L729" s="21">
        <v>-670.92</v>
      </c>
    </row>
    <row r="730" spans="1:12" ht="30" x14ac:dyDescent="0.25">
      <c r="A730" s="10">
        <v>725</v>
      </c>
      <c r="B730" t="s">
        <v>555</v>
      </c>
      <c r="C730" t="s">
        <v>13</v>
      </c>
      <c r="D730" t="s">
        <v>200</v>
      </c>
      <c r="E730" s="52" t="s">
        <v>201</v>
      </c>
      <c r="F730" t="s">
        <v>556</v>
      </c>
      <c r="G730" s="21">
        <v>0</v>
      </c>
      <c r="H730" s="21">
        <v>0</v>
      </c>
      <c r="I730" s="21">
        <v>0</v>
      </c>
      <c r="J730" s="21">
        <v>-82.15</v>
      </c>
      <c r="K730" s="21">
        <v>0</v>
      </c>
      <c r="L730" s="21">
        <v>-82.15</v>
      </c>
    </row>
    <row r="731" spans="1:12" ht="30" x14ac:dyDescent="0.25">
      <c r="A731" s="10">
        <v>726</v>
      </c>
      <c r="B731" t="s">
        <v>557</v>
      </c>
      <c r="C731" t="s">
        <v>17</v>
      </c>
      <c r="D731" t="s">
        <v>200</v>
      </c>
      <c r="E731" s="52" t="s">
        <v>201</v>
      </c>
      <c r="F731" t="s">
        <v>558</v>
      </c>
      <c r="G731" s="21">
        <v>-479.12</v>
      </c>
      <c r="H731" s="21">
        <v>0</v>
      </c>
      <c r="I731" s="21">
        <v>0</v>
      </c>
      <c r="J731" s="21">
        <v>0</v>
      </c>
      <c r="K731" s="21">
        <v>9.58</v>
      </c>
      <c r="L731" s="21">
        <v>-469.54</v>
      </c>
    </row>
    <row r="732" spans="1:12" ht="30" x14ac:dyDescent="0.25">
      <c r="A732" s="10">
        <v>727</v>
      </c>
      <c r="B732" t="s">
        <v>557</v>
      </c>
      <c r="C732" t="s">
        <v>13</v>
      </c>
      <c r="D732" t="s">
        <v>200</v>
      </c>
      <c r="E732" s="52" t="s">
        <v>201</v>
      </c>
      <c r="F732" t="s">
        <v>558</v>
      </c>
      <c r="G732" s="21">
        <v>0</v>
      </c>
      <c r="H732" s="21">
        <v>0</v>
      </c>
      <c r="I732" s="21">
        <v>0</v>
      </c>
      <c r="J732" s="21">
        <v>-57.49</v>
      </c>
      <c r="K732" s="21">
        <v>0</v>
      </c>
      <c r="L732" s="21">
        <v>-57.49</v>
      </c>
    </row>
    <row r="733" spans="1:12" ht="30" x14ac:dyDescent="0.25">
      <c r="A733" s="10">
        <v>728</v>
      </c>
      <c r="B733" t="s">
        <v>18</v>
      </c>
      <c r="C733" t="s">
        <v>17</v>
      </c>
      <c r="D733" t="s">
        <v>200</v>
      </c>
      <c r="E733" s="52" t="s">
        <v>201</v>
      </c>
      <c r="F733" t="s">
        <v>19</v>
      </c>
      <c r="G733" s="21">
        <v>-11.92</v>
      </c>
      <c r="H733" s="21">
        <v>0</v>
      </c>
      <c r="I733" s="21">
        <v>0</v>
      </c>
      <c r="J733" s="21">
        <v>0</v>
      </c>
      <c r="K733" s="21">
        <v>10.58</v>
      </c>
      <c r="L733" s="21">
        <v>-1.34</v>
      </c>
    </row>
    <row r="734" spans="1:12" ht="30" x14ac:dyDescent="0.25">
      <c r="A734" s="10">
        <v>729</v>
      </c>
      <c r="B734" t="s">
        <v>550</v>
      </c>
      <c r="C734" t="s">
        <v>17</v>
      </c>
      <c r="D734" t="s">
        <v>200</v>
      </c>
      <c r="E734" s="52" t="s">
        <v>201</v>
      </c>
      <c r="F734" t="s">
        <v>551</v>
      </c>
      <c r="G734" s="21">
        <v>-36303.089999999997</v>
      </c>
      <c r="H734" s="21">
        <v>0</v>
      </c>
      <c r="I734" s="21">
        <v>0</v>
      </c>
      <c r="J734" s="21">
        <v>0</v>
      </c>
      <c r="K734" s="21">
        <v>726.06</v>
      </c>
      <c r="L734" s="21">
        <v>-35577.03</v>
      </c>
    </row>
    <row r="735" spans="1:12" ht="30" x14ac:dyDescent="0.25">
      <c r="A735" s="10">
        <v>730</v>
      </c>
      <c r="B735" t="s">
        <v>550</v>
      </c>
      <c r="C735" t="s">
        <v>13</v>
      </c>
      <c r="D735" t="s">
        <v>200</v>
      </c>
      <c r="E735" s="52" t="s">
        <v>201</v>
      </c>
      <c r="F735" t="s">
        <v>551</v>
      </c>
      <c r="G735" s="21">
        <v>0</v>
      </c>
      <c r="H735" s="21">
        <v>0</v>
      </c>
      <c r="I735" s="21">
        <v>0</v>
      </c>
      <c r="J735" s="21">
        <v>-4356.37</v>
      </c>
      <c r="K735" s="21">
        <v>0</v>
      </c>
      <c r="L735" s="21">
        <v>-4356.37</v>
      </c>
    </row>
    <row r="736" spans="1:12" ht="30" x14ac:dyDescent="0.25">
      <c r="A736" s="10">
        <v>731</v>
      </c>
      <c r="B736" t="s">
        <v>550</v>
      </c>
      <c r="C736" t="s">
        <v>17</v>
      </c>
      <c r="D736" t="s">
        <v>200</v>
      </c>
      <c r="E736" s="52" t="s">
        <v>201</v>
      </c>
      <c r="F736" t="s">
        <v>552</v>
      </c>
      <c r="G736" s="21">
        <v>-2.61</v>
      </c>
      <c r="H736" s="21">
        <v>0</v>
      </c>
      <c r="I736" s="21">
        <v>0</v>
      </c>
      <c r="J736" s="21">
        <v>0</v>
      </c>
      <c r="K736" s="21">
        <v>0.05</v>
      </c>
      <c r="L736" s="21">
        <v>-2.56</v>
      </c>
    </row>
    <row r="737" spans="1:12" ht="30" x14ac:dyDescent="0.25">
      <c r="A737" s="10">
        <v>732</v>
      </c>
      <c r="B737" t="s">
        <v>550</v>
      </c>
      <c r="C737" t="s">
        <v>13</v>
      </c>
      <c r="D737" t="s">
        <v>200</v>
      </c>
      <c r="E737" s="52" t="s">
        <v>201</v>
      </c>
      <c r="F737" t="s">
        <v>552</v>
      </c>
      <c r="G737" s="21">
        <v>0</v>
      </c>
      <c r="H737" s="21">
        <v>0</v>
      </c>
      <c r="I737" s="21">
        <v>0</v>
      </c>
      <c r="J737" s="21">
        <v>-0.31</v>
      </c>
      <c r="K737" s="21">
        <v>0</v>
      </c>
      <c r="L737" s="21">
        <v>-0.31</v>
      </c>
    </row>
    <row r="738" spans="1:12" ht="30" x14ac:dyDescent="0.25">
      <c r="A738" s="10">
        <v>733</v>
      </c>
      <c r="B738" t="s">
        <v>550</v>
      </c>
      <c r="C738" t="s">
        <v>17</v>
      </c>
      <c r="D738" t="s">
        <v>600</v>
      </c>
      <c r="E738" s="52" t="s">
        <v>601</v>
      </c>
      <c r="F738" t="s">
        <v>551</v>
      </c>
      <c r="G738" s="21">
        <v>0</v>
      </c>
      <c r="H738" s="21">
        <v>0</v>
      </c>
      <c r="I738" s="21">
        <v>-15.13</v>
      </c>
      <c r="J738" s="21">
        <v>0</v>
      </c>
      <c r="K738" s="21">
        <v>0.3</v>
      </c>
      <c r="L738" s="21">
        <v>-14.83</v>
      </c>
    </row>
    <row r="739" spans="1:12" ht="30" x14ac:dyDescent="0.25">
      <c r="A739" s="10">
        <v>734</v>
      </c>
      <c r="B739" t="s">
        <v>18</v>
      </c>
      <c r="C739" t="s">
        <v>17</v>
      </c>
      <c r="D739" t="s">
        <v>203</v>
      </c>
      <c r="E739" s="52" t="s">
        <v>204</v>
      </c>
      <c r="F739" t="s">
        <v>19</v>
      </c>
      <c r="G739" s="21">
        <v>0</v>
      </c>
      <c r="H739" s="21">
        <v>0</v>
      </c>
      <c r="I739" s="21">
        <v>-0.25</v>
      </c>
      <c r="J739" s="21">
        <v>0</v>
      </c>
      <c r="K739" s="21">
        <v>0.03</v>
      </c>
      <c r="L739" s="21">
        <v>-0.22</v>
      </c>
    </row>
    <row r="740" spans="1:12" ht="30" x14ac:dyDescent="0.25">
      <c r="A740" s="10">
        <v>735</v>
      </c>
      <c r="B740" t="s">
        <v>18</v>
      </c>
      <c r="C740" t="s">
        <v>17</v>
      </c>
      <c r="D740" t="s">
        <v>203</v>
      </c>
      <c r="E740" s="52" t="s">
        <v>204</v>
      </c>
      <c r="F740" t="s">
        <v>19</v>
      </c>
      <c r="G740" s="21">
        <v>0</v>
      </c>
      <c r="H740" s="21">
        <v>0</v>
      </c>
      <c r="I740" s="21">
        <v>-0.02</v>
      </c>
      <c r="J740" s="21">
        <v>0</v>
      </c>
      <c r="K740" s="21">
        <v>0</v>
      </c>
      <c r="L740" s="21">
        <v>-0.02</v>
      </c>
    </row>
    <row r="741" spans="1:12" ht="30" x14ac:dyDescent="0.25">
      <c r="A741" s="10">
        <v>736</v>
      </c>
      <c r="B741" t="s">
        <v>18</v>
      </c>
      <c r="C741" t="s">
        <v>17</v>
      </c>
      <c r="D741" t="s">
        <v>203</v>
      </c>
      <c r="E741" s="52" t="s">
        <v>204</v>
      </c>
      <c r="F741" t="s">
        <v>19</v>
      </c>
      <c r="G741" s="21">
        <v>0</v>
      </c>
      <c r="H741" s="21">
        <v>0</v>
      </c>
      <c r="I741" s="21">
        <v>-0.06</v>
      </c>
      <c r="J741" s="21">
        <v>0</v>
      </c>
      <c r="K741" s="21">
        <v>0</v>
      </c>
      <c r="L741" s="21">
        <v>-0.06</v>
      </c>
    </row>
    <row r="742" spans="1:12" ht="30" x14ac:dyDescent="0.25">
      <c r="A742" s="10">
        <v>737</v>
      </c>
      <c r="B742" t="s">
        <v>20</v>
      </c>
      <c r="C742" t="s">
        <v>17</v>
      </c>
      <c r="D742" t="s">
        <v>203</v>
      </c>
      <c r="E742" s="52" t="s">
        <v>204</v>
      </c>
      <c r="F742" t="s">
        <v>21</v>
      </c>
      <c r="G742" s="21">
        <v>0</v>
      </c>
      <c r="H742" s="21">
        <v>0</v>
      </c>
      <c r="I742" s="21">
        <v>0</v>
      </c>
      <c r="J742" s="21">
        <v>0</v>
      </c>
      <c r="K742" s="21">
        <v>0</v>
      </c>
      <c r="L742" s="21">
        <v>0</v>
      </c>
    </row>
    <row r="743" spans="1:12" ht="30" x14ac:dyDescent="0.25">
      <c r="A743" s="10">
        <v>738</v>
      </c>
      <c r="B743" t="s">
        <v>550</v>
      </c>
      <c r="C743" t="s">
        <v>17</v>
      </c>
      <c r="D743" t="s">
        <v>602</v>
      </c>
      <c r="E743" s="52" t="s">
        <v>204</v>
      </c>
      <c r="F743" t="s">
        <v>551</v>
      </c>
      <c r="G743" s="21">
        <v>0</v>
      </c>
      <c r="H743" s="21">
        <v>0</v>
      </c>
      <c r="I743" s="21">
        <v>-47.71</v>
      </c>
      <c r="J743" s="21">
        <v>0</v>
      </c>
      <c r="K743" s="21">
        <v>0.95</v>
      </c>
      <c r="L743" s="21">
        <v>-46.76</v>
      </c>
    </row>
    <row r="744" spans="1:12" ht="30" x14ac:dyDescent="0.25">
      <c r="A744" s="10">
        <v>739</v>
      </c>
      <c r="B744" t="s">
        <v>550</v>
      </c>
      <c r="C744" t="s">
        <v>17</v>
      </c>
      <c r="D744" t="s">
        <v>602</v>
      </c>
      <c r="E744" s="52" t="s">
        <v>204</v>
      </c>
      <c r="F744" t="s">
        <v>551</v>
      </c>
      <c r="G744" s="21">
        <v>0</v>
      </c>
      <c r="H744" s="21">
        <v>0</v>
      </c>
      <c r="I744" s="21">
        <v>-189.52</v>
      </c>
      <c r="J744" s="21">
        <v>0</v>
      </c>
      <c r="K744" s="21">
        <v>3.79</v>
      </c>
      <c r="L744" s="21">
        <v>-185.73</v>
      </c>
    </row>
    <row r="745" spans="1:12" ht="30" x14ac:dyDescent="0.25">
      <c r="A745" s="10">
        <v>740</v>
      </c>
      <c r="B745" t="s">
        <v>550</v>
      </c>
      <c r="C745" t="s">
        <v>17</v>
      </c>
      <c r="D745" t="s">
        <v>602</v>
      </c>
      <c r="E745" s="52" t="s">
        <v>204</v>
      </c>
      <c r="F745" t="s">
        <v>552</v>
      </c>
      <c r="G745" s="21">
        <v>0</v>
      </c>
      <c r="H745" s="21">
        <v>0</v>
      </c>
      <c r="I745" s="21">
        <v>-0.01</v>
      </c>
      <c r="J745" s="21">
        <v>0</v>
      </c>
      <c r="K745" s="21">
        <v>0</v>
      </c>
      <c r="L745" s="21">
        <v>-0.01</v>
      </c>
    </row>
    <row r="746" spans="1:12" ht="45" x14ac:dyDescent="0.25">
      <c r="A746" s="10">
        <v>741</v>
      </c>
      <c r="B746" t="s">
        <v>18</v>
      </c>
      <c r="C746" t="s">
        <v>17</v>
      </c>
      <c r="D746" t="s">
        <v>205</v>
      </c>
      <c r="E746" s="52" t="s">
        <v>206</v>
      </c>
      <c r="F746" t="s">
        <v>19</v>
      </c>
      <c r="G746" s="21">
        <v>0</v>
      </c>
      <c r="H746" s="21">
        <v>0</v>
      </c>
      <c r="I746" s="21">
        <v>-0.13</v>
      </c>
      <c r="J746" s="21">
        <v>0</v>
      </c>
      <c r="K746" s="21">
        <v>0.01</v>
      </c>
      <c r="L746" s="21">
        <v>-0.12</v>
      </c>
    </row>
    <row r="747" spans="1:12" ht="45" x14ac:dyDescent="0.25">
      <c r="A747" s="10">
        <v>742</v>
      </c>
      <c r="B747" t="s">
        <v>20</v>
      </c>
      <c r="C747" t="s">
        <v>17</v>
      </c>
      <c r="D747" t="s">
        <v>205</v>
      </c>
      <c r="E747" s="52" t="s">
        <v>206</v>
      </c>
      <c r="F747" t="s">
        <v>21</v>
      </c>
      <c r="G747" s="21">
        <v>0</v>
      </c>
      <c r="H747" s="21">
        <v>0</v>
      </c>
      <c r="I747" s="21">
        <v>0</v>
      </c>
      <c r="J747" s="21">
        <v>0</v>
      </c>
      <c r="K747" s="21">
        <v>0</v>
      </c>
      <c r="L747" s="21">
        <v>0</v>
      </c>
    </row>
    <row r="748" spans="1:12" ht="45" x14ac:dyDescent="0.25">
      <c r="A748" s="10">
        <v>743</v>
      </c>
      <c r="B748" t="s">
        <v>559</v>
      </c>
      <c r="C748" t="s">
        <v>17</v>
      </c>
      <c r="D748" t="s">
        <v>603</v>
      </c>
      <c r="E748" s="52" t="s">
        <v>604</v>
      </c>
      <c r="F748" t="s">
        <v>560</v>
      </c>
      <c r="G748" s="21">
        <v>0</v>
      </c>
      <c r="H748" s="21">
        <v>0</v>
      </c>
      <c r="I748" s="21">
        <v>-0.01</v>
      </c>
      <c r="J748" s="21">
        <v>0</v>
      </c>
      <c r="K748" s="21">
        <v>0</v>
      </c>
      <c r="L748" s="21">
        <v>-0.01</v>
      </c>
    </row>
    <row r="749" spans="1:12" ht="45" x14ac:dyDescent="0.25">
      <c r="A749" s="10">
        <v>744</v>
      </c>
      <c r="B749" t="s">
        <v>550</v>
      </c>
      <c r="C749" t="s">
        <v>17</v>
      </c>
      <c r="D749" t="s">
        <v>603</v>
      </c>
      <c r="E749" s="52" t="s">
        <v>604</v>
      </c>
      <c r="F749" t="s">
        <v>551</v>
      </c>
      <c r="G749" s="21">
        <v>0</v>
      </c>
      <c r="H749" s="21">
        <v>0</v>
      </c>
      <c r="I749" s="21">
        <v>-23.85</v>
      </c>
      <c r="J749" s="21">
        <v>0</v>
      </c>
      <c r="K749" s="21">
        <v>0.48</v>
      </c>
      <c r="L749" s="21">
        <v>-23.37</v>
      </c>
    </row>
    <row r="750" spans="1:12" ht="45" x14ac:dyDescent="0.25">
      <c r="A750" s="10">
        <v>745</v>
      </c>
      <c r="B750" t="s">
        <v>550</v>
      </c>
      <c r="C750" t="s">
        <v>17</v>
      </c>
      <c r="D750" t="s">
        <v>603</v>
      </c>
      <c r="E750" s="52" t="s">
        <v>604</v>
      </c>
      <c r="F750" t="s">
        <v>551</v>
      </c>
      <c r="G750" s="21">
        <v>0</v>
      </c>
      <c r="H750" s="21">
        <v>0</v>
      </c>
      <c r="I750" s="21">
        <v>-53.84</v>
      </c>
      <c r="J750" s="21">
        <v>0</v>
      </c>
      <c r="K750" s="21">
        <v>1.08</v>
      </c>
      <c r="L750" s="21">
        <v>-52.76</v>
      </c>
    </row>
    <row r="751" spans="1:12" x14ac:dyDescent="0.25">
      <c r="A751" s="10">
        <v>746</v>
      </c>
      <c r="B751" t="s">
        <v>18</v>
      </c>
      <c r="C751" t="s">
        <v>17</v>
      </c>
      <c r="D751" t="s">
        <v>207</v>
      </c>
      <c r="E751" s="52" t="s">
        <v>208</v>
      </c>
      <c r="F751" t="s">
        <v>19</v>
      </c>
      <c r="G751" s="21">
        <v>0</v>
      </c>
      <c r="H751" s="21">
        <v>0</v>
      </c>
      <c r="I751" s="21">
        <v>-2.76</v>
      </c>
      <c r="J751" s="21">
        <v>0</v>
      </c>
      <c r="K751" s="21">
        <v>0.32</v>
      </c>
      <c r="L751" s="21">
        <v>-2.44</v>
      </c>
    </row>
    <row r="752" spans="1:12" x14ac:dyDescent="0.25">
      <c r="A752" s="10">
        <v>747</v>
      </c>
      <c r="B752" t="s">
        <v>20</v>
      </c>
      <c r="C752" t="s">
        <v>17</v>
      </c>
      <c r="D752" t="s">
        <v>207</v>
      </c>
      <c r="E752" s="52" t="s">
        <v>208</v>
      </c>
      <c r="F752" t="s">
        <v>21</v>
      </c>
      <c r="G752" s="21">
        <v>0</v>
      </c>
      <c r="H752" s="21">
        <v>0</v>
      </c>
      <c r="I752" s="21">
        <v>-1647.19</v>
      </c>
      <c r="J752" s="21">
        <v>0</v>
      </c>
      <c r="K752" s="21">
        <v>32.94</v>
      </c>
      <c r="L752" s="21">
        <v>-1614.25</v>
      </c>
    </row>
    <row r="753" spans="1:12" x14ac:dyDescent="0.25">
      <c r="A753" s="10">
        <v>748</v>
      </c>
      <c r="B753" t="s">
        <v>20</v>
      </c>
      <c r="C753" t="s">
        <v>49</v>
      </c>
      <c r="D753" t="s">
        <v>207</v>
      </c>
      <c r="E753" s="52" t="s">
        <v>208</v>
      </c>
      <c r="F753" t="s">
        <v>21</v>
      </c>
      <c r="G753" s="21">
        <v>0</v>
      </c>
      <c r="H753" s="21">
        <v>0</v>
      </c>
      <c r="I753" s="21">
        <v>-7.4</v>
      </c>
      <c r="J753" s="21">
        <v>0</v>
      </c>
      <c r="K753" s="21">
        <v>0</v>
      </c>
      <c r="L753" s="21">
        <v>-7.4</v>
      </c>
    </row>
    <row r="754" spans="1:12" x14ac:dyDescent="0.25">
      <c r="A754" s="10">
        <v>749</v>
      </c>
      <c r="B754" t="s">
        <v>20</v>
      </c>
      <c r="C754" t="s">
        <v>17</v>
      </c>
      <c r="D754" t="s">
        <v>207</v>
      </c>
      <c r="E754" s="52" t="s">
        <v>208</v>
      </c>
      <c r="F754" t="s">
        <v>21</v>
      </c>
      <c r="G754" s="21">
        <v>0</v>
      </c>
      <c r="H754" s="21">
        <v>0</v>
      </c>
      <c r="I754" s="21">
        <v>-0.09</v>
      </c>
      <c r="J754" s="21">
        <v>0</v>
      </c>
      <c r="K754" s="21">
        <v>0</v>
      </c>
      <c r="L754" s="21">
        <v>-0.09</v>
      </c>
    </row>
    <row r="755" spans="1:12" x14ac:dyDescent="0.25">
      <c r="A755" s="10">
        <v>750</v>
      </c>
      <c r="B755" t="s">
        <v>20</v>
      </c>
      <c r="C755" t="s">
        <v>17</v>
      </c>
      <c r="D755" t="s">
        <v>207</v>
      </c>
      <c r="E755" s="52" t="s">
        <v>208</v>
      </c>
      <c r="F755" t="s">
        <v>21</v>
      </c>
      <c r="G755" s="21">
        <v>0</v>
      </c>
      <c r="H755" s="21">
        <v>0</v>
      </c>
      <c r="I755" s="21">
        <v>-36.6</v>
      </c>
      <c r="J755" s="21">
        <v>0</v>
      </c>
      <c r="K755" s="21">
        <v>0.73</v>
      </c>
      <c r="L755" s="21">
        <v>-35.869999999999997</v>
      </c>
    </row>
    <row r="756" spans="1:12" x14ac:dyDescent="0.25">
      <c r="A756" s="10">
        <v>751</v>
      </c>
      <c r="B756" t="s">
        <v>550</v>
      </c>
      <c r="C756" t="s">
        <v>17</v>
      </c>
      <c r="D756" t="s">
        <v>207</v>
      </c>
      <c r="E756" s="52" t="s">
        <v>208</v>
      </c>
      <c r="F756" t="s">
        <v>551</v>
      </c>
      <c r="G756" s="21">
        <v>-12299.13</v>
      </c>
      <c r="H756" s="21">
        <v>0</v>
      </c>
      <c r="I756" s="21">
        <v>0</v>
      </c>
      <c r="J756" s="21">
        <v>0</v>
      </c>
      <c r="K756" s="21">
        <v>0</v>
      </c>
      <c r="L756" s="21">
        <v>-12299.13</v>
      </c>
    </row>
    <row r="757" spans="1:12" x14ac:dyDescent="0.25">
      <c r="A757" s="10">
        <v>752</v>
      </c>
      <c r="B757" t="s">
        <v>550</v>
      </c>
      <c r="C757" t="s">
        <v>13</v>
      </c>
      <c r="D757" t="s">
        <v>207</v>
      </c>
      <c r="E757" s="52" t="s">
        <v>208</v>
      </c>
      <c r="F757" t="s">
        <v>551</v>
      </c>
      <c r="G757" s="21">
        <v>0</v>
      </c>
      <c r="H757" s="21">
        <v>0</v>
      </c>
      <c r="I757" s="21">
        <v>0</v>
      </c>
      <c r="J757" s="21">
        <v>-1475.9</v>
      </c>
      <c r="K757" s="21">
        <v>0</v>
      </c>
      <c r="L757" s="21">
        <v>-1475.9</v>
      </c>
    </row>
    <row r="758" spans="1:12" x14ac:dyDescent="0.25">
      <c r="A758" s="10">
        <v>753</v>
      </c>
      <c r="B758" t="s">
        <v>550</v>
      </c>
      <c r="C758" t="s">
        <v>17</v>
      </c>
      <c r="D758" t="s">
        <v>207</v>
      </c>
      <c r="E758" s="52" t="s">
        <v>208</v>
      </c>
      <c r="F758" t="s">
        <v>552</v>
      </c>
      <c r="G758" s="21">
        <v>-0.88</v>
      </c>
      <c r="H758" s="21">
        <v>0</v>
      </c>
      <c r="I758" s="21">
        <v>0</v>
      </c>
      <c r="J758" s="21">
        <v>0</v>
      </c>
      <c r="K758" s="21">
        <v>0</v>
      </c>
      <c r="L758" s="21">
        <v>-0.88</v>
      </c>
    </row>
    <row r="759" spans="1:12" x14ac:dyDescent="0.25">
      <c r="A759" s="10">
        <v>754</v>
      </c>
      <c r="B759" t="s">
        <v>550</v>
      </c>
      <c r="C759" t="s">
        <v>13</v>
      </c>
      <c r="D759" t="s">
        <v>207</v>
      </c>
      <c r="E759" s="52" t="s">
        <v>208</v>
      </c>
      <c r="F759" t="s">
        <v>552</v>
      </c>
      <c r="G759" s="21">
        <v>0</v>
      </c>
      <c r="H759" s="21">
        <v>0</v>
      </c>
      <c r="I759" s="21">
        <v>0</v>
      </c>
      <c r="J759" s="21">
        <v>-0.11</v>
      </c>
      <c r="K759" s="21">
        <v>0</v>
      </c>
      <c r="L759" s="21">
        <v>-0.11</v>
      </c>
    </row>
    <row r="760" spans="1:12" x14ac:dyDescent="0.25">
      <c r="A760" s="10">
        <v>755</v>
      </c>
      <c r="B760" t="s">
        <v>18</v>
      </c>
      <c r="C760" t="s">
        <v>17</v>
      </c>
      <c r="D760" t="s">
        <v>209</v>
      </c>
      <c r="E760" s="52" t="s">
        <v>210</v>
      </c>
      <c r="F760" t="s">
        <v>19</v>
      </c>
      <c r="G760" s="21">
        <v>0</v>
      </c>
      <c r="H760" s="21">
        <v>0</v>
      </c>
      <c r="I760" s="21">
        <v>-0.21</v>
      </c>
      <c r="J760" s="21">
        <v>0</v>
      </c>
      <c r="K760" s="21">
        <v>0.02</v>
      </c>
      <c r="L760" s="21">
        <v>-0.19</v>
      </c>
    </row>
    <row r="761" spans="1:12" x14ac:dyDescent="0.25">
      <c r="A761" s="10">
        <v>756</v>
      </c>
      <c r="B761" t="s">
        <v>20</v>
      </c>
      <c r="C761" t="s">
        <v>17</v>
      </c>
      <c r="D761" t="s">
        <v>209</v>
      </c>
      <c r="E761" s="52" t="s">
        <v>210</v>
      </c>
      <c r="F761" t="s">
        <v>21</v>
      </c>
      <c r="G761" s="21">
        <v>0</v>
      </c>
      <c r="H761" s="21">
        <v>0</v>
      </c>
      <c r="I761" s="21">
        <v>-0.1</v>
      </c>
      <c r="J761" s="21">
        <v>0</v>
      </c>
      <c r="K761" s="21">
        <v>0</v>
      </c>
      <c r="L761" s="21">
        <v>-0.1</v>
      </c>
    </row>
    <row r="762" spans="1:12" x14ac:dyDescent="0.25">
      <c r="A762" s="10">
        <v>757</v>
      </c>
      <c r="B762" t="s">
        <v>20</v>
      </c>
      <c r="C762" t="s">
        <v>17</v>
      </c>
      <c r="D762" t="s">
        <v>209</v>
      </c>
      <c r="E762" s="52" t="s">
        <v>210</v>
      </c>
      <c r="F762" t="s">
        <v>21</v>
      </c>
      <c r="G762" s="21">
        <v>0</v>
      </c>
      <c r="H762" s="21">
        <v>0</v>
      </c>
      <c r="I762" s="21">
        <v>0</v>
      </c>
      <c r="J762" s="21">
        <v>0</v>
      </c>
      <c r="K762" s="21">
        <v>0</v>
      </c>
      <c r="L762" s="21">
        <v>0</v>
      </c>
    </row>
    <row r="763" spans="1:12" x14ac:dyDescent="0.25">
      <c r="A763" s="10">
        <v>758</v>
      </c>
      <c r="B763" t="s">
        <v>550</v>
      </c>
      <c r="C763" t="s">
        <v>17</v>
      </c>
      <c r="D763" t="s">
        <v>209</v>
      </c>
      <c r="E763" s="52" t="s">
        <v>210</v>
      </c>
      <c r="F763" t="s">
        <v>551</v>
      </c>
      <c r="G763" s="21">
        <v>0</v>
      </c>
      <c r="H763" s="21">
        <v>0</v>
      </c>
      <c r="I763" s="21">
        <v>-46.85</v>
      </c>
      <c r="J763" s="21">
        <v>0</v>
      </c>
      <c r="K763" s="21">
        <v>0</v>
      </c>
      <c r="L763" s="21">
        <v>-46.85</v>
      </c>
    </row>
    <row r="764" spans="1:12" x14ac:dyDescent="0.25">
      <c r="A764" s="10">
        <v>759</v>
      </c>
      <c r="B764" t="s">
        <v>550</v>
      </c>
      <c r="C764" t="s">
        <v>17</v>
      </c>
      <c r="D764" t="s">
        <v>209</v>
      </c>
      <c r="E764" s="52" t="s">
        <v>210</v>
      </c>
      <c r="F764" t="s">
        <v>551</v>
      </c>
      <c r="G764" s="21">
        <v>0</v>
      </c>
      <c r="H764" s="21">
        <v>0</v>
      </c>
      <c r="I764" s="21">
        <v>-420.47</v>
      </c>
      <c r="J764" s="21">
        <v>0</v>
      </c>
      <c r="K764" s="21">
        <v>0</v>
      </c>
      <c r="L764" s="21">
        <v>-420.47</v>
      </c>
    </row>
    <row r="765" spans="1:12" x14ac:dyDescent="0.25">
      <c r="A765" s="10">
        <v>760</v>
      </c>
      <c r="B765" t="s">
        <v>550</v>
      </c>
      <c r="C765" t="s">
        <v>17</v>
      </c>
      <c r="D765" t="s">
        <v>209</v>
      </c>
      <c r="E765" s="52" t="s">
        <v>210</v>
      </c>
      <c r="F765" t="s">
        <v>552</v>
      </c>
      <c r="G765" s="21">
        <v>0</v>
      </c>
      <c r="H765" s="21">
        <v>0</v>
      </c>
      <c r="I765" s="21">
        <v>-0.03</v>
      </c>
      <c r="J765" s="21">
        <v>0</v>
      </c>
      <c r="K765" s="21">
        <v>0</v>
      </c>
      <c r="L765" s="21">
        <v>-0.03</v>
      </c>
    </row>
    <row r="766" spans="1:12" ht="30" x14ac:dyDescent="0.25">
      <c r="A766" s="10">
        <v>761</v>
      </c>
      <c r="B766" t="s">
        <v>18</v>
      </c>
      <c r="C766" t="s">
        <v>17</v>
      </c>
      <c r="D766" t="s">
        <v>211</v>
      </c>
      <c r="E766" s="52" t="s">
        <v>212</v>
      </c>
      <c r="F766" t="s">
        <v>19</v>
      </c>
      <c r="G766" s="21">
        <v>-36.68</v>
      </c>
      <c r="H766" s="21">
        <v>0</v>
      </c>
      <c r="I766" s="21">
        <v>0</v>
      </c>
      <c r="J766" s="21">
        <v>0</v>
      </c>
      <c r="K766" s="21">
        <v>32.54</v>
      </c>
      <c r="L766" s="21">
        <v>-4.1399999999999997</v>
      </c>
    </row>
    <row r="767" spans="1:12" ht="30" x14ac:dyDescent="0.25">
      <c r="A767" s="10">
        <v>762</v>
      </c>
      <c r="B767" t="s">
        <v>550</v>
      </c>
      <c r="C767" t="s">
        <v>17</v>
      </c>
      <c r="D767" t="s">
        <v>211</v>
      </c>
      <c r="E767" s="52" t="s">
        <v>212</v>
      </c>
      <c r="F767" t="s">
        <v>551</v>
      </c>
      <c r="G767" s="21">
        <v>-1567.18</v>
      </c>
      <c r="H767" s="21">
        <v>0</v>
      </c>
      <c r="I767" s="21">
        <v>0</v>
      </c>
      <c r="J767" s="21">
        <v>0</v>
      </c>
      <c r="K767" s="21">
        <v>31.34</v>
      </c>
      <c r="L767" s="21">
        <v>-1535.84</v>
      </c>
    </row>
    <row r="768" spans="1:12" ht="30" x14ac:dyDescent="0.25">
      <c r="A768" s="10">
        <v>763</v>
      </c>
      <c r="B768" t="s">
        <v>550</v>
      </c>
      <c r="C768" t="s">
        <v>13</v>
      </c>
      <c r="D768" t="s">
        <v>211</v>
      </c>
      <c r="E768" s="52" t="s">
        <v>212</v>
      </c>
      <c r="F768" t="s">
        <v>551</v>
      </c>
      <c r="G768" s="21">
        <v>0</v>
      </c>
      <c r="H768" s="21">
        <v>0</v>
      </c>
      <c r="I768" s="21">
        <v>0</v>
      </c>
      <c r="J768" s="21">
        <v>-188.06</v>
      </c>
      <c r="K768" s="21">
        <v>0</v>
      </c>
      <c r="L768" s="21">
        <v>-188.06</v>
      </c>
    </row>
    <row r="769" spans="1:12" ht="30" x14ac:dyDescent="0.25">
      <c r="A769" s="10">
        <v>764</v>
      </c>
      <c r="B769" t="s">
        <v>550</v>
      </c>
      <c r="C769" t="s">
        <v>17</v>
      </c>
      <c r="D769" t="s">
        <v>211</v>
      </c>
      <c r="E769" s="52" t="s">
        <v>212</v>
      </c>
      <c r="F769" t="s">
        <v>552</v>
      </c>
      <c r="G769" s="21">
        <v>-0.11</v>
      </c>
      <c r="H769" s="21">
        <v>0</v>
      </c>
      <c r="I769" s="21">
        <v>0</v>
      </c>
      <c r="J769" s="21">
        <v>0</v>
      </c>
      <c r="K769" s="21">
        <v>0</v>
      </c>
      <c r="L769" s="21">
        <v>-0.11</v>
      </c>
    </row>
    <row r="770" spans="1:12" ht="30" x14ac:dyDescent="0.25">
      <c r="A770" s="10">
        <v>765</v>
      </c>
      <c r="B770" t="s">
        <v>550</v>
      </c>
      <c r="C770" t="s">
        <v>13</v>
      </c>
      <c r="D770" t="s">
        <v>211</v>
      </c>
      <c r="E770" s="52" t="s">
        <v>212</v>
      </c>
      <c r="F770" t="s">
        <v>552</v>
      </c>
      <c r="G770" s="21">
        <v>0</v>
      </c>
      <c r="H770" s="21">
        <v>0</v>
      </c>
      <c r="I770" s="21">
        <v>0</v>
      </c>
      <c r="J770" s="21">
        <v>-0.01</v>
      </c>
      <c r="K770" s="21">
        <v>0</v>
      </c>
      <c r="L770" s="21">
        <v>-0.01</v>
      </c>
    </row>
    <row r="771" spans="1:12" x14ac:dyDescent="0.25">
      <c r="A771" s="10">
        <v>766</v>
      </c>
      <c r="B771" t="s">
        <v>18</v>
      </c>
      <c r="C771" t="s">
        <v>17</v>
      </c>
      <c r="D771" t="s">
        <v>213</v>
      </c>
      <c r="E771" s="52" t="s">
        <v>214</v>
      </c>
      <c r="F771" t="s">
        <v>19</v>
      </c>
      <c r="G771" s="21">
        <v>-70.41</v>
      </c>
      <c r="H771" s="21">
        <v>0</v>
      </c>
      <c r="I771" s="21">
        <v>0</v>
      </c>
      <c r="J771" s="21">
        <v>0</v>
      </c>
      <c r="K771" s="21">
        <v>62.47</v>
      </c>
      <c r="L771" s="21">
        <v>-7.94</v>
      </c>
    </row>
    <row r="772" spans="1:12" x14ac:dyDescent="0.25">
      <c r="A772" s="10">
        <v>767</v>
      </c>
      <c r="B772" t="s">
        <v>18</v>
      </c>
      <c r="C772" t="s">
        <v>17</v>
      </c>
      <c r="D772" t="s">
        <v>213</v>
      </c>
      <c r="E772" s="52" t="s">
        <v>214</v>
      </c>
      <c r="F772" t="s">
        <v>19</v>
      </c>
      <c r="G772" s="21">
        <v>-3.82</v>
      </c>
      <c r="H772" s="21">
        <v>0</v>
      </c>
      <c r="I772" s="21">
        <v>0</v>
      </c>
      <c r="J772" s="21">
        <v>0</v>
      </c>
      <c r="K772" s="21">
        <v>3.39</v>
      </c>
      <c r="L772" s="21">
        <v>-0.43</v>
      </c>
    </row>
    <row r="773" spans="1:12" x14ac:dyDescent="0.25">
      <c r="A773" s="10">
        <v>768</v>
      </c>
      <c r="B773" t="s">
        <v>550</v>
      </c>
      <c r="C773" t="s">
        <v>17</v>
      </c>
      <c r="D773" t="s">
        <v>213</v>
      </c>
      <c r="E773" s="52" t="s">
        <v>214</v>
      </c>
      <c r="F773" t="s">
        <v>551</v>
      </c>
      <c r="G773" s="21">
        <v>-852726.85</v>
      </c>
      <c r="H773" s="21">
        <v>0</v>
      </c>
      <c r="I773" s="21">
        <v>0</v>
      </c>
      <c r="J773" s="21">
        <v>0</v>
      </c>
      <c r="K773" s="21">
        <v>17054.54</v>
      </c>
      <c r="L773" s="21">
        <v>-835672.31</v>
      </c>
    </row>
    <row r="774" spans="1:12" x14ac:dyDescent="0.25">
      <c r="A774" s="10">
        <v>769</v>
      </c>
      <c r="B774" t="s">
        <v>550</v>
      </c>
      <c r="C774" t="s">
        <v>17</v>
      </c>
      <c r="D774" t="s">
        <v>213</v>
      </c>
      <c r="E774" s="52" t="s">
        <v>214</v>
      </c>
      <c r="F774" t="s">
        <v>551</v>
      </c>
      <c r="G774" s="21">
        <v>-90378.51</v>
      </c>
      <c r="H774" s="21">
        <v>0</v>
      </c>
      <c r="I774" s="21">
        <v>0</v>
      </c>
      <c r="J774" s="21">
        <v>0</v>
      </c>
      <c r="K774" s="21">
        <v>1807.57</v>
      </c>
      <c r="L774" s="21">
        <v>-88570.94</v>
      </c>
    </row>
    <row r="775" spans="1:12" x14ac:dyDescent="0.25">
      <c r="A775" s="10">
        <v>770</v>
      </c>
      <c r="B775" t="s">
        <v>550</v>
      </c>
      <c r="C775" t="s">
        <v>13</v>
      </c>
      <c r="D775" t="s">
        <v>213</v>
      </c>
      <c r="E775" s="52" t="s">
        <v>214</v>
      </c>
      <c r="F775" t="s">
        <v>551</v>
      </c>
      <c r="G775" s="21">
        <v>0</v>
      </c>
      <c r="H775" s="21">
        <v>0</v>
      </c>
      <c r="I775" s="21">
        <v>0</v>
      </c>
      <c r="J775" s="21">
        <v>-102327.22</v>
      </c>
      <c r="K775" s="21">
        <v>0</v>
      </c>
      <c r="L775" s="21">
        <v>-102327.22</v>
      </c>
    </row>
    <row r="776" spans="1:12" x14ac:dyDescent="0.25">
      <c r="A776" s="10">
        <v>771</v>
      </c>
      <c r="B776" t="s">
        <v>550</v>
      </c>
      <c r="C776" t="s">
        <v>13</v>
      </c>
      <c r="D776" t="s">
        <v>213</v>
      </c>
      <c r="E776" s="52" t="s">
        <v>214</v>
      </c>
      <c r="F776" t="s">
        <v>551</v>
      </c>
      <c r="G776" s="21">
        <v>0</v>
      </c>
      <c r="H776" s="21">
        <v>0</v>
      </c>
      <c r="I776" s="21">
        <v>0</v>
      </c>
      <c r="J776" s="21">
        <v>-10845.42</v>
      </c>
      <c r="K776" s="21">
        <v>0</v>
      </c>
      <c r="L776" s="21">
        <v>-10845.42</v>
      </c>
    </row>
    <row r="777" spans="1:12" x14ac:dyDescent="0.25">
      <c r="A777" s="10">
        <v>772</v>
      </c>
      <c r="B777" t="s">
        <v>550</v>
      </c>
      <c r="C777" t="s">
        <v>17</v>
      </c>
      <c r="D777" t="s">
        <v>213</v>
      </c>
      <c r="E777" s="52" t="s">
        <v>214</v>
      </c>
      <c r="F777" t="s">
        <v>552</v>
      </c>
      <c r="G777" s="21">
        <v>-61.33</v>
      </c>
      <c r="H777" s="21">
        <v>0</v>
      </c>
      <c r="I777" s="21">
        <v>0</v>
      </c>
      <c r="J777" s="21">
        <v>0</v>
      </c>
      <c r="K777" s="21">
        <v>1.23</v>
      </c>
      <c r="L777" s="21">
        <v>-60.1</v>
      </c>
    </row>
    <row r="778" spans="1:12" x14ac:dyDescent="0.25">
      <c r="A778" s="10">
        <v>773</v>
      </c>
      <c r="B778" t="s">
        <v>550</v>
      </c>
      <c r="C778" t="s">
        <v>17</v>
      </c>
      <c r="D778" t="s">
        <v>213</v>
      </c>
      <c r="E778" s="52" t="s">
        <v>214</v>
      </c>
      <c r="F778" t="s">
        <v>552</v>
      </c>
      <c r="G778" s="21">
        <v>-6.5</v>
      </c>
      <c r="H778" s="21">
        <v>0</v>
      </c>
      <c r="I778" s="21">
        <v>0</v>
      </c>
      <c r="J778" s="21">
        <v>0</v>
      </c>
      <c r="K778" s="21">
        <v>0.13</v>
      </c>
      <c r="L778" s="21">
        <v>-6.37</v>
      </c>
    </row>
    <row r="779" spans="1:12" x14ac:dyDescent="0.25">
      <c r="A779" s="10">
        <v>774</v>
      </c>
      <c r="B779" t="s">
        <v>550</v>
      </c>
      <c r="C779" t="s">
        <v>13</v>
      </c>
      <c r="D779" t="s">
        <v>213</v>
      </c>
      <c r="E779" s="52" t="s">
        <v>214</v>
      </c>
      <c r="F779" t="s">
        <v>552</v>
      </c>
      <c r="G779" s="21">
        <v>0</v>
      </c>
      <c r="H779" s="21">
        <v>0</v>
      </c>
      <c r="I779" s="21">
        <v>0</v>
      </c>
      <c r="J779" s="21">
        <v>-7.36</v>
      </c>
      <c r="K779" s="21">
        <v>0</v>
      </c>
      <c r="L779" s="21">
        <v>-7.36</v>
      </c>
    </row>
    <row r="780" spans="1:12" x14ac:dyDescent="0.25">
      <c r="A780" s="10">
        <v>775</v>
      </c>
      <c r="B780" t="s">
        <v>550</v>
      </c>
      <c r="C780" t="s">
        <v>13</v>
      </c>
      <c r="D780" t="s">
        <v>213</v>
      </c>
      <c r="E780" s="52" t="s">
        <v>214</v>
      </c>
      <c r="F780" t="s">
        <v>552</v>
      </c>
      <c r="G780" s="21">
        <v>0</v>
      </c>
      <c r="H780" s="21">
        <v>0</v>
      </c>
      <c r="I780" s="21">
        <v>0</v>
      </c>
      <c r="J780" s="21">
        <v>-0.78</v>
      </c>
      <c r="K780" s="21">
        <v>0</v>
      </c>
      <c r="L780" s="21">
        <v>-0.78</v>
      </c>
    </row>
    <row r="781" spans="1:12" x14ac:dyDescent="0.25">
      <c r="A781" s="10">
        <v>776</v>
      </c>
      <c r="B781" t="s">
        <v>550</v>
      </c>
      <c r="C781" t="s">
        <v>13</v>
      </c>
      <c r="D781" t="s">
        <v>215</v>
      </c>
      <c r="E781" s="52" t="s">
        <v>216</v>
      </c>
      <c r="F781" t="s">
        <v>551</v>
      </c>
      <c r="G781" s="21">
        <v>0</v>
      </c>
      <c r="H781" s="21">
        <v>0</v>
      </c>
      <c r="I781" s="21">
        <v>0</v>
      </c>
      <c r="J781" s="21">
        <v>-402.55</v>
      </c>
      <c r="K781" s="21">
        <v>0</v>
      </c>
      <c r="L781" s="21">
        <v>-402.55</v>
      </c>
    </row>
    <row r="782" spans="1:12" x14ac:dyDescent="0.25">
      <c r="A782" s="10">
        <v>777</v>
      </c>
      <c r="B782" t="s">
        <v>550</v>
      </c>
      <c r="C782" t="s">
        <v>17</v>
      </c>
      <c r="D782" t="s">
        <v>215</v>
      </c>
      <c r="E782" s="52" t="s">
        <v>216</v>
      </c>
      <c r="F782" t="s">
        <v>551</v>
      </c>
      <c r="G782" s="21">
        <v>-3354.55</v>
      </c>
      <c r="H782" s="21">
        <v>0</v>
      </c>
      <c r="I782" s="21">
        <v>0</v>
      </c>
      <c r="J782" s="21">
        <v>0</v>
      </c>
      <c r="K782" s="21">
        <v>67.09</v>
      </c>
      <c r="L782" s="21">
        <v>-3287.46</v>
      </c>
    </row>
    <row r="783" spans="1:12" x14ac:dyDescent="0.25">
      <c r="A783" s="10">
        <v>778</v>
      </c>
      <c r="B783" t="s">
        <v>550</v>
      </c>
      <c r="C783" t="s">
        <v>13</v>
      </c>
      <c r="D783" t="s">
        <v>215</v>
      </c>
      <c r="E783" s="52" t="s">
        <v>216</v>
      </c>
      <c r="F783" t="s">
        <v>552</v>
      </c>
      <c r="G783" s="21">
        <v>0</v>
      </c>
      <c r="H783" s="21">
        <v>0</v>
      </c>
      <c r="I783" s="21">
        <v>0</v>
      </c>
      <c r="J783" s="21">
        <v>-0.03</v>
      </c>
      <c r="K783" s="21">
        <v>0</v>
      </c>
      <c r="L783" s="21">
        <v>-0.03</v>
      </c>
    </row>
    <row r="784" spans="1:12" x14ac:dyDescent="0.25">
      <c r="A784" s="10">
        <v>779</v>
      </c>
      <c r="B784" t="s">
        <v>550</v>
      </c>
      <c r="C784" t="s">
        <v>17</v>
      </c>
      <c r="D784" t="s">
        <v>215</v>
      </c>
      <c r="E784" s="52" t="s">
        <v>216</v>
      </c>
      <c r="F784" t="s">
        <v>552</v>
      </c>
      <c r="G784" s="21">
        <v>-0.24</v>
      </c>
      <c r="H784" s="21">
        <v>0</v>
      </c>
      <c r="I784" s="21">
        <v>0</v>
      </c>
      <c r="J784" s="21">
        <v>0</v>
      </c>
      <c r="K784" s="21">
        <v>0</v>
      </c>
      <c r="L784" s="21">
        <v>-0.24</v>
      </c>
    </row>
    <row r="785" spans="1:12" ht="30" x14ac:dyDescent="0.25">
      <c r="A785" s="10">
        <v>780</v>
      </c>
      <c r="B785" t="s">
        <v>20</v>
      </c>
      <c r="C785" t="s">
        <v>13</v>
      </c>
      <c r="D785" t="s">
        <v>217</v>
      </c>
      <c r="E785" s="52" t="s">
        <v>218</v>
      </c>
      <c r="F785" t="s">
        <v>21</v>
      </c>
      <c r="G785" s="21">
        <v>0</v>
      </c>
      <c r="H785" s="21">
        <v>0</v>
      </c>
      <c r="I785" s="21">
        <v>0</v>
      </c>
      <c r="J785" s="21">
        <v>-1.74</v>
      </c>
      <c r="K785" s="21">
        <v>0</v>
      </c>
      <c r="L785" s="21">
        <v>-1.74</v>
      </c>
    </row>
    <row r="786" spans="1:12" ht="30" x14ac:dyDescent="0.25">
      <c r="A786" s="10">
        <v>781</v>
      </c>
      <c r="B786" t="s">
        <v>22</v>
      </c>
      <c r="C786" t="s">
        <v>17</v>
      </c>
      <c r="D786" t="s">
        <v>217</v>
      </c>
      <c r="E786" s="52" t="s">
        <v>218</v>
      </c>
      <c r="F786" t="s">
        <v>23</v>
      </c>
      <c r="G786" s="21">
        <v>-31.78</v>
      </c>
      <c r="H786" s="21">
        <v>0</v>
      </c>
      <c r="I786" s="21">
        <v>0</v>
      </c>
      <c r="J786" s="21">
        <v>0</v>
      </c>
      <c r="K786" s="21">
        <v>0.64</v>
      </c>
      <c r="L786" s="21">
        <v>-31.14</v>
      </c>
    </row>
    <row r="787" spans="1:12" ht="30" x14ac:dyDescent="0.25">
      <c r="A787" s="10">
        <v>782</v>
      </c>
      <c r="B787" t="s">
        <v>22</v>
      </c>
      <c r="C787" t="s">
        <v>49</v>
      </c>
      <c r="D787" t="s">
        <v>217</v>
      </c>
      <c r="E787" s="52" t="s">
        <v>218</v>
      </c>
      <c r="F787" t="s">
        <v>23</v>
      </c>
      <c r="G787" s="21">
        <v>-0.05</v>
      </c>
      <c r="H787" s="21">
        <v>0</v>
      </c>
      <c r="I787" s="21">
        <v>0</v>
      </c>
      <c r="J787" s="21">
        <v>0</v>
      </c>
      <c r="K787" s="21">
        <v>0</v>
      </c>
      <c r="L787" s="21">
        <v>-0.05</v>
      </c>
    </row>
    <row r="788" spans="1:12" ht="30" x14ac:dyDescent="0.25">
      <c r="A788" s="10">
        <v>783</v>
      </c>
      <c r="B788" t="s">
        <v>22</v>
      </c>
      <c r="C788" t="s">
        <v>13</v>
      </c>
      <c r="D788" t="s">
        <v>217</v>
      </c>
      <c r="E788" s="52" t="s">
        <v>218</v>
      </c>
      <c r="F788" t="s">
        <v>23</v>
      </c>
      <c r="G788" s="21">
        <v>0</v>
      </c>
      <c r="H788" s="21">
        <v>0</v>
      </c>
      <c r="I788" s="21">
        <v>0</v>
      </c>
      <c r="J788" s="21">
        <v>-0.1</v>
      </c>
      <c r="K788" s="21">
        <v>0</v>
      </c>
      <c r="L788" s="21">
        <v>-0.1</v>
      </c>
    </row>
    <row r="789" spans="1:12" ht="30" x14ac:dyDescent="0.25">
      <c r="A789" s="10">
        <v>784</v>
      </c>
      <c r="B789" t="s">
        <v>22</v>
      </c>
      <c r="C789" t="s">
        <v>13</v>
      </c>
      <c r="D789" t="s">
        <v>217</v>
      </c>
      <c r="E789" s="52" t="s">
        <v>218</v>
      </c>
      <c r="F789" t="s">
        <v>23</v>
      </c>
      <c r="G789" s="21">
        <v>0</v>
      </c>
      <c r="H789" s="21">
        <v>0</v>
      </c>
      <c r="I789" s="21">
        <v>0</v>
      </c>
      <c r="J789" s="21">
        <v>-8.31</v>
      </c>
      <c r="K789" s="21">
        <v>0</v>
      </c>
      <c r="L789" s="21">
        <v>-8.31</v>
      </c>
    </row>
    <row r="790" spans="1:12" ht="30" x14ac:dyDescent="0.25">
      <c r="A790" s="10">
        <v>785</v>
      </c>
      <c r="B790" t="s">
        <v>22</v>
      </c>
      <c r="C790" t="s">
        <v>17</v>
      </c>
      <c r="D790" t="s">
        <v>217</v>
      </c>
      <c r="E790" s="52" t="s">
        <v>218</v>
      </c>
      <c r="F790" t="s">
        <v>24</v>
      </c>
      <c r="G790" s="21">
        <v>-0.06</v>
      </c>
      <c r="H790" s="21">
        <v>0</v>
      </c>
      <c r="I790" s="21">
        <v>0</v>
      </c>
      <c r="J790" s="21">
        <v>0</v>
      </c>
      <c r="K790" s="21">
        <v>0</v>
      </c>
      <c r="L790" s="21">
        <v>-0.06</v>
      </c>
    </row>
    <row r="791" spans="1:12" ht="30" x14ac:dyDescent="0.25">
      <c r="A791" s="10">
        <v>786</v>
      </c>
      <c r="B791" t="s">
        <v>22</v>
      </c>
      <c r="C791" t="s">
        <v>13</v>
      </c>
      <c r="D791" t="s">
        <v>217</v>
      </c>
      <c r="E791" s="52" t="s">
        <v>218</v>
      </c>
      <c r="F791" t="s">
        <v>24</v>
      </c>
      <c r="G791" s="21">
        <v>0</v>
      </c>
      <c r="H791" s="21">
        <v>0</v>
      </c>
      <c r="I791" s="21">
        <v>0</v>
      </c>
      <c r="J791" s="21">
        <v>-0.02</v>
      </c>
      <c r="K791" s="21">
        <v>0</v>
      </c>
      <c r="L791" s="21">
        <v>-0.02</v>
      </c>
    </row>
    <row r="792" spans="1:12" ht="30" x14ac:dyDescent="0.25">
      <c r="A792" s="10">
        <v>787</v>
      </c>
      <c r="B792" t="s">
        <v>550</v>
      </c>
      <c r="C792" t="s">
        <v>17</v>
      </c>
      <c r="D792" t="s">
        <v>217</v>
      </c>
      <c r="E792" s="52" t="s">
        <v>218</v>
      </c>
      <c r="F792" t="s">
        <v>551</v>
      </c>
      <c r="G792" s="21">
        <v>-252.87</v>
      </c>
      <c r="H792" s="21">
        <v>0</v>
      </c>
      <c r="I792" s="21">
        <v>0</v>
      </c>
      <c r="J792" s="21">
        <v>0</v>
      </c>
      <c r="K792" s="21">
        <v>5.0599999999999996</v>
      </c>
      <c r="L792" s="21">
        <v>-247.81</v>
      </c>
    </row>
    <row r="793" spans="1:12" ht="30" x14ac:dyDescent="0.25">
      <c r="A793" s="10">
        <v>788</v>
      </c>
      <c r="B793" t="s">
        <v>550</v>
      </c>
      <c r="C793" t="s">
        <v>49</v>
      </c>
      <c r="D793" t="s">
        <v>217</v>
      </c>
      <c r="E793" s="52" t="s">
        <v>218</v>
      </c>
      <c r="F793" t="s">
        <v>551</v>
      </c>
      <c r="G793" s="21">
        <v>-0.08</v>
      </c>
      <c r="H793" s="21">
        <v>0</v>
      </c>
      <c r="I793" s="21">
        <v>0</v>
      </c>
      <c r="J793" s="21">
        <v>0</v>
      </c>
      <c r="K793" s="21">
        <v>0</v>
      </c>
      <c r="L793" s="21">
        <v>-0.08</v>
      </c>
    </row>
    <row r="794" spans="1:12" ht="30" x14ac:dyDescent="0.25">
      <c r="A794" s="10">
        <v>789</v>
      </c>
      <c r="B794" t="s">
        <v>550</v>
      </c>
      <c r="C794" t="s">
        <v>13</v>
      </c>
      <c r="D794" t="s">
        <v>217</v>
      </c>
      <c r="E794" s="52" t="s">
        <v>218</v>
      </c>
      <c r="F794" t="s">
        <v>551</v>
      </c>
      <c r="G794" s="21">
        <v>0</v>
      </c>
      <c r="H794" s="21">
        <v>0</v>
      </c>
      <c r="I794" s="21">
        <v>0</v>
      </c>
      <c r="J794" s="21">
        <v>-6.1</v>
      </c>
      <c r="K794" s="21">
        <v>0</v>
      </c>
      <c r="L794" s="21">
        <v>-6.1</v>
      </c>
    </row>
    <row r="795" spans="1:12" ht="30" x14ac:dyDescent="0.25">
      <c r="A795" s="10">
        <v>790</v>
      </c>
      <c r="B795" t="s">
        <v>550</v>
      </c>
      <c r="C795" t="s">
        <v>13</v>
      </c>
      <c r="D795" t="s">
        <v>217</v>
      </c>
      <c r="E795" s="52" t="s">
        <v>218</v>
      </c>
      <c r="F795" t="s">
        <v>551</v>
      </c>
      <c r="G795" s="21">
        <v>0</v>
      </c>
      <c r="H795" s="21">
        <v>0</v>
      </c>
      <c r="I795" s="21">
        <v>0</v>
      </c>
      <c r="J795" s="21">
        <v>-41.15</v>
      </c>
      <c r="K795" s="21">
        <v>0</v>
      </c>
      <c r="L795" s="21">
        <v>-41.15</v>
      </c>
    </row>
    <row r="796" spans="1:12" ht="30" x14ac:dyDescent="0.25">
      <c r="A796" s="10">
        <v>791</v>
      </c>
      <c r="B796" t="s">
        <v>550</v>
      </c>
      <c r="C796" t="s">
        <v>17</v>
      </c>
      <c r="D796" t="s">
        <v>217</v>
      </c>
      <c r="E796" s="52" t="s">
        <v>218</v>
      </c>
      <c r="F796" t="s">
        <v>551</v>
      </c>
      <c r="G796" s="21">
        <v>-50.85</v>
      </c>
      <c r="H796" s="21">
        <v>0</v>
      </c>
      <c r="I796" s="21">
        <v>0</v>
      </c>
      <c r="J796" s="21">
        <v>0</v>
      </c>
      <c r="K796" s="21">
        <v>1.02</v>
      </c>
      <c r="L796" s="21">
        <v>-49.83</v>
      </c>
    </row>
    <row r="797" spans="1:12" ht="30" x14ac:dyDescent="0.25">
      <c r="A797" s="10">
        <v>792</v>
      </c>
      <c r="B797" t="s">
        <v>550</v>
      </c>
      <c r="C797" t="s">
        <v>17</v>
      </c>
      <c r="D797" t="s">
        <v>217</v>
      </c>
      <c r="E797" s="52" t="s">
        <v>218</v>
      </c>
      <c r="F797" t="s">
        <v>551</v>
      </c>
      <c r="G797" s="21">
        <v>-90.05</v>
      </c>
      <c r="H797" s="21">
        <v>0</v>
      </c>
      <c r="I797" s="21">
        <v>0</v>
      </c>
      <c r="J797" s="21">
        <v>0</v>
      </c>
      <c r="K797" s="21">
        <v>1.8</v>
      </c>
      <c r="L797" s="21">
        <v>-88.25</v>
      </c>
    </row>
    <row r="798" spans="1:12" ht="30" x14ac:dyDescent="0.25">
      <c r="A798" s="10">
        <v>793</v>
      </c>
      <c r="B798" t="s">
        <v>550</v>
      </c>
      <c r="C798" t="s">
        <v>17</v>
      </c>
      <c r="D798" t="s">
        <v>217</v>
      </c>
      <c r="E798" s="52" t="s">
        <v>218</v>
      </c>
      <c r="F798" t="s">
        <v>552</v>
      </c>
      <c r="G798" s="21">
        <v>-0.01</v>
      </c>
      <c r="H798" s="21">
        <v>0</v>
      </c>
      <c r="I798" s="21">
        <v>0</v>
      </c>
      <c r="J798" s="21">
        <v>0</v>
      </c>
      <c r="K798" s="21">
        <v>0</v>
      </c>
      <c r="L798" s="21">
        <v>-0.01</v>
      </c>
    </row>
    <row r="799" spans="1:12" ht="30" x14ac:dyDescent="0.25">
      <c r="A799" s="10">
        <v>794</v>
      </c>
      <c r="B799" t="s">
        <v>550</v>
      </c>
      <c r="C799" t="s">
        <v>13</v>
      </c>
      <c r="D799" t="s">
        <v>217</v>
      </c>
      <c r="E799" s="52" t="s">
        <v>218</v>
      </c>
      <c r="F799" t="s">
        <v>552</v>
      </c>
      <c r="G799" s="21">
        <v>0</v>
      </c>
      <c r="H799" s="21">
        <v>0</v>
      </c>
      <c r="I799" s="21">
        <v>0</v>
      </c>
      <c r="J799" s="21">
        <v>0</v>
      </c>
      <c r="K799" s="21">
        <v>0</v>
      </c>
      <c r="L799" s="21">
        <v>0</v>
      </c>
    </row>
    <row r="800" spans="1:12" ht="30" x14ac:dyDescent="0.25">
      <c r="A800" s="10">
        <v>795</v>
      </c>
      <c r="B800" t="s">
        <v>550</v>
      </c>
      <c r="C800" t="s">
        <v>17</v>
      </c>
      <c r="D800" t="s">
        <v>217</v>
      </c>
      <c r="E800" s="52" t="s">
        <v>218</v>
      </c>
      <c r="F800" t="s">
        <v>552</v>
      </c>
      <c r="G800" s="21">
        <v>-0.01</v>
      </c>
      <c r="H800" s="21">
        <v>0</v>
      </c>
      <c r="I800" s="21">
        <v>0</v>
      </c>
      <c r="J800" s="21">
        <v>0</v>
      </c>
      <c r="K800" s="21">
        <v>0</v>
      </c>
      <c r="L800" s="21">
        <v>-0.01</v>
      </c>
    </row>
    <row r="801" spans="1:12" ht="30" x14ac:dyDescent="0.25">
      <c r="A801" s="10">
        <v>796</v>
      </c>
      <c r="B801" t="s">
        <v>555</v>
      </c>
      <c r="C801" t="s">
        <v>17</v>
      </c>
      <c r="D801" t="s">
        <v>219</v>
      </c>
      <c r="E801" s="52" t="s">
        <v>220</v>
      </c>
      <c r="F801" t="s">
        <v>556</v>
      </c>
      <c r="G801" s="21">
        <v>-274.63</v>
      </c>
      <c r="H801" s="21">
        <v>0</v>
      </c>
      <c r="I801" s="21">
        <v>0</v>
      </c>
      <c r="J801" s="21">
        <v>0</v>
      </c>
      <c r="K801" s="21">
        <v>5.49</v>
      </c>
      <c r="L801" s="21">
        <v>-269.14</v>
      </c>
    </row>
    <row r="802" spans="1:12" ht="30" x14ac:dyDescent="0.25">
      <c r="A802" s="10">
        <v>797</v>
      </c>
      <c r="B802" t="s">
        <v>555</v>
      </c>
      <c r="C802" t="s">
        <v>13</v>
      </c>
      <c r="D802" t="s">
        <v>219</v>
      </c>
      <c r="E802" s="52" t="s">
        <v>220</v>
      </c>
      <c r="F802" t="s">
        <v>556</v>
      </c>
      <c r="G802" s="21">
        <v>0</v>
      </c>
      <c r="H802" s="21">
        <v>0</v>
      </c>
      <c r="I802" s="21">
        <v>0</v>
      </c>
      <c r="J802" s="21">
        <v>-32.96</v>
      </c>
      <c r="K802" s="21">
        <v>0</v>
      </c>
      <c r="L802" s="21">
        <v>-32.96</v>
      </c>
    </row>
    <row r="803" spans="1:12" ht="30" x14ac:dyDescent="0.25">
      <c r="A803" s="10">
        <v>798</v>
      </c>
      <c r="B803" t="s">
        <v>557</v>
      </c>
      <c r="C803" t="s">
        <v>17</v>
      </c>
      <c r="D803" t="s">
        <v>219</v>
      </c>
      <c r="E803" s="52" t="s">
        <v>220</v>
      </c>
      <c r="F803" t="s">
        <v>558</v>
      </c>
      <c r="G803" s="21">
        <v>-202.33</v>
      </c>
      <c r="H803" s="21">
        <v>0</v>
      </c>
      <c r="I803" s="21">
        <v>0</v>
      </c>
      <c r="J803" s="21">
        <v>0</v>
      </c>
      <c r="K803" s="21">
        <v>4.05</v>
      </c>
      <c r="L803" s="21">
        <v>-198.28</v>
      </c>
    </row>
    <row r="804" spans="1:12" ht="30" x14ac:dyDescent="0.25">
      <c r="A804" s="10">
        <v>799</v>
      </c>
      <c r="B804" t="s">
        <v>557</v>
      </c>
      <c r="C804" t="s">
        <v>13</v>
      </c>
      <c r="D804" t="s">
        <v>219</v>
      </c>
      <c r="E804" s="52" t="s">
        <v>220</v>
      </c>
      <c r="F804" t="s">
        <v>558</v>
      </c>
      <c r="G804" s="21">
        <v>0</v>
      </c>
      <c r="H804" s="21">
        <v>0</v>
      </c>
      <c r="I804" s="21">
        <v>0</v>
      </c>
      <c r="J804" s="21">
        <v>-24.28</v>
      </c>
      <c r="K804" s="21">
        <v>0</v>
      </c>
      <c r="L804" s="21">
        <v>-24.28</v>
      </c>
    </row>
    <row r="805" spans="1:12" ht="30" x14ac:dyDescent="0.25">
      <c r="A805" s="10">
        <v>800</v>
      </c>
      <c r="B805" t="s">
        <v>18</v>
      </c>
      <c r="C805" t="s">
        <v>17</v>
      </c>
      <c r="D805" t="s">
        <v>219</v>
      </c>
      <c r="E805" s="52" t="s">
        <v>220</v>
      </c>
      <c r="F805" t="s">
        <v>19</v>
      </c>
      <c r="G805" s="21">
        <v>-0.15</v>
      </c>
      <c r="H805" s="21">
        <v>0</v>
      </c>
      <c r="I805" s="21">
        <v>0</v>
      </c>
      <c r="J805" s="21">
        <v>0</v>
      </c>
      <c r="K805" s="21">
        <v>0.13</v>
      </c>
      <c r="L805" s="21">
        <v>-0.02</v>
      </c>
    </row>
    <row r="806" spans="1:12" ht="30" x14ac:dyDescent="0.25">
      <c r="A806" s="10">
        <v>801</v>
      </c>
      <c r="B806" t="s">
        <v>550</v>
      </c>
      <c r="C806" t="s">
        <v>17</v>
      </c>
      <c r="D806" t="s">
        <v>219</v>
      </c>
      <c r="E806" s="52" t="s">
        <v>220</v>
      </c>
      <c r="F806" t="s">
        <v>551</v>
      </c>
      <c r="G806" s="21">
        <v>-7081.59</v>
      </c>
      <c r="H806" s="21">
        <v>0</v>
      </c>
      <c r="I806" s="21">
        <v>0</v>
      </c>
      <c r="J806" s="21">
        <v>0</v>
      </c>
      <c r="K806" s="21">
        <v>141.63</v>
      </c>
      <c r="L806" s="21">
        <v>-6939.96</v>
      </c>
    </row>
    <row r="807" spans="1:12" ht="30" x14ac:dyDescent="0.25">
      <c r="A807" s="10">
        <v>802</v>
      </c>
      <c r="B807" t="s">
        <v>550</v>
      </c>
      <c r="C807" t="s">
        <v>13</v>
      </c>
      <c r="D807" t="s">
        <v>219</v>
      </c>
      <c r="E807" s="52" t="s">
        <v>220</v>
      </c>
      <c r="F807" t="s">
        <v>551</v>
      </c>
      <c r="G807" s="21">
        <v>0</v>
      </c>
      <c r="H807" s="21">
        <v>0</v>
      </c>
      <c r="I807" s="21">
        <v>0</v>
      </c>
      <c r="J807" s="21">
        <v>-849.79</v>
      </c>
      <c r="K807" s="21">
        <v>0</v>
      </c>
      <c r="L807" s="21">
        <v>-849.79</v>
      </c>
    </row>
    <row r="808" spans="1:12" ht="30" x14ac:dyDescent="0.25">
      <c r="A808" s="10">
        <v>803</v>
      </c>
      <c r="B808" t="s">
        <v>550</v>
      </c>
      <c r="C808" t="s">
        <v>17</v>
      </c>
      <c r="D808" t="s">
        <v>219</v>
      </c>
      <c r="E808" s="52" t="s">
        <v>220</v>
      </c>
      <c r="F808" t="s">
        <v>552</v>
      </c>
      <c r="G808" s="21">
        <v>-0.51</v>
      </c>
      <c r="H808" s="21">
        <v>0</v>
      </c>
      <c r="I808" s="21">
        <v>0</v>
      </c>
      <c r="J808" s="21">
        <v>0</v>
      </c>
      <c r="K808" s="21">
        <v>0.01</v>
      </c>
      <c r="L808" s="21">
        <v>-0.5</v>
      </c>
    </row>
    <row r="809" spans="1:12" ht="30" x14ac:dyDescent="0.25">
      <c r="A809" s="10">
        <v>804</v>
      </c>
      <c r="B809" t="s">
        <v>550</v>
      </c>
      <c r="C809" t="s">
        <v>13</v>
      </c>
      <c r="D809" t="s">
        <v>219</v>
      </c>
      <c r="E809" s="52" t="s">
        <v>220</v>
      </c>
      <c r="F809" t="s">
        <v>552</v>
      </c>
      <c r="G809" s="21">
        <v>0</v>
      </c>
      <c r="H809" s="21">
        <v>0</v>
      </c>
      <c r="I809" s="21">
        <v>0</v>
      </c>
      <c r="J809" s="21">
        <v>-0.06</v>
      </c>
      <c r="K809" s="21">
        <v>0</v>
      </c>
      <c r="L809" s="21">
        <v>-0.06</v>
      </c>
    </row>
    <row r="810" spans="1:12" x14ac:dyDescent="0.25">
      <c r="A810" s="10">
        <v>805</v>
      </c>
      <c r="B810" t="s">
        <v>18</v>
      </c>
      <c r="C810" t="s">
        <v>17</v>
      </c>
      <c r="D810" t="s">
        <v>221</v>
      </c>
      <c r="E810" s="52" t="s">
        <v>222</v>
      </c>
      <c r="F810" t="s">
        <v>19</v>
      </c>
      <c r="G810" s="21">
        <v>0</v>
      </c>
      <c r="H810" s="21">
        <v>0</v>
      </c>
      <c r="I810" s="21">
        <v>-0.03</v>
      </c>
      <c r="J810" s="21">
        <v>0</v>
      </c>
      <c r="K810" s="21">
        <v>0</v>
      </c>
      <c r="L810" s="21">
        <v>-0.03</v>
      </c>
    </row>
    <row r="811" spans="1:12" x14ac:dyDescent="0.25">
      <c r="A811" s="10">
        <v>806</v>
      </c>
      <c r="B811" t="s">
        <v>18</v>
      </c>
      <c r="C811" t="s">
        <v>17</v>
      </c>
      <c r="D811" t="s">
        <v>221</v>
      </c>
      <c r="E811" s="52" t="s">
        <v>222</v>
      </c>
      <c r="F811" t="s">
        <v>19</v>
      </c>
      <c r="G811" s="21">
        <v>0</v>
      </c>
      <c r="H811" s="21">
        <v>0</v>
      </c>
      <c r="I811" s="21">
        <v>-0.1</v>
      </c>
      <c r="J811" s="21">
        <v>0</v>
      </c>
      <c r="K811" s="21">
        <v>0.01</v>
      </c>
      <c r="L811" s="21">
        <v>-0.09</v>
      </c>
    </row>
    <row r="812" spans="1:12" x14ac:dyDescent="0.25">
      <c r="A812" s="10">
        <v>807</v>
      </c>
      <c r="B812" t="s">
        <v>18</v>
      </c>
      <c r="C812" t="s">
        <v>17</v>
      </c>
      <c r="D812" t="s">
        <v>221</v>
      </c>
      <c r="E812" s="52" t="s">
        <v>222</v>
      </c>
      <c r="F812" t="s">
        <v>19</v>
      </c>
      <c r="G812" s="21">
        <v>0</v>
      </c>
      <c r="H812" s="21">
        <v>0</v>
      </c>
      <c r="I812" s="21">
        <v>-1.43</v>
      </c>
      <c r="J812" s="21">
        <v>0</v>
      </c>
      <c r="K812" s="21">
        <v>0.17</v>
      </c>
      <c r="L812" s="21">
        <v>-1.26</v>
      </c>
    </row>
    <row r="813" spans="1:12" x14ac:dyDescent="0.25">
      <c r="A813" s="10">
        <v>808</v>
      </c>
      <c r="B813" t="s">
        <v>18</v>
      </c>
      <c r="C813" t="s">
        <v>17</v>
      </c>
      <c r="D813" t="s">
        <v>221</v>
      </c>
      <c r="E813" s="52" t="s">
        <v>222</v>
      </c>
      <c r="F813" t="s">
        <v>19</v>
      </c>
      <c r="G813" s="21">
        <v>0</v>
      </c>
      <c r="H813" s="21">
        <v>0</v>
      </c>
      <c r="I813" s="21">
        <v>-0.09</v>
      </c>
      <c r="J813" s="21">
        <v>0</v>
      </c>
      <c r="K813" s="21">
        <v>0.01</v>
      </c>
      <c r="L813" s="21">
        <v>-0.08</v>
      </c>
    </row>
    <row r="814" spans="1:12" x14ac:dyDescent="0.25">
      <c r="A814" s="10">
        <v>809</v>
      </c>
      <c r="B814" t="s">
        <v>550</v>
      </c>
      <c r="C814" t="s">
        <v>17</v>
      </c>
      <c r="D814" t="s">
        <v>221</v>
      </c>
      <c r="E814" s="52" t="s">
        <v>222</v>
      </c>
      <c r="F814" t="s">
        <v>551</v>
      </c>
      <c r="G814" s="21">
        <v>0</v>
      </c>
      <c r="H814" s="21">
        <v>0</v>
      </c>
      <c r="I814" s="21">
        <v>-24.55</v>
      </c>
      <c r="J814" s="21">
        <v>0</v>
      </c>
      <c r="K814" s="21">
        <v>0.49</v>
      </c>
      <c r="L814" s="21">
        <v>-24.06</v>
      </c>
    </row>
    <row r="815" spans="1:12" x14ac:dyDescent="0.25">
      <c r="A815" s="10">
        <v>810</v>
      </c>
      <c r="B815" t="s">
        <v>550</v>
      </c>
      <c r="C815" t="s">
        <v>17</v>
      </c>
      <c r="D815" t="s">
        <v>221</v>
      </c>
      <c r="E815" s="52" t="s">
        <v>222</v>
      </c>
      <c r="F815" t="s">
        <v>551</v>
      </c>
      <c r="G815" s="21">
        <v>0</v>
      </c>
      <c r="H815" s="21">
        <v>0</v>
      </c>
      <c r="I815" s="21">
        <v>-54.92</v>
      </c>
      <c r="J815" s="21">
        <v>0</v>
      </c>
      <c r="K815" s="21">
        <v>1.1000000000000001</v>
      </c>
      <c r="L815" s="21">
        <v>-53.82</v>
      </c>
    </row>
    <row r="816" spans="1:12" x14ac:dyDescent="0.25">
      <c r="A816" s="10">
        <v>811</v>
      </c>
      <c r="B816" t="s">
        <v>550</v>
      </c>
      <c r="C816" t="s">
        <v>17</v>
      </c>
      <c r="D816" t="s">
        <v>223</v>
      </c>
      <c r="E816" s="52" t="s">
        <v>224</v>
      </c>
      <c r="F816" t="s">
        <v>551</v>
      </c>
      <c r="G816" s="21">
        <v>0</v>
      </c>
      <c r="H816" s="21">
        <v>0</v>
      </c>
      <c r="I816" s="21">
        <v>-292.86</v>
      </c>
      <c r="J816" s="21">
        <v>0</v>
      </c>
      <c r="K816" s="21">
        <v>5.86</v>
      </c>
      <c r="L816" s="21">
        <v>-287</v>
      </c>
    </row>
    <row r="817" spans="1:12" x14ac:dyDescent="0.25">
      <c r="A817" s="10">
        <v>812</v>
      </c>
      <c r="B817" t="s">
        <v>550</v>
      </c>
      <c r="C817" t="s">
        <v>17</v>
      </c>
      <c r="D817" t="s">
        <v>223</v>
      </c>
      <c r="E817" s="52" t="s">
        <v>224</v>
      </c>
      <c r="F817" t="s">
        <v>551</v>
      </c>
      <c r="G817" s="21">
        <v>0</v>
      </c>
      <c r="H817" s="21">
        <v>0</v>
      </c>
      <c r="I817" s="21">
        <v>-17.53</v>
      </c>
      <c r="J817" s="21">
        <v>0</v>
      </c>
      <c r="K817" s="21">
        <v>0.35</v>
      </c>
      <c r="L817" s="21">
        <v>-17.18</v>
      </c>
    </row>
    <row r="818" spans="1:12" x14ac:dyDescent="0.25">
      <c r="A818" s="10">
        <v>813</v>
      </c>
      <c r="B818" t="s">
        <v>550</v>
      </c>
      <c r="C818" t="s">
        <v>17</v>
      </c>
      <c r="D818" t="s">
        <v>223</v>
      </c>
      <c r="E818" s="52" t="s">
        <v>224</v>
      </c>
      <c r="F818" t="s">
        <v>552</v>
      </c>
      <c r="G818" s="21">
        <v>0</v>
      </c>
      <c r="H818" s="21">
        <v>0</v>
      </c>
      <c r="I818" s="21">
        <v>-0.02</v>
      </c>
      <c r="J818" s="21">
        <v>0</v>
      </c>
      <c r="K818" s="21">
        <v>0</v>
      </c>
      <c r="L818" s="21">
        <v>-0.02</v>
      </c>
    </row>
    <row r="819" spans="1:12" x14ac:dyDescent="0.25">
      <c r="A819" s="10">
        <v>814</v>
      </c>
      <c r="B819" t="s">
        <v>550</v>
      </c>
      <c r="C819" t="s">
        <v>17</v>
      </c>
      <c r="D819" t="s">
        <v>605</v>
      </c>
      <c r="E819" s="52" t="s">
        <v>222</v>
      </c>
      <c r="F819" t="s">
        <v>551</v>
      </c>
      <c r="G819" s="21">
        <v>0</v>
      </c>
      <c r="H819" s="21">
        <v>0</v>
      </c>
      <c r="I819" s="21">
        <v>-0.35</v>
      </c>
      <c r="J819" s="21">
        <v>0</v>
      </c>
      <c r="K819" s="21">
        <v>0.01</v>
      </c>
      <c r="L819" s="21">
        <v>-0.34</v>
      </c>
    </row>
    <row r="820" spans="1:12" x14ac:dyDescent="0.25">
      <c r="A820" s="10">
        <v>815</v>
      </c>
      <c r="B820" t="s">
        <v>550</v>
      </c>
      <c r="C820" t="s">
        <v>17</v>
      </c>
      <c r="D820" t="s">
        <v>605</v>
      </c>
      <c r="E820" s="52" t="s">
        <v>222</v>
      </c>
      <c r="F820" t="s">
        <v>551</v>
      </c>
      <c r="G820" s="21">
        <v>0</v>
      </c>
      <c r="H820" s="21">
        <v>0</v>
      </c>
      <c r="I820" s="21">
        <v>-82.22</v>
      </c>
      <c r="J820" s="21">
        <v>0</v>
      </c>
      <c r="K820" s="21">
        <v>1.64</v>
      </c>
      <c r="L820" s="21">
        <v>-80.58</v>
      </c>
    </row>
    <row r="821" spans="1:12" x14ac:dyDescent="0.25">
      <c r="A821" s="10">
        <v>816</v>
      </c>
      <c r="B821" t="s">
        <v>550</v>
      </c>
      <c r="C821" t="s">
        <v>17</v>
      </c>
      <c r="D821" t="s">
        <v>605</v>
      </c>
      <c r="E821" s="52" t="s">
        <v>222</v>
      </c>
      <c r="F821" t="s">
        <v>552</v>
      </c>
      <c r="G821" s="21">
        <v>0</v>
      </c>
      <c r="H821" s="21">
        <v>0</v>
      </c>
      <c r="I821" s="21">
        <v>-0.01</v>
      </c>
      <c r="J821" s="21">
        <v>0</v>
      </c>
      <c r="K821" s="21">
        <v>0</v>
      </c>
      <c r="L821" s="21">
        <v>-0.01</v>
      </c>
    </row>
    <row r="822" spans="1:12" x14ac:dyDescent="0.25">
      <c r="A822" s="10">
        <v>817</v>
      </c>
      <c r="B822" t="s">
        <v>550</v>
      </c>
      <c r="C822" t="s">
        <v>17</v>
      </c>
      <c r="D822" t="s">
        <v>606</v>
      </c>
      <c r="E822" s="52" t="s">
        <v>607</v>
      </c>
      <c r="F822" t="s">
        <v>551</v>
      </c>
      <c r="G822" s="21">
        <v>0</v>
      </c>
      <c r="H822" s="21">
        <v>0</v>
      </c>
      <c r="I822" s="21">
        <v>-183.05</v>
      </c>
      <c r="J822" s="21">
        <v>0</v>
      </c>
      <c r="K822" s="21">
        <v>3.66</v>
      </c>
      <c r="L822" s="21">
        <v>-179.39</v>
      </c>
    </row>
    <row r="823" spans="1:12" x14ac:dyDescent="0.25">
      <c r="A823" s="10">
        <v>818</v>
      </c>
      <c r="B823" t="s">
        <v>550</v>
      </c>
      <c r="C823" t="s">
        <v>17</v>
      </c>
      <c r="D823" t="s">
        <v>606</v>
      </c>
      <c r="E823" s="52" t="s">
        <v>607</v>
      </c>
      <c r="F823" t="s">
        <v>552</v>
      </c>
      <c r="G823" s="21">
        <v>0</v>
      </c>
      <c r="H823" s="21">
        <v>0</v>
      </c>
      <c r="I823" s="21">
        <v>-0.01</v>
      </c>
      <c r="J823" s="21">
        <v>0</v>
      </c>
      <c r="K823" s="21">
        <v>0</v>
      </c>
      <c r="L823" s="21">
        <v>-0.01</v>
      </c>
    </row>
    <row r="824" spans="1:12" x14ac:dyDescent="0.25">
      <c r="A824" s="10">
        <v>819</v>
      </c>
      <c r="B824" t="s">
        <v>18</v>
      </c>
      <c r="C824" t="s">
        <v>17</v>
      </c>
      <c r="D824" t="s">
        <v>227</v>
      </c>
      <c r="E824" s="52" t="s">
        <v>228</v>
      </c>
      <c r="F824" t="s">
        <v>19</v>
      </c>
      <c r="G824" s="21">
        <v>0</v>
      </c>
      <c r="H824" s="21">
        <v>0</v>
      </c>
      <c r="I824" s="21">
        <v>-0.5</v>
      </c>
      <c r="J824" s="21">
        <v>0</v>
      </c>
      <c r="K824" s="21">
        <v>0.06</v>
      </c>
      <c r="L824" s="21">
        <v>-0.44</v>
      </c>
    </row>
    <row r="825" spans="1:12" x14ac:dyDescent="0.25">
      <c r="A825" s="10">
        <v>820</v>
      </c>
      <c r="B825" t="s">
        <v>550</v>
      </c>
      <c r="C825" t="s">
        <v>17</v>
      </c>
      <c r="D825" t="s">
        <v>608</v>
      </c>
      <c r="E825" s="52" t="s">
        <v>228</v>
      </c>
      <c r="F825" t="s">
        <v>551</v>
      </c>
      <c r="G825" s="21">
        <v>0</v>
      </c>
      <c r="H825" s="21">
        <v>0</v>
      </c>
      <c r="I825" s="21">
        <v>-103.23</v>
      </c>
      <c r="J825" s="21">
        <v>0</v>
      </c>
      <c r="K825" s="21">
        <v>2.06</v>
      </c>
      <c r="L825" s="21">
        <v>-101.17</v>
      </c>
    </row>
    <row r="826" spans="1:12" x14ac:dyDescent="0.25">
      <c r="A826" s="10">
        <v>821</v>
      </c>
      <c r="B826" t="s">
        <v>550</v>
      </c>
      <c r="C826" t="s">
        <v>17</v>
      </c>
      <c r="D826" t="s">
        <v>608</v>
      </c>
      <c r="E826" s="52" t="s">
        <v>228</v>
      </c>
      <c r="F826" t="s">
        <v>551</v>
      </c>
      <c r="G826" s="21">
        <v>0</v>
      </c>
      <c r="H826" s="21">
        <v>0</v>
      </c>
      <c r="I826" s="21">
        <v>-1166.8699999999999</v>
      </c>
      <c r="J826" s="21">
        <v>0</v>
      </c>
      <c r="K826" s="21">
        <v>23.34</v>
      </c>
      <c r="L826" s="21">
        <v>-1143.53</v>
      </c>
    </row>
    <row r="827" spans="1:12" x14ac:dyDescent="0.25">
      <c r="A827" s="10">
        <v>822</v>
      </c>
      <c r="B827" t="s">
        <v>550</v>
      </c>
      <c r="C827" t="s">
        <v>17</v>
      </c>
      <c r="D827" t="s">
        <v>608</v>
      </c>
      <c r="E827" s="52" t="s">
        <v>228</v>
      </c>
      <c r="F827" t="s">
        <v>552</v>
      </c>
      <c r="G827" s="21">
        <v>0</v>
      </c>
      <c r="H827" s="21">
        <v>0</v>
      </c>
      <c r="I827" s="21">
        <v>-0.01</v>
      </c>
      <c r="J827" s="21">
        <v>0</v>
      </c>
      <c r="K827" s="21">
        <v>0</v>
      </c>
      <c r="L827" s="21">
        <v>-0.01</v>
      </c>
    </row>
    <row r="828" spans="1:12" x14ac:dyDescent="0.25">
      <c r="A828" s="10">
        <v>823</v>
      </c>
      <c r="B828" t="s">
        <v>550</v>
      </c>
      <c r="C828" t="s">
        <v>17</v>
      </c>
      <c r="D828" t="s">
        <v>608</v>
      </c>
      <c r="E828" s="52" t="s">
        <v>228</v>
      </c>
      <c r="F828" t="s">
        <v>552</v>
      </c>
      <c r="G828" s="21">
        <v>0</v>
      </c>
      <c r="H828" s="21">
        <v>0</v>
      </c>
      <c r="I828" s="21">
        <v>-0.08</v>
      </c>
      <c r="J828" s="21">
        <v>0</v>
      </c>
      <c r="K828" s="21">
        <v>0</v>
      </c>
      <c r="L828" s="21">
        <v>-0.08</v>
      </c>
    </row>
    <row r="829" spans="1:12" ht="30" x14ac:dyDescent="0.25">
      <c r="A829" s="10">
        <v>824</v>
      </c>
      <c r="B829" t="s">
        <v>18</v>
      </c>
      <c r="C829" t="s">
        <v>17</v>
      </c>
      <c r="D829" t="s">
        <v>229</v>
      </c>
      <c r="E829" s="52" t="s">
        <v>230</v>
      </c>
      <c r="F829" t="s">
        <v>19</v>
      </c>
      <c r="G829" s="21">
        <v>0</v>
      </c>
      <c r="H829" s="21">
        <v>0</v>
      </c>
      <c r="I829" s="21">
        <v>0</v>
      </c>
      <c r="J829" s="21">
        <v>0</v>
      </c>
      <c r="K829" s="21">
        <v>0</v>
      </c>
      <c r="L829" s="21">
        <v>0</v>
      </c>
    </row>
    <row r="830" spans="1:12" ht="30" x14ac:dyDescent="0.25">
      <c r="A830" s="10">
        <v>825</v>
      </c>
      <c r="B830" t="s">
        <v>550</v>
      </c>
      <c r="C830" t="s">
        <v>17</v>
      </c>
      <c r="D830" t="s">
        <v>229</v>
      </c>
      <c r="E830" s="52" t="s">
        <v>230</v>
      </c>
      <c r="F830" t="s">
        <v>551</v>
      </c>
      <c r="G830" s="21">
        <v>-1.47</v>
      </c>
      <c r="H830" s="21">
        <v>0</v>
      </c>
      <c r="I830" s="21">
        <v>0</v>
      </c>
      <c r="J830" s="21">
        <v>0</v>
      </c>
      <c r="K830" s="21">
        <v>0.03</v>
      </c>
      <c r="L830" s="21">
        <v>-1.44</v>
      </c>
    </row>
    <row r="831" spans="1:12" ht="30" x14ac:dyDescent="0.25">
      <c r="A831" s="10">
        <v>826</v>
      </c>
      <c r="B831" t="s">
        <v>550</v>
      </c>
      <c r="C831" t="s">
        <v>17</v>
      </c>
      <c r="D831" t="s">
        <v>229</v>
      </c>
      <c r="E831" s="52" t="s">
        <v>230</v>
      </c>
      <c r="F831" t="s">
        <v>551</v>
      </c>
      <c r="G831" s="21">
        <v>-4321.62</v>
      </c>
      <c r="H831" s="21">
        <v>0</v>
      </c>
      <c r="I831" s="21">
        <v>0</v>
      </c>
      <c r="J831" s="21">
        <v>0</v>
      </c>
      <c r="K831" s="21">
        <v>86.43</v>
      </c>
      <c r="L831" s="21">
        <v>-4235.1899999999996</v>
      </c>
    </row>
    <row r="832" spans="1:12" ht="30" x14ac:dyDescent="0.25">
      <c r="A832" s="10">
        <v>827</v>
      </c>
      <c r="B832" t="s">
        <v>550</v>
      </c>
      <c r="C832" t="s">
        <v>13</v>
      </c>
      <c r="D832" t="s">
        <v>229</v>
      </c>
      <c r="E832" s="52" t="s">
        <v>230</v>
      </c>
      <c r="F832" t="s">
        <v>551</v>
      </c>
      <c r="G832" s="21">
        <v>0</v>
      </c>
      <c r="H832" s="21">
        <v>0</v>
      </c>
      <c r="I832" s="21">
        <v>0</v>
      </c>
      <c r="J832" s="21">
        <v>-0.18</v>
      </c>
      <c r="K832" s="21">
        <v>0</v>
      </c>
      <c r="L832" s="21">
        <v>-0.18</v>
      </c>
    </row>
    <row r="833" spans="1:12" ht="30" x14ac:dyDescent="0.25">
      <c r="A833" s="10">
        <v>828</v>
      </c>
      <c r="B833" t="s">
        <v>550</v>
      </c>
      <c r="C833" t="s">
        <v>13</v>
      </c>
      <c r="D833" t="s">
        <v>229</v>
      </c>
      <c r="E833" s="52" t="s">
        <v>230</v>
      </c>
      <c r="F833" t="s">
        <v>551</v>
      </c>
      <c r="G833" s="21">
        <v>0</v>
      </c>
      <c r="H833" s="21">
        <v>0</v>
      </c>
      <c r="I833" s="21">
        <v>0</v>
      </c>
      <c r="J833" s="21">
        <v>-518.59</v>
      </c>
      <c r="K833" s="21">
        <v>0</v>
      </c>
      <c r="L833" s="21">
        <v>-518.59</v>
      </c>
    </row>
    <row r="834" spans="1:12" ht="30" x14ac:dyDescent="0.25">
      <c r="A834" s="10">
        <v>829</v>
      </c>
      <c r="B834" t="s">
        <v>550</v>
      </c>
      <c r="C834" t="s">
        <v>17</v>
      </c>
      <c r="D834" t="s">
        <v>229</v>
      </c>
      <c r="E834" s="52" t="s">
        <v>230</v>
      </c>
      <c r="F834" t="s">
        <v>552</v>
      </c>
      <c r="G834" s="21">
        <v>-0.31</v>
      </c>
      <c r="H834" s="21">
        <v>0</v>
      </c>
      <c r="I834" s="21">
        <v>0</v>
      </c>
      <c r="J834" s="21">
        <v>0</v>
      </c>
      <c r="K834" s="21">
        <v>0.01</v>
      </c>
      <c r="L834" s="21">
        <v>-0.3</v>
      </c>
    </row>
    <row r="835" spans="1:12" ht="30" x14ac:dyDescent="0.25">
      <c r="A835" s="10">
        <v>830</v>
      </c>
      <c r="B835" t="s">
        <v>550</v>
      </c>
      <c r="C835" t="s">
        <v>13</v>
      </c>
      <c r="D835" t="s">
        <v>229</v>
      </c>
      <c r="E835" s="52" t="s">
        <v>230</v>
      </c>
      <c r="F835" t="s">
        <v>552</v>
      </c>
      <c r="G835" s="21">
        <v>0</v>
      </c>
      <c r="H835" s="21">
        <v>0</v>
      </c>
      <c r="I835" s="21">
        <v>0</v>
      </c>
      <c r="J835" s="21">
        <v>-0.04</v>
      </c>
      <c r="K835" s="21">
        <v>0</v>
      </c>
      <c r="L835" s="21">
        <v>-0.04</v>
      </c>
    </row>
    <row r="836" spans="1:12" x14ac:dyDescent="0.25">
      <c r="A836" s="10">
        <v>831</v>
      </c>
      <c r="B836" t="s">
        <v>18</v>
      </c>
      <c r="C836" t="s">
        <v>17</v>
      </c>
      <c r="D836" t="s">
        <v>231</v>
      </c>
      <c r="E836" s="52" t="s">
        <v>232</v>
      </c>
      <c r="F836" t="s">
        <v>19</v>
      </c>
      <c r="G836" s="21">
        <v>0</v>
      </c>
      <c r="H836" s="21">
        <v>0</v>
      </c>
      <c r="I836" s="21">
        <v>0</v>
      </c>
      <c r="J836" s="21">
        <v>0</v>
      </c>
      <c r="K836" s="21">
        <v>0</v>
      </c>
      <c r="L836" s="21">
        <v>0</v>
      </c>
    </row>
    <row r="837" spans="1:12" x14ac:dyDescent="0.25">
      <c r="A837" s="10">
        <v>832</v>
      </c>
      <c r="B837" t="s">
        <v>550</v>
      </c>
      <c r="C837" t="s">
        <v>17</v>
      </c>
      <c r="D837" t="s">
        <v>609</v>
      </c>
      <c r="E837" s="52" t="s">
        <v>232</v>
      </c>
      <c r="F837" t="s">
        <v>551</v>
      </c>
      <c r="G837" s="21">
        <v>0</v>
      </c>
      <c r="H837" s="21">
        <v>0</v>
      </c>
      <c r="I837" s="21">
        <v>-8.75</v>
      </c>
      <c r="J837" s="21">
        <v>0</v>
      </c>
      <c r="K837" s="21">
        <v>0.18</v>
      </c>
      <c r="L837" s="21">
        <v>-8.57</v>
      </c>
    </row>
    <row r="838" spans="1:12" x14ac:dyDescent="0.25">
      <c r="A838" s="10">
        <v>833</v>
      </c>
      <c r="B838" t="s">
        <v>550</v>
      </c>
      <c r="C838" t="s">
        <v>17</v>
      </c>
      <c r="D838" t="s">
        <v>609</v>
      </c>
      <c r="E838" s="52" t="s">
        <v>232</v>
      </c>
      <c r="F838" t="s">
        <v>551</v>
      </c>
      <c r="G838" s="21">
        <v>0</v>
      </c>
      <c r="H838" s="21">
        <v>0</v>
      </c>
      <c r="I838" s="21">
        <v>-1.1299999999999999</v>
      </c>
      <c r="J838" s="21">
        <v>0</v>
      </c>
      <c r="K838" s="21">
        <v>0.02</v>
      </c>
      <c r="L838" s="21">
        <v>-1.1100000000000001</v>
      </c>
    </row>
    <row r="839" spans="1:12" ht="30" x14ac:dyDescent="0.25">
      <c r="A839" s="10">
        <v>834</v>
      </c>
      <c r="B839" t="s">
        <v>22</v>
      </c>
      <c r="C839" t="s">
        <v>17</v>
      </c>
      <c r="D839" t="s">
        <v>233</v>
      </c>
      <c r="E839" s="52" t="s">
        <v>234</v>
      </c>
      <c r="F839" t="s">
        <v>23</v>
      </c>
      <c r="G839" s="21">
        <v>-1.94</v>
      </c>
      <c r="H839" s="21">
        <v>0</v>
      </c>
      <c r="I839" s="21">
        <v>0</v>
      </c>
      <c r="J839" s="21">
        <v>0</v>
      </c>
      <c r="K839" s="21">
        <v>0.04</v>
      </c>
      <c r="L839" s="21">
        <v>-1.9</v>
      </c>
    </row>
    <row r="840" spans="1:12" ht="30" x14ac:dyDescent="0.25">
      <c r="A840" s="10">
        <v>835</v>
      </c>
      <c r="B840" t="s">
        <v>22</v>
      </c>
      <c r="C840" t="s">
        <v>13</v>
      </c>
      <c r="D840" t="s">
        <v>233</v>
      </c>
      <c r="E840" s="52" t="s">
        <v>234</v>
      </c>
      <c r="F840" t="s">
        <v>23</v>
      </c>
      <c r="G840" s="21">
        <v>0</v>
      </c>
      <c r="H840" s="21">
        <v>0</v>
      </c>
      <c r="I840" s="21">
        <v>0</v>
      </c>
      <c r="J840" s="21">
        <v>-0.23</v>
      </c>
      <c r="K840" s="21">
        <v>0</v>
      </c>
      <c r="L840" s="21">
        <v>-0.23</v>
      </c>
    </row>
    <row r="841" spans="1:12" ht="30" x14ac:dyDescent="0.25">
      <c r="A841" s="10">
        <v>836</v>
      </c>
      <c r="B841" t="s">
        <v>550</v>
      </c>
      <c r="C841" t="s">
        <v>13</v>
      </c>
      <c r="D841" t="s">
        <v>233</v>
      </c>
      <c r="E841" s="52" t="s">
        <v>234</v>
      </c>
      <c r="F841" t="s">
        <v>551</v>
      </c>
      <c r="G841" s="21">
        <v>0</v>
      </c>
      <c r="H841" s="21">
        <v>0</v>
      </c>
      <c r="I841" s="21">
        <v>0</v>
      </c>
      <c r="J841" s="21">
        <v>-0.04</v>
      </c>
      <c r="K841" s="21">
        <v>0</v>
      </c>
      <c r="L841" s="21">
        <v>-0.04</v>
      </c>
    </row>
    <row r="842" spans="1:12" ht="30" x14ac:dyDescent="0.25">
      <c r="A842" s="10">
        <v>837</v>
      </c>
      <c r="B842" t="s">
        <v>550</v>
      </c>
      <c r="C842" t="s">
        <v>17</v>
      </c>
      <c r="D842" t="s">
        <v>233</v>
      </c>
      <c r="E842" s="52" t="s">
        <v>234</v>
      </c>
      <c r="F842" t="s">
        <v>551</v>
      </c>
      <c r="G842" s="21">
        <v>-962.94</v>
      </c>
      <c r="H842" s="21">
        <v>0</v>
      </c>
      <c r="I842" s="21">
        <v>0</v>
      </c>
      <c r="J842" s="21">
        <v>0</v>
      </c>
      <c r="K842" s="21">
        <v>19.260000000000002</v>
      </c>
      <c r="L842" s="21">
        <v>-943.68</v>
      </c>
    </row>
    <row r="843" spans="1:12" ht="30" x14ac:dyDescent="0.25">
      <c r="A843" s="10">
        <v>838</v>
      </c>
      <c r="B843" t="s">
        <v>550</v>
      </c>
      <c r="C843" t="s">
        <v>49</v>
      </c>
      <c r="D843" t="s">
        <v>233</v>
      </c>
      <c r="E843" s="52" t="s">
        <v>234</v>
      </c>
      <c r="F843" t="s">
        <v>551</v>
      </c>
      <c r="G843" s="21">
        <v>-0.9</v>
      </c>
      <c r="H843" s="21">
        <v>0</v>
      </c>
      <c r="I843" s="21">
        <v>0</v>
      </c>
      <c r="J843" s="21">
        <v>0</v>
      </c>
      <c r="K843" s="21">
        <v>0</v>
      </c>
      <c r="L843" s="21">
        <v>-0.9</v>
      </c>
    </row>
    <row r="844" spans="1:12" ht="30" x14ac:dyDescent="0.25">
      <c r="A844" s="10">
        <v>839</v>
      </c>
      <c r="B844" t="s">
        <v>550</v>
      </c>
      <c r="C844" t="s">
        <v>13</v>
      </c>
      <c r="D844" t="s">
        <v>233</v>
      </c>
      <c r="E844" s="52" t="s">
        <v>234</v>
      </c>
      <c r="F844" t="s">
        <v>551</v>
      </c>
      <c r="G844" s="21">
        <v>0</v>
      </c>
      <c r="H844" s="21">
        <v>0</v>
      </c>
      <c r="I844" s="21">
        <v>0</v>
      </c>
      <c r="J844" s="21">
        <v>-115.06</v>
      </c>
      <c r="K844" s="21">
        <v>0</v>
      </c>
      <c r="L844" s="21">
        <v>-115.06</v>
      </c>
    </row>
    <row r="845" spans="1:12" ht="30" x14ac:dyDescent="0.25">
      <c r="A845" s="10">
        <v>840</v>
      </c>
      <c r="B845" t="s">
        <v>550</v>
      </c>
      <c r="C845" t="s">
        <v>13</v>
      </c>
      <c r="D845" t="s">
        <v>233</v>
      </c>
      <c r="E845" s="52" t="s">
        <v>234</v>
      </c>
      <c r="F845" t="s">
        <v>552</v>
      </c>
      <c r="G845" s="21">
        <v>0</v>
      </c>
      <c r="H845" s="21">
        <v>0</v>
      </c>
      <c r="I845" s="21">
        <v>0</v>
      </c>
      <c r="J845" s="21">
        <v>0</v>
      </c>
      <c r="K845" s="21">
        <v>0</v>
      </c>
      <c r="L845" s="21">
        <v>0</v>
      </c>
    </row>
    <row r="846" spans="1:12" ht="30" x14ac:dyDescent="0.25">
      <c r="A846" s="10">
        <v>841</v>
      </c>
      <c r="B846" t="s">
        <v>550</v>
      </c>
      <c r="C846" t="s">
        <v>17</v>
      </c>
      <c r="D846" t="s">
        <v>233</v>
      </c>
      <c r="E846" s="52" t="s">
        <v>234</v>
      </c>
      <c r="F846" t="s">
        <v>552</v>
      </c>
      <c r="G846" s="21">
        <v>-7.0000000000000007E-2</v>
      </c>
      <c r="H846" s="21">
        <v>0</v>
      </c>
      <c r="I846" s="21">
        <v>0</v>
      </c>
      <c r="J846" s="21">
        <v>0</v>
      </c>
      <c r="K846" s="21">
        <v>0</v>
      </c>
      <c r="L846" s="21">
        <v>-7.0000000000000007E-2</v>
      </c>
    </row>
    <row r="847" spans="1:12" ht="30" x14ac:dyDescent="0.25">
      <c r="A847" s="10">
        <v>842</v>
      </c>
      <c r="B847" t="s">
        <v>550</v>
      </c>
      <c r="C847" t="s">
        <v>13</v>
      </c>
      <c r="D847" t="s">
        <v>233</v>
      </c>
      <c r="E847" s="52" t="s">
        <v>234</v>
      </c>
      <c r="F847" t="s">
        <v>552</v>
      </c>
      <c r="G847" s="21">
        <v>0</v>
      </c>
      <c r="H847" s="21">
        <v>0</v>
      </c>
      <c r="I847" s="21">
        <v>0</v>
      </c>
      <c r="J847" s="21">
        <v>-0.01</v>
      </c>
      <c r="K847" s="21">
        <v>0</v>
      </c>
      <c r="L847" s="21">
        <v>-0.01</v>
      </c>
    </row>
    <row r="848" spans="1:12" ht="30" x14ac:dyDescent="0.25">
      <c r="A848" s="10">
        <v>843</v>
      </c>
      <c r="B848" t="s">
        <v>18</v>
      </c>
      <c r="C848" t="s">
        <v>17</v>
      </c>
      <c r="D848" t="s">
        <v>235</v>
      </c>
      <c r="E848" s="52" t="s">
        <v>236</v>
      </c>
      <c r="F848" t="s">
        <v>19</v>
      </c>
      <c r="G848" s="21">
        <v>0</v>
      </c>
      <c r="H848" s="21">
        <v>0</v>
      </c>
      <c r="I848" s="21">
        <v>-0.09</v>
      </c>
      <c r="J848" s="21">
        <v>0</v>
      </c>
      <c r="K848" s="21">
        <v>0.01</v>
      </c>
      <c r="L848" s="21">
        <v>-0.08</v>
      </c>
    </row>
    <row r="849" spans="1:12" ht="30" x14ac:dyDescent="0.25">
      <c r="A849" s="10">
        <v>844</v>
      </c>
      <c r="B849" t="s">
        <v>550</v>
      </c>
      <c r="C849" t="s">
        <v>17</v>
      </c>
      <c r="D849" t="s">
        <v>610</v>
      </c>
      <c r="E849" s="52" t="s">
        <v>236</v>
      </c>
      <c r="F849" t="s">
        <v>551</v>
      </c>
      <c r="G849" s="21">
        <v>0</v>
      </c>
      <c r="H849" s="21">
        <v>0</v>
      </c>
      <c r="I849" s="21">
        <v>-62.1</v>
      </c>
      <c r="J849" s="21">
        <v>0</v>
      </c>
      <c r="K849" s="21">
        <v>1.24</v>
      </c>
      <c r="L849" s="21">
        <v>-60.86</v>
      </c>
    </row>
    <row r="850" spans="1:12" ht="30" x14ac:dyDescent="0.25">
      <c r="A850" s="10">
        <v>845</v>
      </c>
      <c r="B850" t="s">
        <v>550</v>
      </c>
      <c r="C850" t="s">
        <v>17</v>
      </c>
      <c r="D850" t="s">
        <v>610</v>
      </c>
      <c r="E850" s="52" t="s">
        <v>236</v>
      </c>
      <c r="F850" t="s">
        <v>551</v>
      </c>
      <c r="G850" s="21">
        <v>0</v>
      </c>
      <c r="H850" s="21">
        <v>0</v>
      </c>
      <c r="I850" s="21">
        <v>-670.44</v>
      </c>
      <c r="J850" s="21">
        <v>0</v>
      </c>
      <c r="K850" s="21">
        <v>13.41</v>
      </c>
      <c r="L850" s="21">
        <v>-657.03</v>
      </c>
    </row>
    <row r="851" spans="1:12" ht="30" x14ac:dyDescent="0.25">
      <c r="A851" s="10">
        <v>846</v>
      </c>
      <c r="B851" t="s">
        <v>550</v>
      </c>
      <c r="C851" t="s">
        <v>17</v>
      </c>
      <c r="D851" t="s">
        <v>610</v>
      </c>
      <c r="E851" s="52" t="s">
        <v>236</v>
      </c>
      <c r="F851" t="s">
        <v>552</v>
      </c>
      <c r="G851" s="21">
        <v>0</v>
      </c>
      <c r="H851" s="21">
        <v>0</v>
      </c>
      <c r="I851" s="21">
        <v>-0.05</v>
      </c>
      <c r="J851" s="21">
        <v>0</v>
      </c>
      <c r="K851" s="21">
        <v>0</v>
      </c>
      <c r="L851" s="21">
        <v>-0.05</v>
      </c>
    </row>
    <row r="852" spans="1:12" ht="45" x14ac:dyDescent="0.25">
      <c r="A852" s="10">
        <v>847</v>
      </c>
      <c r="B852" t="s">
        <v>237</v>
      </c>
      <c r="C852" t="s">
        <v>13</v>
      </c>
      <c r="D852" t="s">
        <v>238</v>
      </c>
      <c r="E852" s="52" t="s">
        <v>239</v>
      </c>
      <c r="F852" t="s">
        <v>240</v>
      </c>
      <c r="G852" s="21">
        <v>0</v>
      </c>
      <c r="H852" s="21">
        <v>0</v>
      </c>
      <c r="I852" s="21">
        <v>0</v>
      </c>
      <c r="J852" s="21">
        <v>0</v>
      </c>
      <c r="K852" s="21">
        <v>0</v>
      </c>
      <c r="L852" s="21">
        <v>0</v>
      </c>
    </row>
    <row r="853" spans="1:12" ht="45" x14ac:dyDescent="0.25">
      <c r="A853" s="10">
        <v>848</v>
      </c>
      <c r="B853" t="s">
        <v>611</v>
      </c>
      <c r="C853" t="s">
        <v>13</v>
      </c>
      <c r="D853" t="s">
        <v>238</v>
      </c>
      <c r="E853" s="52" t="s">
        <v>239</v>
      </c>
      <c r="F853" t="s">
        <v>612</v>
      </c>
      <c r="G853" s="21">
        <v>0</v>
      </c>
      <c r="H853" s="21">
        <v>0</v>
      </c>
      <c r="I853" s="21">
        <v>0</v>
      </c>
      <c r="J853" s="21">
        <v>0</v>
      </c>
      <c r="K853" s="21">
        <v>0</v>
      </c>
      <c r="L853" s="21">
        <v>0</v>
      </c>
    </row>
    <row r="854" spans="1:12" ht="45" x14ac:dyDescent="0.25">
      <c r="A854" s="10">
        <v>849</v>
      </c>
      <c r="B854" t="s">
        <v>241</v>
      </c>
      <c r="C854" t="s">
        <v>17</v>
      </c>
      <c r="D854" t="s">
        <v>238</v>
      </c>
      <c r="E854" s="52" t="s">
        <v>239</v>
      </c>
      <c r="F854" t="s">
        <v>242</v>
      </c>
      <c r="G854" s="21">
        <v>-0.1</v>
      </c>
      <c r="H854" s="21">
        <v>0</v>
      </c>
      <c r="I854" s="21">
        <v>0</v>
      </c>
      <c r="J854" s="21">
        <v>0</v>
      </c>
      <c r="K854" s="21">
        <v>0</v>
      </c>
      <c r="L854" s="21">
        <v>-0.1</v>
      </c>
    </row>
    <row r="855" spans="1:12" ht="45" x14ac:dyDescent="0.25">
      <c r="A855" s="10">
        <v>850</v>
      </c>
      <c r="B855" t="s">
        <v>241</v>
      </c>
      <c r="C855" t="s">
        <v>13</v>
      </c>
      <c r="D855" t="s">
        <v>238</v>
      </c>
      <c r="E855" s="52" t="s">
        <v>239</v>
      </c>
      <c r="F855" t="s">
        <v>242</v>
      </c>
      <c r="G855" s="21">
        <v>0</v>
      </c>
      <c r="H855" s="21">
        <v>0</v>
      </c>
      <c r="I855" s="21">
        <v>0</v>
      </c>
      <c r="J855" s="21">
        <v>-7.0000000000000007E-2</v>
      </c>
      <c r="K855" s="21">
        <v>0</v>
      </c>
      <c r="L855" s="21">
        <v>-7.0000000000000007E-2</v>
      </c>
    </row>
    <row r="856" spans="1:12" ht="45" x14ac:dyDescent="0.25">
      <c r="A856" s="10">
        <v>851</v>
      </c>
      <c r="B856" t="s">
        <v>241</v>
      </c>
      <c r="C856" t="s">
        <v>17</v>
      </c>
      <c r="D856" t="s">
        <v>238</v>
      </c>
      <c r="E856" s="52" t="s">
        <v>239</v>
      </c>
      <c r="F856" t="s">
        <v>242</v>
      </c>
      <c r="G856" s="21">
        <v>-2.35</v>
      </c>
      <c r="H856" s="21">
        <v>0</v>
      </c>
      <c r="I856" s="21">
        <v>0</v>
      </c>
      <c r="J856" s="21">
        <v>0</v>
      </c>
      <c r="K856" s="21">
        <v>0</v>
      </c>
      <c r="L856" s="21">
        <v>-2.35</v>
      </c>
    </row>
    <row r="857" spans="1:12" ht="30" x14ac:dyDescent="0.25">
      <c r="A857" s="10">
        <v>852</v>
      </c>
      <c r="B857" t="s">
        <v>555</v>
      </c>
      <c r="C857" t="s">
        <v>17</v>
      </c>
      <c r="D857" t="s">
        <v>243</v>
      </c>
      <c r="E857" s="52" t="s">
        <v>244</v>
      </c>
      <c r="F857" t="s">
        <v>556</v>
      </c>
      <c r="G857" s="21">
        <v>-1880.33</v>
      </c>
      <c r="H857" s="21">
        <v>0</v>
      </c>
      <c r="I857" s="21">
        <v>0</v>
      </c>
      <c r="J857" s="21">
        <v>0</v>
      </c>
      <c r="K857" s="21">
        <v>37.61</v>
      </c>
      <c r="L857" s="21">
        <v>-1842.72</v>
      </c>
    </row>
    <row r="858" spans="1:12" ht="30" x14ac:dyDescent="0.25">
      <c r="A858" s="10">
        <v>853</v>
      </c>
      <c r="B858" t="s">
        <v>555</v>
      </c>
      <c r="C858" t="s">
        <v>13</v>
      </c>
      <c r="D858" t="s">
        <v>243</v>
      </c>
      <c r="E858" s="52" t="s">
        <v>244</v>
      </c>
      <c r="F858" t="s">
        <v>556</v>
      </c>
      <c r="G858" s="21">
        <v>0</v>
      </c>
      <c r="H858" s="21">
        <v>0</v>
      </c>
      <c r="I858" s="21">
        <v>0</v>
      </c>
      <c r="J858" s="21">
        <v>-225.64</v>
      </c>
      <c r="K858" s="21">
        <v>0</v>
      </c>
      <c r="L858" s="21">
        <v>-225.64</v>
      </c>
    </row>
    <row r="859" spans="1:12" ht="30" x14ac:dyDescent="0.25">
      <c r="A859" s="10">
        <v>854</v>
      </c>
      <c r="B859" t="s">
        <v>557</v>
      </c>
      <c r="C859" t="s">
        <v>17</v>
      </c>
      <c r="D859" t="s">
        <v>243</v>
      </c>
      <c r="E859" s="52" t="s">
        <v>244</v>
      </c>
      <c r="F859" t="s">
        <v>558</v>
      </c>
      <c r="G859" s="21">
        <v>-1351.95</v>
      </c>
      <c r="H859" s="21">
        <v>0</v>
      </c>
      <c r="I859" s="21">
        <v>0</v>
      </c>
      <c r="J859" s="21">
        <v>0</v>
      </c>
      <c r="K859" s="21">
        <v>27.04</v>
      </c>
      <c r="L859" s="21">
        <v>-1324.91</v>
      </c>
    </row>
    <row r="860" spans="1:12" ht="30" x14ac:dyDescent="0.25">
      <c r="A860" s="10">
        <v>855</v>
      </c>
      <c r="B860" t="s">
        <v>557</v>
      </c>
      <c r="C860" t="s">
        <v>13</v>
      </c>
      <c r="D860" t="s">
        <v>243</v>
      </c>
      <c r="E860" s="52" t="s">
        <v>244</v>
      </c>
      <c r="F860" t="s">
        <v>558</v>
      </c>
      <c r="G860" s="21">
        <v>0</v>
      </c>
      <c r="H860" s="21">
        <v>0</v>
      </c>
      <c r="I860" s="21">
        <v>0</v>
      </c>
      <c r="J860" s="21">
        <v>-162.22999999999999</v>
      </c>
      <c r="K860" s="21">
        <v>0</v>
      </c>
      <c r="L860" s="21">
        <v>-162.22999999999999</v>
      </c>
    </row>
    <row r="861" spans="1:12" ht="30" x14ac:dyDescent="0.25">
      <c r="A861" s="10">
        <v>856</v>
      </c>
      <c r="B861" t="s">
        <v>18</v>
      </c>
      <c r="C861" t="s">
        <v>17</v>
      </c>
      <c r="D861" t="s">
        <v>243</v>
      </c>
      <c r="E861" s="52" t="s">
        <v>244</v>
      </c>
      <c r="F861" t="s">
        <v>19</v>
      </c>
      <c r="G861" s="21">
        <v>-4.21</v>
      </c>
      <c r="H861" s="21">
        <v>0</v>
      </c>
      <c r="I861" s="21">
        <v>0</v>
      </c>
      <c r="J861" s="21">
        <v>0</v>
      </c>
      <c r="K861" s="21">
        <v>3.74</v>
      </c>
      <c r="L861" s="21">
        <v>-0.47</v>
      </c>
    </row>
    <row r="862" spans="1:12" ht="30" x14ac:dyDescent="0.25">
      <c r="A862" s="10">
        <v>857</v>
      </c>
      <c r="B862" t="s">
        <v>550</v>
      </c>
      <c r="C862" t="s">
        <v>17</v>
      </c>
      <c r="D862" t="s">
        <v>243</v>
      </c>
      <c r="E862" s="52" t="s">
        <v>244</v>
      </c>
      <c r="F862" t="s">
        <v>551</v>
      </c>
      <c r="G862" s="21">
        <v>-135163.49</v>
      </c>
      <c r="H862" s="21">
        <v>0</v>
      </c>
      <c r="I862" s="21">
        <v>0</v>
      </c>
      <c r="J862" s="21">
        <v>0</v>
      </c>
      <c r="K862" s="21">
        <v>2703.27</v>
      </c>
      <c r="L862" s="21">
        <v>-132460.22</v>
      </c>
    </row>
    <row r="863" spans="1:12" ht="30" x14ac:dyDescent="0.25">
      <c r="A863" s="10">
        <v>858</v>
      </c>
      <c r="B863" t="s">
        <v>550</v>
      </c>
      <c r="C863" t="s">
        <v>13</v>
      </c>
      <c r="D863" t="s">
        <v>243</v>
      </c>
      <c r="E863" s="52" t="s">
        <v>244</v>
      </c>
      <c r="F863" t="s">
        <v>551</v>
      </c>
      <c r="G863" s="21">
        <v>0</v>
      </c>
      <c r="H863" s="21">
        <v>0</v>
      </c>
      <c r="I863" s="21">
        <v>0</v>
      </c>
      <c r="J863" s="21">
        <v>-16219.62</v>
      </c>
      <c r="K863" s="21">
        <v>0</v>
      </c>
      <c r="L863" s="21">
        <v>-16219.62</v>
      </c>
    </row>
    <row r="864" spans="1:12" ht="30" x14ac:dyDescent="0.25">
      <c r="A864" s="10">
        <v>859</v>
      </c>
      <c r="B864" t="s">
        <v>550</v>
      </c>
      <c r="C864" t="s">
        <v>17</v>
      </c>
      <c r="D864" t="s">
        <v>243</v>
      </c>
      <c r="E864" s="52" t="s">
        <v>244</v>
      </c>
      <c r="F864" t="s">
        <v>552</v>
      </c>
      <c r="G864" s="21">
        <v>-9.7200000000000006</v>
      </c>
      <c r="H864" s="21">
        <v>0</v>
      </c>
      <c r="I864" s="21">
        <v>0</v>
      </c>
      <c r="J864" s="21">
        <v>0</v>
      </c>
      <c r="K864" s="21">
        <v>0.19</v>
      </c>
      <c r="L864" s="21">
        <v>-9.5299999999999994</v>
      </c>
    </row>
    <row r="865" spans="1:12" ht="30" x14ac:dyDescent="0.25">
      <c r="A865" s="10">
        <v>860</v>
      </c>
      <c r="B865" t="s">
        <v>550</v>
      </c>
      <c r="C865" t="s">
        <v>13</v>
      </c>
      <c r="D865" t="s">
        <v>243</v>
      </c>
      <c r="E865" s="52" t="s">
        <v>244</v>
      </c>
      <c r="F865" t="s">
        <v>552</v>
      </c>
      <c r="G865" s="21">
        <v>0</v>
      </c>
      <c r="H865" s="21">
        <v>0</v>
      </c>
      <c r="I865" s="21">
        <v>0</v>
      </c>
      <c r="J865" s="21">
        <v>-1.17</v>
      </c>
      <c r="K865" s="21">
        <v>0</v>
      </c>
      <c r="L865" s="21">
        <v>-1.17</v>
      </c>
    </row>
    <row r="866" spans="1:12" ht="30" x14ac:dyDescent="0.25">
      <c r="A866" s="10">
        <v>861</v>
      </c>
      <c r="B866" t="s">
        <v>555</v>
      </c>
      <c r="C866" t="s">
        <v>17</v>
      </c>
      <c r="D866" t="s">
        <v>245</v>
      </c>
      <c r="E866" s="52" t="s">
        <v>246</v>
      </c>
      <c r="F866" t="s">
        <v>556</v>
      </c>
      <c r="G866" s="21">
        <v>-1214.8499999999999</v>
      </c>
      <c r="H866" s="21">
        <v>0</v>
      </c>
      <c r="I866" s="21">
        <v>0</v>
      </c>
      <c r="J866" s="21">
        <v>0</v>
      </c>
      <c r="K866" s="21">
        <v>24.3</v>
      </c>
      <c r="L866" s="21">
        <v>-1190.55</v>
      </c>
    </row>
    <row r="867" spans="1:12" ht="30" x14ac:dyDescent="0.25">
      <c r="A867" s="10">
        <v>862</v>
      </c>
      <c r="B867" t="s">
        <v>555</v>
      </c>
      <c r="C867" t="s">
        <v>13</v>
      </c>
      <c r="D867" t="s">
        <v>245</v>
      </c>
      <c r="E867" s="52" t="s">
        <v>246</v>
      </c>
      <c r="F867" t="s">
        <v>556</v>
      </c>
      <c r="G867" s="21">
        <v>0</v>
      </c>
      <c r="H867" s="21">
        <v>0</v>
      </c>
      <c r="I867" s="21">
        <v>0</v>
      </c>
      <c r="J867" s="21">
        <v>-145.78</v>
      </c>
      <c r="K867" s="21">
        <v>0</v>
      </c>
      <c r="L867" s="21">
        <v>-145.78</v>
      </c>
    </row>
    <row r="868" spans="1:12" ht="30" x14ac:dyDescent="0.25">
      <c r="A868" s="10">
        <v>863</v>
      </c>
      <c r="B868" t="s">
        <v>557</v>
      </c>
      <c r="C868" t="s">
        <v>17</v>
      </c>
      <c r="D868" t="s">
        <v>245</v>
      </c>
      <c r="E868" s="52" t="s">
        <v>246</v>
      </c>
      <c r="F868" t="s">
        <v>558</v>
      </c>
      <c r="G868" s="21">
        <v>-943.01</v>
      </c>
      <c r="H868" s="21">
        <v>0</v>
      </c>
      <c r="I868" s="21">
        <v>0</v>
      </c>
      <c r="J868" s="21">
        <v>0</v>
      </c>
      <c r="K868" s="21">
        <v>18.86</v>
      </c>
      <c r="L868" s="21">
        <v>-924.15</v>
      </c>
    </row>
    <row r="869" spans="1:12" ht="30" x14ac:dyDescent="0.25">
      <c r="A869" s="10">
        <v>864</v>
      </c>
      <c r="B869" t="s">
        <v>557</v>
      </c>
      <c r="C869" t="s">
        <v>13</v>
      </c>
      <c r="D869" t="s">
        <v>245</v>
      </c>
      <c r="E869" s="52" t="s">
        <v>246</v>
      </c>
      <c r="F869" t="s">
        <v>558</v>
      </c>
      <c r="G869" s="21">
        <v>0</v>
      </c>
      <c r="H869" s="21">
        <v>0</v>
      </c>
      <c r="I869" s="21">
        <v>0</v>
      </c>
      <c r="J869" s="21">
        <v>-113.16</v>
      </c>
      <c r="K869" s="21">
        <v>0</v>
      </c>
      <c r="L869" s="21">
        <v>-113.16</v>
      </c>
    </row>
    <row r="870" spans="1:12" ht="30" x14ac:dyDescent="0.25">
      <c r="A870" s="10">
        <v>865</v>
      </c>
      <c r="B870" t="s">
        <v>18</v>
      </c>
      <c r="C870" t="s">
        <v>17</v>
      </c>
      <c r="D870" t="s">
        <v>245</v>
      </c>
      <c r="E870" s="52" t="s">
        <v>246</v>
      </c>
      <c r="F870" t="s">
        <v>19</v>
      </c>
      <c r="G870" s="21">
        <v>-1.34</v>
      </c>
      <c r="H870" s="21">
        <v>0</v>
      </c>
      <c r="I870" s="21">
        <v>0</v>
      </c>
      <c r="J870" s="21">
        <v>0</v>
      </c>
      <c r="K870" s="21">
        <v>1.19</v>
      </c>
      <c r="L870" s="21">
        <v>-0.15</v>
      </c>
    </row>
    <row r="871" spans="1:12" ht="30" x14ac:dyDescent="0.25">
      <c r="A871" s="10">
        <v>866</v>
      </c>
      <c r="B871" t="s">
        <v>550</v>
      </c>
      <c r="C871" t="s">
        <v>17</v>
      </c>
      <c r="D871" t="s">
        <v>245</v>
      </c>
      <c r="E871" s="52" t="s">
        <v>246</v>
      </c>
      <c r="F871" t="s">
        <v>551</v>
      </c>
      <c r="G871" s="21">
        <v>-29648.23</v>
      </c>
      <c r="H871" s="21">
        <v>0</v>
      </c>
      <c r="I871" s="21">
        <v>0</v>
      </c>
      <c r="J871" s="21">
        <v>0</v>
      </c>
      <c r="K871" s="21">
        <v>592.96</v>
      </c>
      <c r="L871" s="21">
        <v>-29055.27</v>
      </c>
    </row>
    <row r="872" spans="1:12" ht="30" x14ac:dyDescent="0.25">
      <c r="A872" s="10">
        <v>867</v>
      </c>
      <c r="B872" t="s">
        <v>550</v>
      </c>
      <c r="C872" t="s">
        <v>13</v>
      </c>
      <c r="D872" t="s">
        <v>245</v>
      </c>
      <c r="E872" s="52" t="s">
        <v>246</v>
      </c>
      <c r="F872" t="s">
        <v>551</v>
      </c>
      <c r="G872" s="21">
        <v>0</v>
      </c>
      <c r="H872" s="21">
        <v>0</v>
      </c>
      <c r="I872" s="21">
        <v>0</v>
      </c>
      <c r="J872" s="21">
        <v>-3557.79</v>
      </c>
      <c r="K872" s="21">
        <v>0</v>
      </c>
      <c r="L872" s="21">
        <v>-3557.79</v>
      </c>
    </row>
    <row r="873" spans="1:12" ht="30" x14ac:dyDescent="0.25">
      <c r="A873" s="10">
        <v>868</v>
      </c>
      <c r="B873" t="s">
        <v>550</v>
      </c>
      <c r="C873" t="s">
        <v>17</v>
      </c>
      <c r="D873" t="s">
        <v>245</v>
      </c>
      <c r="E873" s="52" t="s">
        <v>246</v>
      </c>
      <c r="F873" t="s">
        <v>552</v>
      </c>
      <c r="G873" s="21">
        <v>-2.13</v>
      </c>
      <c r="H873" s="21">
        <v>0</v>
      </c>
      <c r="I873" s="21">
        <v>0</v>
      </c>
      <c r="J873" s="21">
        <v>0</v>
      </c>
      <c r="K873" s="21">
        <v>0.04</v>
      </c>
      <c r="L873" s="21">
        <v>-2.09</v>
      </c>
    </row>
    <row r="874" spans="1:12" ht="30" x14ac:dyDescent="0.25">
      <c r="A874" s="10">
        <v>869</v>
      </c>
      <c r="B874" t="s">
        <v>550</v>
      </c>
      <c r="C874" t="s">
        <v>13</v>
      </c>
      <c r="D874" t="s">
        <v>245</v>
      </c>
      <c r="E874" s="52" t="s">
        <v>246</v>
      </c>
      <c r="F874" t="s">
        <v>552</v>
      </c>
      <c r="G874" s="21">
        <v>0</v>
      </c>
      <c r="H874" s="21">
        <v>0</v>
      </c>
      <c r="I874" s="21">
        <v>0</v>
      </c>
      <c r="J874" s="21">
        <v>-0.26</v>
      </c>
      <c r="K874" s="21">
        <v>0</v>
      </c>
      <c r="L874" s="21">
        <v>-0.26</v>
      </c>
    </row>
    <row r="875" spans="1:12" ht="30" x14ac:dyDescent="0.25">
      <c r="A875" s="10">
        <v>870</v>
      </c>
      <c r="B875" t="s">
        <v>555</v>
      </c>
      <c r="C875" t="s">
        <v>17</v>
      </c>
      <c r="D875" t="s">
        <v>247</v>
      </c>
      <c r="E875" s="52" t="s">
        <v>248</v>
      </c>
      <c r="F875" t="s">
        <v>556</v>
      </c>
      <c r="G875" s="21">
        <v>-741.66</v>
      </c>
      <c r="H875" s="21">
        <v>0</v>
      </c>
      <c r="I875" s="21">
        <v>0</v>
      </c>
      <c r="J875" s="21">
        <v>0</v>
      </c>
      <c r="K875" s="21">
        <v>14.83</v>
      </c>
      <c r="L875" s="21">
        <v>-726.83</v>
      </c>
    </row>
    <row r="876" spans="1:12" ht="30" x14ac:dyDescent="0.25">
      <c r="A876" s="10">
        <v>871</v>
      </c>
      <c r="B876" t="s">
        <v>555</v>
      </c>
      <c r="C876" t="s">
        <v>13</v>
      </c>
      <c r="D876" t="s">
        <v>247</v>
      </c>
      <c r="E876" s="52" t="s">
        <v>248</v>
      </c>
      <c r="F876" t="s">
        <v>556</v>
      </c>
      <c r="G876" s="21">
        <v>0</v>
      </c>
      <c r="H876" s="21">
        <v>0</v>
      </c>
      <c r="I876" s="21">
        <v>0</v>
      </c>
      <c r="J876" s="21">
        <v>-89</v>
      </c>
      <c r="K876" s="21">
        <v>0</v>
      </c>
      <c r="L876" s="21">
        <v>-89</v>
      </c>
    </row>
    <row r="877" spans="1:12" ht="30" x14ac:dyDescent="0.25">
      <c r="A877" s="10">
        <v>872</v>
      </c>
      <c r="B877" t="s">
        <v>557</v>
      </c>
      <c r="C877" t="s">
        <v>17</v>
      </c>
      <c r="D877" t="s">
        <v>247</v>
      </c>
      <c r="E877" s="52" t="s">
        <v>248</v>
      </c>
      <c r="F877" t="s">
        <v>558</v>
      </c>
      <c r="G877" s="21">
        <v>-544.87</v>
      </c>
      <c r="H877" s="21">
        <v>0</v>
      </c>
      <c r="I877" s="21">
        <v>0</v>
      </c>
      <c r="J877" s="21">
        <v>0</v>
      </c>
      <c r="K877" s="21">
        <v>10.9</v>
      </c>
      <c r="L877" s="21">
        <v>-533.97</v>
      </c>
    </row>
    <row r="878" spans="1:12" ht="30" x14ac:dyDescent="0.25">
      <c r="A878" s="10">
        <v>873</v>
      </c>
      <c r="B878" t="s">
        <v>557</v>
      </c>
      <c r="C878" t="s">
        <v>13</v>
      </c>
      <c r="D878" t="s">
        <v>247</v>
      </c>
      <c r="E878" s="52" t="s">
        <v>248</v>
      </c>
      <c r="F878" t="s">
        <v>558</v>
      </c>
      <c r="G878" s="21">
        <v>0</v>
      </c>
      <c r="H878" s="21">
        <v>0</v>
      </c>
      <c r="I878" s="21">
        <v>0</v>
      </c>
      <c r="J878" s="21">
        <v>-65.38</v>
      </c>
      <c r="K878" s="21">
        <v>0</v>
      </c>
      <c r="L878" s="21">
        <v>-65.38</v>
      </c>
    </row>
    <row r="879" spans="1:12" ht="30" x14ac:dyDescent="0.25">
      <c r="A879" s="10">
        <v>874</v>
      </c>
      <c r="B879" t="s">
        <v>559</v>
      </c>
      <c r="C879" t="s">
        <v>17</v>
      </c>
      <c r="D879" t="s">
        <v>247</v>
      </c>
      <c r="E879" s="52" t="s">
        <v>248</v>
      </c>
      <c r="F879" t="s">
        <v>560</v>
      </c>
      <c r="G879" s="21">
        <v>-7.5</v>
      </c>
      <c r="H879" s="21">
        <v>0</v>
      </c>
      <c r="I879" s="21">
        <v>0</v>
      </c>
      <c r="J879" s="21">
        <v>0</v>
      </c>
      <c r="K879" s="21">
        <v>0.15</v>
      </c>
      <c r="L879" s="21">
        <v>-7.35</v>
      </c>
    </row>
    <row r="880" spans="1:12" ht="30" x14ac:dyDescent="0.25">
      <c r="A880" s="10">
        <v>875</v>
      </c>
      <c r="B880" t="s">
        <v>559</v>
      </c>
      <c r="C880" t="s">
        <v>13</v>
      </c>
      <c r="D880" t="s">
        <v>247</v>
      </c>
      <c r="E880" s="52" t="s">
        <v>248</v>
      </c>
      <c r="F880" t="s">
        <v>560</v>
      </c>
      <c r="G880" s="21">
        <v>0</v>
      </c>
      <c r="H880" s="21">
        <v>0</v>
      </c>
      <c r="I880" s="21">
        <v>0</v>
      </c>
      <c r="J880" s="21">
        <v>-0.9</v>
      </c>
      <c r="K880" s="21">
        <v>0</v>
      </c>
      <c r="L880" s="21">
        <v>-0.9</v>
      </c>
    </row>
    <row r="881" spans="1:12" ht="30" x14ac:dyDescent="0.25">
      <c r="A881" s="10">
        <v>876</v>
      </c>
      <c r="B881" t="s">
        <v>18</v>
      </c>
      <c r="C881" t="s">
        <v>17</v>
      </c>
      <c r="D881" t="s">
        <v>247</v>
      </c>
      <c r="E881" s="52" t="s">
        <v>248</v>
      </c>
      <c r="F881" t="s">
        <v>19</v>
      </c>
      <c r="G881" s="21">
        <v>-1.71</v>
      </c>
      <c r="H881" s="21">
        <v>0</v>
      </c>
      <c r="I881" s="21">
        <v>0</v>
      </c>
      <c r="J881" s="21">
        <v>0</v>
      </c>
      <c r="K881" s="21">
        <v>1.52</v>
      </c>
      <c r="L881" s="21">
        <v>-0.19</v>
      </c>
    </row>
    <row r="882" spans="1:12" ht="30" x14ac:dyDescent="0.25">
      <c r="A882" s="10">
        <v>877</v>
      </c>
      <c r="B882" t="s">
        <v>550</v>
      </c>
      <c r="C882" t="s">
        <v>17</v>
      </c>
      <c r="D882" t="s">
        <v>247</v>
      </c>
      <c r="E882" s="52" t="s">
        <v>248</v>
      </c>
      <c r="F882" t="s">
        <v>551</v>
      </c>
      <c r="G882" s="21">
        <v>-47206.11</v>
      </c>
      <c r="H882" s="21">
        <v>0</v>
      </c>
      <c r="I882" s="21">
        <v>0</v>
      </c>
      <c r="J882" s="21">
        <v>0</v>
      </c>
      <c r="K882" s="21">
        <v>944.12</v>
      </c>
      <c r="L882" s="21">
        <v>-46261.99</v>
      </c>
    </row>
    <row r="883" spans="1:12" ht="30" x14ac:dyDescent="0.25">
      <c r="A883" s="10">
        <v>878</v>
      </c>
      <c r="B883" t="s">
        <v>550</v>
      </c>
      <c r="C883" t="s">
        <v>13</v>
      </c>
      <c r="D883" t="s">
        <v>247</v>
      </c>
      <c r="E883" s="52" t="s">
        <v>248</v>
      </c>
      <c r="F883" t="s">
        <v>551</v>
      </c>
      <c r="G883" s="21">
        <v>0</v>
      </c>
      <c r="H883" s="21">
        <v>0</v>
      </c>
      <c r="I883" s="21">
        <v>0</v>
      </c>
      <c r="J883" s="21">
        <v>-5664.73</v>
      </c>
      <c r="K883" s="21">
        <v>0</v>
      </c>
      <c r="L883" s="21">
        <v>-5664.73</v>
      </c>
    </row>
    <row r="884" spans="1:12" ht="30" x14ac:dyDescent="0.25">
      <c r="A884" s="10">
        <v>879</v>
      </c>
      <c r="B884" t="s">
        <v>550</v>
      </c>
      <c r="C884" t="s">
        <v>17</v>
      </c>
      <c r="D884" t="s">
        <v>247</v>
      </c>
      <c r="E884" s="52" t="s">
        <v>248</v>
      </c>
      <c r="F884" t="s">
        <v>552</v>
      </c>
      <c r="G884" s="21">
        <v>-3.4</v>
      </c>
      <c r="H884" s="21">
        <v>0</v>
      </c>
      <c r="I884" s="21">
        <v>0</v>
      </c>
      <c r="J884" s="21">
        <v>0</v>
      </c>
      <c r="K884" s="21">
        <v>7.0000000000000007E-2</v>
      </c>
      <c r="L884" s="21">
        <v>-3.33</v>
      </c>
    </row>
    <row r="885" spans="1:12" ht="30" x14ac:dyDescent="0.25">
      <c r="A885" s="10">
        <v>880</v>
      </c>
      <c r="B885" t="s">
        <v>550</v>
      </c>
      <c r="C885" t="s">
        <v>13</v>
      </c>
      <c r="D885" t="s">
        <v>247</v>
      </c>
      <c r="E885" s="52" t="s">
        <v>248</v>
      </c>
      <c r="F885" t="s">
        <v>552</v>
      </c>
      <c r="G885" s="21">
        <v>0</v>
      </c>
      <c r="H885" s="21">
        <v>0</v>
      </c>
      <c r="I885" s="21">
        <v>0</v>
      </c>
      <c r="J885" s="21">
        <v>-0.41</v>
      </c>
      <c r="K885" s="21">
        <v>0</v>
      </c>
      <c r="L885" s="21">
        <v>-0.41</v>
      </c>
    </row>
    <row r="886" spans="1:12" ht="30" x14ac:dyDescent="0.25">
      <c r="A886" s="10">
        <v>881</v>
      </c>
      <c r="B886" t="s">
        <v>18</v>
      </c>
      <c r="C886" t="s">
        <v>17</v>
      </c>
      <c r="D886" t="s">
        <v>249</v>
      </c>
      <c r="E886" s="52" t="s">
        <v>250</v>
      </c>
      <c r="F886" t="s">
        <v>19</v>
      </c>
      <c r="G886" s="21">
        <v>-9.2899999999999991</v>
      </c>
      <c r="H886" s="21">
        <v>0</v>
      </c>
      <c r="I886" s="21">
        <v>0</v>
      </c>
      <c r="J886" s="21">
        <v>0</v>
      </c>
      <c r="K886" s="21">
        <v>8.24</v>
      </c>
      <c r="L886" s="21">
        <v>-1.05</v>
      </c>
    </row>
    <row r="887" spans="1:12" ht="30" x14ac:dyDescent="0.25">
      <c r="A887" s="10">
        <v>882</v>
      </c>
      <c r="B887" t="s">
        <v>550</v>
      </c>
      <c r="C887" t="s">
        <v>17</v>
      </c>
      <c r="D887" t="s">
        <v>249</v>
      </c>
      <c r="E887" s="52" t="s">
        <v>250</v>
      </c>
      <c r="F887" t="s">
        <v>551</v>
      </c>
      <c r="G887" s="21">
        <v>-27563.75</v>
      </c>
      <c r="H887" s="21">
        <v>0</v>
      </c>
      <c r="I887" s="21">
        <v>0</v>
      </c>
      <c r="J887" s="21">
        <v>0</v>
      </c>
      <c r="K887" s="21">
        <v>551.28</v>
      </c>
      <c r="L887" s="21">
        <v>-27012.47</v>
      </c>
    </row>
    <row r="888" spans="1:12" ht="30" x14ac:dyDescent="0.25">
      <c r="A888" s="10">
        <v>883</v>
      </c>
      <c r="B888" t="s">
        <v>550</v>
      </c>
      <c r="C888" t="s">
        <v>13</v>
      </c>
      <c r="D888" t="s">
        <v>249</v>
      </c>
      <c r="E888" s="52" t="s">
        <v>250</v>
      </c>
      <c r="F888" t="s">
        <v>551</v>
      </c>
      <c r="G888" s="21">
        <v>0</v>
      </c>
      <c r="H888" s="21">
        <v>0</v>
      </c>
      <c r="I888" s="21">
        <v>0</v>
      </c>
      <c r="J888" s="21">
        <v>-3307.65</v>
      </c>
      <c r="K888" s="21">
        <v>0</v>
      </c>
      <c r="L888" s="21">
        <v>-3307.65</v>
      </c>
    </row>
    <row r="889" spans="1:12" ht="30" x14ac:dyDescent="0.25">
      <c r="A889" s="10">
        <v>884</v>
      </c>
      <c r="B889" t="s">
        <v>550</v>
      </c>
      <c r="C889" t="s">
        <v>17</v>
      </c>
      <c r="D889" t="s">
        <v>249</v>
      </c>
      <c r="E889" s="52" t="s">
        <v>250</v>
      </c>
      <c r="F889" t="s">
        <v>552</v>
      </c>
      <c r="G889" s="21">
        <v>-1.98</v>
      </c>
      <c r="H889" s="21">
        <v>0</v>
      </c>
      <c r="I889" s="21">
        <v>0</v>
      </c>
      <c r="J889" s="21">
        <v>0</v>
      </c>
      <c r="K889" s="21">
        <v>0.04</v>
      </c>
      <c r="L889" s="21">
        <v>-1.94</v>
      </c>
    </row>
    <row r="890" spans="1:12" ht="30" x14ac:dyDescent="0.25">
      <c r="A890" s="10">
        <v>885</v>
      </c>
      <c r="B890" t="s">
        <v>550</v>
      </c>
      <c r="C890" t="s">
        <v>13</v>
      </c>
      <c r="D890" t="s">
        <v>249</v>
      </c>
      <c r="E890" s="52" t="s">
        <v>250</v>
      </c>
      <c r="F890" t="s">
        <v>552</v>
      </c>
      <c r="G890" s="21">
        <v>0</v>
      </c>
      <c r="H890" s="21">
        <v>0</v>
      </c>
      <c r="I890" s="21">
        <v>0</v>
      </c>
      <c r="J890" s="21">
        <v>-0.24</v>
      </c>
      <c r="K890" s="21">
        <v>0</v>
      </c>
      <c r="L890" s="21">
        <v>-0.24</v>
      </c>
    </row>
    <row r="891" spans="1:12" x14ac:dyDescent="0.25">
      <c r="A891" s="10">
        <v>886</v>
      </c>
      <c r="B891" t="s">
        <v>559</v>
      </c>
      <c r="C891" t="s">
        <v>17</v>
      </c>
      <c r="D891" t="s">
        <v>251</v>
      </c>
      <c r="E891" s="52" t="s">
        <v>252</v>
      </c>
      <c r="F891" t="s">
        <v>560</v>
      </c>
      <c r="G891" s="21">
        <v>-0.01</v>
      </c>
      <c r="H891" s="21">
        <v>0</v>
      </c>
      <c r="I891" s="21">
        <v>0</v>
      </c>
      <c r="J891" s="21">
        <v>0</v>
      </c>
      <c r="K891" s="21">
        <v>0</v>
      </c>
      <c r="L891" s="21">
        <v>-0.01</v>
      </c>
    </row>
    <row r="892" spans="1:12" x14ac:dyDescent="0.25">
      <c r="A892" s="10">
        <v>887</v>
      </c>
      <c r="B892" t="s">
        <v>559</v>
      </c>
      <c r="C892" t="s">
        <v>13</v>
      </c>
      <c r="D892" t="s">
        <v>251</v>
      </c>
      <c r="E892" s="52" t="s">
        <v>252</v>
      </c>
      <c r="F892" t="s">
        <v>560</v>
      </c>
      <c r="G892" s="21">
        <v>0</v>
      </c>
      <c r="H892" s="21">
        <v>0</v>
      </c>
      <c r="I892" s="21">
        <v>0</v>
      </c>
      <c r="J892" s="21">
        <v>0</v>
      </c>
      <c r="K892" s="21">
        <v>0</v>
      </c>
      <c r="L892" s="21">
        <v>0</v>
      </c>
    </row>
    <row r="893" spans="1:12" x14ac:dyDescent="0.25">
      <c r="A893" s="10">
        <v>888</v>
      </c>
      <c r="B893" t="s">
        <v>18</v>
      </c>
      <c r="C893" t="s">
        <v>17</v>
      </c>
      <c r="D893" t="s">
        <v>251</v>
      </c>
      <c r="E893" s="52" t="s">
        <v>252</v>
      </c>
      <c r="F893" t="s">
        <v>19</v>
      </c>
      <c r="G893" s="21">
        <v>-0.13</v>
      </c>
      <c r="H893" s="21">
        <v>0</v>
      </c>
      <c r="I893" s="21">
        <v>0</v>
      </c>
      <c r="J893" s="21">
        <v>0</v>
      </c>
      <c r="K893" s="21">
        <v>0.11</v>
      </c>
      <c r="L893" s="21">
        <v>-0.02</v>
      </c>
    </row>
    <row r="894" spans="1:12" x14ac:dyDescent="0.25">
      <c r="A894" s="10">
        <v>889</v>
      </c>
      <c r="B894" t="s">
        <v>550</v>
      </c>
      <c r="C894" t="s">
        <v>17</v>
      </c>
      <c r="D894" t="s">
        <v>251</v>
      </c>
      <c r="E894" s="52" t="s">
        <v>252</v>
      </c>
      <c r="F894" t="s">
        <v>551</v>
      </c>
      <c r="G894" s="21">
        <v>-27.11</v>
      </c>
      <c r="H894" s="21">
        <v>0</v>
      </c>
      <c r="I894" s="21">
        <v>0</v>
      </c>
      <c r="J894" s="21">
        <v>0</v>
      </c>
      <c r="K894" s="21">
        <v>0</v>
      </c>
      <c r="L894" s="21">
        <v>-27.11</v>
      </c>
    </row>
    <row r="895" spans="1:12" x14ac:dyDescent="0.25">
      <c r="A895" s="10">
        <v>890</v>
      </c>
      <c r="B895" t="s">
        <v>550</v>
      </c>
      <c r="C895" t="s">
        <v>17</v>
      </c>
      <c r="D895" t="s">
        <v>251</v>
      </c>
      <c r="E895" s="52" t="s">
        <v>252</v>
      </c>
      <c r="F895" t="s">
        <v>551</v>
      </c>
      <c r="G895" s="21">
        <v>-2662.58</v>
      </c>
      <c r="H895" s="21">
        <v>0</v>
      </c>
      <c r="I895" s="21">
        <v>0</v>
      </c>
      <c r="J895" s="21">
        <v>0</v>
      </c>
      <c r="K895" s="21">
        <v>0</v>
      </c>
      <c r="L895" s="21">
        <v>-2662.58</v>
      </c>
    </row>
    <row r="896" spans="1:12" x14ac:dyDescent="0.25">
      <c r="A896" s="10">
        <v>891</v>
      </c>
      <c r="B896" t="s">
        <v>550</v>
      </c>
      <c r="C896" t="s">
        <v>13</v>
      </c>
      <c r="D896" t="s">
        <v>251</v>
      </c>
      <c r="E896" s="52" t="s">
        <v>252</v>
      </c>
      <c r="F896" t="s">
        <v>551</v>
      </c>
      <c r="G896" s="21">
        <v>0</v>
      </c>
      <c r="H896" s="21">
        <v>0</v>
      </c>
      <c r="I896" s="21">
        <v>0</v>
      </c>
      <c r="J896" s="21">
        <v>-3.25</v>
      </c>
      <c r="K896" s="21">
        <v>0</v>
      </c>
      <c r="L896" s="21">
        <v>-3.25</v>
      </c>
    </row>
    <row r="897" spans="1:12" x14ac:dyDescent="0.25">
      <c r="A897" s="10">
        <v>892</v>
      </c>
      <c r="B897" t="s">
        <v>550</v>
      </c>
      <c r="C897" t="s">
        <v>13</v>
      </c>
      <c r="D897" t="s">
        <v>251</v>
      </c>
      <c r="E897" s="52" t="s">
        <v>252</v>
      </c>
      <c r="F897" t="s">
        <v>551</v>
      </c>
      <c r="G897" s="21">
        <v>0</v>
      </c>
      <c r="H897" s="21">
        <v>0</v>
      </c>
      <c r="I897" s="21">
        <v>0</v>
      </c>
      <c r="J897" s="21">
        <v>-319.51</v>
      </c>
      <c r="K897" s="21">
        <v>0</v>
      </c>
      <c r="L897" s="21">
        <v>-319.51</v>
      </c>
    </row>
    <row r="898" spans="1:12" x14ac:dyDescent="0.25">
      <c r="A898" s="10">
        <v>893</v>
      </c>
      <c r="B898" t="s">
        <v>550</v>
      </c>
      <c r="C898" t="s">
        <v>17</v>
      </c>
      <c r="D898" t="s">
        <v>251</v>
      </c>
      <c r="E898" s="52" t="s">
        <v>252</v>
      </c>
      <c r="F898" t="s">
        <v>552</v>
      </c>
      <c r="G898" s="21">
        <v>-0.19</v>
      </c>
      <c r="H898" s="21">
        <v>0</v>
      </c>
      <c r="I898" s="21">
        <v>0</v>
      </c>
      <c r="J898" s="21">
        <v>0</v>
      </c>
      <c r="K898" s="21">
        <v>0</v>
      </c>
      <c r="L898" s="21">
        <v>-0.19</v>
      </c>
    </row>
    <row r="899" spans="1:12" x14ac:dyDescent="0.25">
      <c r="A899" s="10">
        <v>894</v>
      </c>
      <c r="B899" t="s">
        <v>550</v>
      </c>
      <c r="C899" t="s">
        <v>13</v>
      </c>
      <c r="D899" t="s">
        <v>251</v>
      </c>
      <c r="E899" s="52" t="s">
        <v>252</v>
      </c>
      <c r="F899" t="s">
        <v>552</v>
      </c>
      <c r="G899" s="21">
        <v>0</v>
      </c>
      <c r="H899" s="21">
        <v>0</v>
      </c>
      <c r="I899" s="21">
        <v>0</v>
      </c>
      <c r="J899" s="21">
        <v>-0.02</v>
      </c>
      <c r="K899" s="21">
        <v>0</v>
      </c>
      <c r="L899" s="21">
        <v>-0.02</v>
      </c>
    </row>
    <row r="900" spans="1:12" ht="30" x14ac:dyDescent="0.25">
      <c r="A900" s="10">
        <v>895</v>
      </c>
      <c r="B900" t="s">
        <v>18</v>
      </c>
      <c r="C900" t="s">
        <v>17</v>
      </c>
      <c r="D900" t="s">
        <v>253</v>
      </c>
      <c r="E900" s="52" t="s">
        <v>254</v>
      </c>
      <c r="F900" t="s">
        <v>19</v>
      </c>
      <c r="G900" s="21">
        <v>0</v>
      </c>
      <c r="H900" s="21">
        <v>0</v>
      </c>
      <c r="I900" s="21">
        <v>0</v>
      </c>
      <c r="J900" s="21">
        <v>0</v>
      </c>
      <c r="K900" s="21">
        <v>0</v>
      </c>
      <c r="L900" s="21">
        <v>0</v>
      </c>
    </row>
    <row r="901" spans="1:12" ht="30" x14ac:dyDescent="0.25">
      <c r="A901" s="10">
        <v>896</v>
      </c>
      <c r="B901" t="s">
        <v>18</v>
      </c>
      <c r="C901" t="s">
        <v>17</v>
      </c>
      <c r="D901" t="s">
        <v>253</v>
      </c>
      <c r="E901" s="52" t="s">
        <v>254</v>
      </c>
      <c r="F901" t="s">
        <v>19</v>
      </c>
      <c r="G901" s="21">
        <v>0</v>
      </c>
      <c r="H901" s="21">
        <v>0</v>
      </c>
      <c r="I901" s="21">
        <v>-0.01</v>
      </c>
      <c r="J901" s="21">
        <v>0</v>
      </c>
      <c r="K901" s="21">
        <v>0</v>
      </c>
      <c r="L901" s="21">
        <v>-0.01</v>
      </c>
    </row>
    <row r="902" spans="1:12" ht="30" x14ac:dyDescent="0.25">
      <c r="A902" s="10">
        <v>897</v>
      </c>
      <c r="B902" t="s">
        <v>550</v>
      </c>
      <c r="C902" t="s">
        <v>17</v>
      </c>
      <c r="D902" t="s">
        <v>613</v>
      </c>
      <c r="E902" s="52" t="s">
        <v>254</v>
      </c>
      <c r="F902" t="s">
        <v>551</v>
      </c>
      <c r="G902" s="21">
        <v>0</v>
      </c>
      <c r="H902" s="21">
        <v>0</v>
      </c>
      <c r="I902" s="21">
        <v>-39.42</v>
      </c>
      <c r="J902" s="21">
        <v>0</v>
      </c>
      <c r="K902" s="21">
        <v>0.79</v>
      </c>
      <c r="L902" s="21">
        <v>-38.630000000000003</v>
      </c>
    </row>
    <row r="903" spans="1:12" ht="30" x14ac:dyDescent="0.25">
      <c r="A903" s="10">
        <v>898</v>
      </c>
      <c r="B903" t="s">
        <v>550</v>
      </c>
      <c r="C903" t="s">
        <v>17</v>
      </c>
      <c r="D903" t="s">
        <v>613</v>
      </c>
      <c r="E903" s="52" t="s">
        <v>254</v>
      </c>
      <c r="F903" t="s">
        <v>551</v>
      </c>
      <c r="G903" s="21">
        <v>0</v>
      </c>
      <c r="H903" s="21">
        <v>0</v>
      </c>
      <c r="I903" s="21">
        <v>-188.66</v>
      </c>
      <c r="J903" s="21">
        <v>0</v>
      </c>
      <c r="K903" s="21">
        <v>3.77</v>
      </c>
      <c r="L903" s="21">
        <v>-184.89</v>
      </c>
    </row>
    <row r="904" spans="1:12" ht="30" x14ac:dyDescent="0.25">
      <c r="A904" s="10">
        <v>899</v>
      </c>
      <c r="B904" t="s">
        <v>550</v>
      </c>
      <c r="C904" t="s">
        <v>17</v>
      </c>
      <c r="D904" t="s">
        <v>613</v>
      </c>
      <c r="E904" s="52" t="s">
        <v>254</v>
      </c>
      <c r="F904" t="s">
        <v>552</v>
      </c>
      <c r="G904" s="21">
        <v>0</v>
      </c>
      <c r="H904" s="21">
        <v>0</v>
      </c>
      <c r="I904" s="21">
        <v>-0.01</v>
      </c>
      <c r="J904" s="21">
        <v>0</v>
      </c>
      <c r="K904" s="21">
        <v>0</v>
      </c>
      <c r="L904" s="21">
        <v>-0.01</v>
      </c>
    </row>
    <row r="905" spans="1:12" ht="30" x14ac:dyDescent="0.25">
      <c r="A905" s="10">
        <v>900</v>
      </c>
      <c r="B905" t="s">
        <v>550</v>
      </c>
      <c r="C905" t="s">
        <v>17</v>
      </c>
      <c r="D905" t="s">
        <v>614</v>
      </c>
      <c r="E905" s="52" t="s">
        <v>254</v>
      </c>
      <c r="F905" t="s">
        <v>551</v>
      </c>
      <c r="G905" s="21">
        <v>0</v>
      </c>
      <c r="H905" s="21">
        <v>0</v>
      </c>
      <c r="I905" s="21">
        <v>-44.73</v>
      </c>
      <c r="J905" s="21">
        <v>0</v>
      </c>
      <c r="K905" s="21">
        <v>0.89</v>
      </c>
      <c r="L905" s="21">
        <v>-43.84</v>
      </c>
    </row>
    <row r="906" spans="1:12" ht="30" x14ac:dyDescent="0.25">
      <c r="A906" s="10">
        <v>901</v>
      </c>
      <c r="B906" t="s">
        <v>550</v>
      </c>
      <c r="C906" t="s">
        <v>17</v>
      </c>
      <c r="D906" t="s">
        <v>614</v>
      </c>
      <c r="E906" s="52" t="s">
        <v>254</v>
      </c>
      <c r="F906" t="s">
        <v>551</v>
      </c>
      <c r="G906" s="21">
        <v>0</v>
      </c>
      <c r="H906" s="21">
        <v>0</v>
      </c>
      <c r="I906" s="21">
        <v>-50.31</v>
      </c>
      <c r="J906" s="21">
        <v>0</v>
      </c>
      <c r="K906" s="21">
        <v>1.01</v>
      </c>
      <c r="L906" s="21">
        <v>-49.3</v>
      </c>
    </row>
    <row r="907" spans="1:12" ht="30" x14ac:dyDescent="0.25">
      <c r="A907" s="10">
        <v>902</v>
      </c>
      <c r="B907" t="s">
        <v>559</v>
      </c>
      <c r="C907" t="s">
        <v>17</v>
      </c>
      <c r="D907" t="s">
        <v>255</v>
      </c>
      <c r="E907" s="52" t="s">
        <v>256</v>
      </c>
      <c r="F907" t="s">
        <v>560</v>
      </c>
      <c r="G907" s="21">
        <v>-0.96</v>
      </c>
      <c r="H907" s="21">
        <v>0</v>
      </c>
      <c r="I907" s="21">
        <v>0</v>
      </c>
      <c r="J907" s="21">
        <v>0</v>
      </c>
      <c r="K907" s="21">
        <v>0.02</v>
      </c>
      <c r="L907" s="21">
        <v>-0.94</v>
      </c>
    </row>
    <row r="908" spans="1:12" ht="30" x14ac:dyDescent="0.25">
      <c r="A908" s="10">
        <v>903</v>
      </c>
      <c r="B908" t="s">
        <v>559</v>
      </c>
      <c r="C908" t="s">
        <v>13</v>
      </c>
      <c r="D908" t="s">
        <v>255</v>
      </c>
      <c r="E908" s="52" t="s">
        <v>256</v>
      </c>
      <c r="F908" t="s">
        <v>560</v>
      </c>
      <c r="G908" s="21">
        <v>0</v>
      </c>
      <c r="H908" s="21">
        <v>0</v>
      </c>
      <c r="I908" s="21">
        <v>0</v>
      </c>
      <c r="J908" s="21">
        <v>-0.12</v>
      </c>
      <c r="K908" s="21">
        <v>0</v>
      </c>
      <c r="L908" s="21">
        <v>-0.12</v>
      </c>
    </row>
    <row r="909" spans="1:12" ht="30" x14ac:dyDescent="0.25">
      <c r="A909" s="10">
        <v>904</v>
      </c>
      <c r="B909" t="s">
        <v>18</v>
      </c>
      <c r="C909" t="s">
        <v>17</v>
      </c>
      <c r="D909" t="s">
        <v>255</v>
      </c>
      <c r="E909" s="52" t="s">
        <v>256</v>
      </c>
      <c r="F909" t="s">
        <v>19</v>
      </c>
      <c r="G909" s="21">
        <v>-4.29</v>
      </c>
      <c r="H909" s="21">
        <v>0</v>
      </c>
      <c r="I909" s="21">
        <v>0</v>
      </c>
      <c r="J909" s="21">
        <v>0</v>
      </c>
      <c r="K909" s="21">
        <v>3.81</v>
      </c>
      <c r="L909" s="21">
        <v>-0.48</v>
      </c>
    </row>
    <row r="910" spans="1:12" ht="30" x14ac:dyDescent="0.25">
      <c r="A910" s="10">
        <v>905</v>
      </c>
      <c r="B910" t="s">
        <v>550</v>
      </c>
      <c r="C910" t="s">
        <v>17</v>
      </c>
      <c r="D910" t="s">
        <v>255</v>
      </c>
      <c r="E910" s="52" t="s">
        <v>256</v>
      </c>
      <c r="F910" t="s">
        <v>551</v>
      </c>
      <c r="G910" s="21">
        <v>-58224.53</v>
      </c>
      <c r="H910" s="21">
        <v>0</v>
      </c>
      <c r="I910" s="21">
        <v>0</v>
      </c>
      <c r="J910" s="21">
        <v>0</v>
      </c>
      <c r="K910" s="21">
        <v>1164.49</v>
      </c>
      <c r="L910" s="21">
        <v>-57060.04</v>
      </c>
    </row>
    <row r="911" spans="1:12" ht="30" x14ac:dyDescent="0.25">
      <c r="A911" s="10">
        <v>906</v>
      </c>
      <c r="B911" t="s">
        <v>550</v>
      </c>
      <c r="C911" t="s">
        <v>13</v>
      </c>
      <c r="D911" t="s">
        <v>255</v>
      </c>
      <c r="E911" s="52" t="s">
        <v>256</v>
      </c>
      <c r="F911" t="s">
        <v>551</v>
      </c>
      <c r="G911" s="21">
        <v>0</v>
      </c>
      <c r="H911" s="21">
        <v>0</v>
      </c>
      <c r="I911" s="21">
        <v>0</v>
      </c>
      <c r="J911" s="21">
        <v>-6986.94</v>
      </c>
      <c r="K911" s="21">
        <v>0</v>
      </c>
      <c r="L911" s="21">
        <v>-6986.94</v>
      </c>
    </row>
    <row r="912" spans="1:12" ht="30" x14ac:dyDescent="0.25">
      <c r="A912" s="10">
        <v>907</v>
      </c>
      <c r="B912" t="s">
        <v>550</v>
      </c>
      <c r="C912" t="s">
        <v>17</v>
      </c>
      <c r="D912" t="s">
        <v>255</v>
      </c>
      <c r="E912" s="52" t="s">
        <v>256</v>
      </c>
      <c r="F912" t="s">
        <v>552</v>
      </c>
      <c r="G912" s="21">
        <v>-4.1900000000000004</v>
      </c>
      <c r="H912" s="21">
        <v>0</v>
      </c>
      <c r="I912" s="21">
        <v>0</v>
      </c>
      <c r="J912" s="21">
        <v>0</v>
      </c>
      <c r="K912" s="21">
        <v>0.08</v>
      </c>
      <c r="L912" s="21">
        <v>-4.1100000000000003</v>
      </c>
    </row>
    <row r="913" spans="1:12" ht="30" x14ac:dyDescent="0.25">
      <c r="A913" s="10">
        <v>908</v>
      </c>
      <c r="B913" t="s">
        <v>550</v>
      </c>
      <c r="C913" t="s">
        <v>13</v>
      </c>
      <c r="D913" t="s">
        <v>255</v>
      </c>
      <c r="E913" s="52" t="s">
        <v>256</v>
      </c>
      <c r="F913" t="s">
        <v>552</v>
      </c>
      <c r="G913" s="21">
        <v>0</v>
      </c>
      <c r="H913" s="21">
        <v>0</v>
      </c>
      <c r="I913" s="21">
        <v>0</v>
      </c>
      <c r="J913" s="21">
        <v>-0.5</v>
      </c>
      <c r="K913" s="21">
        <v>0</v>
      </c>
      <c r="L913" s="21">
        <v>-0.5</v>
      </c>
    </row>
    <row r="914" spans="1:12" ht="30" x14ac:dyDescent="0.25">
      <c r="A914" s="10">
        <v>909</v>
      </c>
      <c r="B914" t="s">
        <v>37</v>
      </c>
      <c r="C914" t="s">
        <v>13</v>
      </c>
      <c r="D914" t="s">
        <v>257</v>
      </c>
      <c r="E914" s="52" t="s">
        <v>258</v>
      </c>
      <c r="F914" t="s">
        <v>38</v>
      </c>
      <c r="G914" s="21">
        <v>0</v>
      </c>
      <c r="H914" s="21">
        <v>0</v>
      </c>
      <c r="I914" s="21">
        <v>0</v>
      </c>
      <c r="J914" s="21">
        <v>-1.3</v>
      </c>
      <c r="K914" s="21">
        <v>0</v>
      </c>
      <c r="L914" s="21">
        <v>-1.3</v>
      </c>
    </row>
    <row r="915" spans="1:12" ht="30" x14ac:dyDescent="0.25">
      <c r="A915" s="10">
        <v>910</v>
      </c>
      <c r="B915" t="s">
        <v>559</v>
      </c>
      <c r="C915" t="s">
        <v>17</v>
      </c>
      <c r="D915" t="s">
        <v>257</v>
      </c>
      <c r="E915" s="52" t="s">
        <v>258</v>
      </c>
      <c r="F915" t="s">
        <v>560</v>
      </c>
      <c r="G915" s="21">
        <v>-9.5</v>
      </c>
      <c r="H915" s="21">
        <v>0</v>
      </c>
      <c r="I915" s="21">
        <v>0</v>
      </c>
      <c r="J915" s="21">
        <v>0</v>
      </c>
      <c r="K915" s="21">
        <v>0.19</v>
      </c>
      <c r="L915" s="21">
        <v>-9.31</v>
      </c>
    </row>
    <row r="916" spans="1:12" ht="30" x14ac:dyDescent="0.25">
      <c r="A916" s="10">
        <v>911</v>
      </c>
      <c r="B916" t="s">
        <v>559</v>
      </c>
      <c r="C916" t="s">
        <v>13</v>
      </c>
      <c r="D916" t="s">
        <v>257</v>
      </c>
      <c r="E916" s="52" t="s">
        <v>258</v>
      </c>
      <c r="F916" t="s">
        <v>560</v>
      </c>
      <c r="G916" s="21">
        <v>0</v>
      </c>
      <c r="H916" s="21">
        <v>0</v>
      </c>
      <c r="I916" s="21">
        <v>0</v>
      </c>
      <c r="J916" s="21">
        <v>-1.1399999999999999</v>
      </c>
      <c r="K916" s="21">
        <v>0</v>
      </c>
      <c r="L916" s="21">
        <v>-1.1399999999999999</v>
      </c>
    </row>
    <row r="917" spans="1:12" ht="30" x14ac:dyDescent="0.25">
      <c r="A917" s="10">
        <v>912</v>
      </c>
      <c r="B917" t="s">
        <v>18</v>
      </c>
      <c r="C917" t="s">
        <v>17</v>
      </c>
      <c r="D917" t="s">
        <v>257</v>
      </c>
      <c r="E917" s="52" t="s">
        <v>258</v>
      </c>
      <c r="F917" t="s">
        <v>19</v>
      </c>
      <c r="G917" s="21">
        <v>-8.81</v>
      </c>
      <c r="H917" s="21">
        <v>0</v>
      </c>
      <c r="I917" s="21">
        <v>0</v>
      </c>
      <c r="J917" s="21">
        <v>0</v>
      </c>
      <c r="K917" s="21">
        <v>7.82</v>
      </c>
      <c r="L917" s="21">
        <v>-0.99</v>
      </c>
    </row>
    <row r="918" spans="1:12" ht="30" x14ac:dyDescent="0.25">
      <c r="A918" s="10">
        <v>913</v>
      </c>
      <c r="B918" t="s">
        <v>550</v>
      </c>
      <c r="C918" t="s">
        <v>17</v>
      </c>
      <c r="D918" t="s">
        <v>257</v>
      </c>
      <c r="E918" s="52" t="s">
        <v>258</v>
      </c>
      <c r="F918" t="s">
        <v>551</v>
      </c>
      <c r="G918" s="21">
        <v>-74218.06</v>
      </c>
      <c r="H918" s="21">
        <v>0</v>
      </c>
      <c r="I918" s="21">
        <v>0</v>
      </c>
      <c r="J918" s="21">
        <v>0</v>
      </c>
      <c r="K918" s="21">
        <v>1484.36</v>
      </c>
      <c r="L918" s="21">
        <v>-72733.7</v>
      </c>
    </row>
    <row r="919" spans="1:12" ht="30" x14ac:dyDescent="0.25">
      <c r="A919" s="10">
        <v>914</v>
      </c>
      <c r="B919" t="s">
        <v>550</v>
      </c>
      <c r="C919" t="s">
        <v>13</v>
      </c>
      <c r="D919" t="s">
        <v>257</v>
      </c>
      <c r="E919" s="52" t="s">
        <v>258</v>
      </c>
      <c r="F919" t="s">
        <v>551</v>
      </c>
      <c r="G919" s="21">
        <v>0</v>
      </c>
      <c r="H919" s="21">
        <v>0</v>
      </c>
      <c r="I919" s="21">
        <v>0</v>
      </c>
      <c r="J919" s="21">
        <v>-8789.7199999999993</v>
      </c>
      <c r="K919" s="21">
        <v>0</v>
      </c>
      <c r="L919" s="21">
        <v>-8789.7199999999993</v>
      </c>
    </row>
    <row r="920" spans="1:12" ht="30" x14ac:dyDescent="0.25">
      <c r="A920" s="10">
        <v>915</v>
      </c>
      <c r="B920" t="s">
        <v>550</v>
      </c>
      <c r="C920" t="s">
        <v>17</v>
      </c>
      <c r="D920" t="s">
        <v>257</v>
      </c>
      <c r="E920" s="52" t="s">
        <v>258</v>
      </c>
      <c r="F920" t="s">
        <v>552</v>
      </c>
      <c r="G920" s="21">
        <v>-5.34</v>
      </c>
      <c r="H920" s="21">
        <v>0</v>
      </c>
      <c r="I920" s="21">
        <v>0</v>
      </c>
      <c r="J920" s="21">
        <v>0</v>
      </c>
      <c r="K920" s="21">
        <v>0.11</v>
      </c>
      <c r="L920" s="21">
        <v>-5.23</v>
      </c>
    </row>
    <row r="921" spans="1:12" ht="30" x14ac:dyDescent="0.25">
      <c r="A921" s="10">
        <v>916</v>
      </c>
      <c r="B921" t="s">
        <v>550</v>
      </c>
      <c r="C921" t="s">
        <v>13</v>
      </c>
      <c r="D921" t="s">
        <v>257</v>
      </c>
      <c r="E921" s="52" t="s">
        <v>258</v>
      </c>
      <c r="F921" t="s">
        <v>552</v>
      </c>
      <c r="G921" s="21">
        <v>0</v>
      </c>
      <c r="H921" s="21">
        <v>0</v>
      </c>
      <c r="I921" s="21">
        <v>0</v>
      </c>
      <c r="J921" s="21">
        <v>-0.63</v>
      </c>
      <c r="K921" s="21">
        <v>0</v>
      </c>
      <c r="L921" s="21">
        <v>-0.63</v>
      </c>
    </row>
    <row r="922" spans="1:12" ht="30" x14ac:dyDescent="0.25">
      <c r="A922" s="10">
        <v>917</v>
      </c>
      <c r="B922" t="s">
        <v>12</v>
      </c>
      <c r="C922" t="s">
        <v>13</v>
      </c>
      <c r="D922" t="s">
        <v>259</v>
      </c>
      <c r="E922" s="52" t="s">
        <v>260</v>
      </c>
      <c r="F922" t="s">
        <v>16</v>
      </c>
      <c r="G922" s="21">
        <v>0</v>
      </c>
      <c r="H922" s="21">
        <v>0</v>
      </c>
      <c r="I922" s="21">
        <v>0</v>
      </c>
      <c r="J922" s="21">
        <v>-140.44</v>
      </c>
      <c r="K922" s="21">
        <v>0</v>
      </c>
      <c r="L922" s="21">
        <v>-140.44</v>
      </c>
    </row>
    <row r="923" spans="1:12" ht="30" x14ac:dyDescent="0.25">
      <c r="A923" s="10">
        <v>918</v>
      </c>
      <c r="B923" t="s">
        <v>37</v>
      </c>
      <c r="C923" t="s">
        <v>13</v>
      </c>
      <c r="D923" t="s">
        <v>259</v>
      </c>
      <c r="E923" s="52" t="s">
        <v>260</v>
      </c>
      <c r="F923" t="s">
        <v>38</v>
      </c>
      <c r="G923" s="21">
        <v>0</v>
      </c>
      <c r="H923" s="21">
        <v>0</v>
      </c>
      <c r="I923" s="21">
        <v>0</v>
      </c>
      <c r="J923" s="21">
        <v>-0.72</v>
      </c>
      <c r="K923" s="21">
        <v>0</v>
      </c>
      <c r="L923" s="21">
        <v>-0.72</v>
      </c>
    </row>
    <row r="924" spans="1:12" ht="30" x14ac:dyDescent="0.25">
      <c r="A924" s="10">
        <v>919</v>
      </c>
      <c r="B924" t="s">
        <v>29</v>
      </c>
      <c r="C924" t="s">
        <v>13</v>
      </c>
      <c r="D924" t="s">
        <v>259</v>
      </c>
      <c r="E924" s="52" t="s">
        <v>260</v>
      </c>
      <c r="F924" t="s">
        <v>30</v>
      </c>
      <c r="G924" s="21">
        <v>0</v>
      </c>
      <c r="H924" s="21">
        <v>0</v>
      </c>
      <c r="I924" s="21">
        <v>0</v>
      </c>
      <c r="J924" s="21">
        <v>-1.36</v>
      </c>
      <c r="K924" s="21">
        <v>0</v>
      </c>
      <c r="L924" s="21">
        <v>-1.36</v>
      </c>
    </row>
    <row r="925" spans="1:12" ht="30" x14ac:dyDescent="0.25">
      <c r="A925" s="10">
        <v>920</v>
      </c>
      <c r="B925" t="s">
        <v>29</v>
      </c>
      <c r="C925" t="s">
        <v>13</v>
      </c>
      <c r="D925" t="s">
        <v>259</v>
      </c>
      <c r="E925" s="52" t="s">
        <v>260</v>
      </c>
      <c r="F925" t="s">
        <v>30</v>
      </c>
      <c r="G925" s="21">
        <v>0</v>
      </c>
      <c r="H925" s="21">
        <v>0</v>
      </c>
      <c r="I925" s="21">
        <v>0</v>
      </c>
      <c r="J925" s="21">
        <v>-4.7300000000000004</v>
      </c>
      <c r="K925" s="21">
        <v>0</v>
      </c>
      <c r="L925" s="21">
        <v>-4.7300000000000004</v>
      </c>
    </row>
    <row r="926" spans="1:12" ht="30" x14ac:dyDescent="0.25">
      <c r="A926" s="10">
        <v>921</v>
      </c>
      <c r="B926" t="s">
        <v>18</v>
      </c>
      <c r="C926" t="s">
        <v>17</v>
      </c>
      <c r="D926" t="s">
        <v>259</v>
      </c>
      <c r="E926" s="52" t="s">
        <v>260</v>
      </c>
      <c r="F926" t="s">
        <v>19</v>
      </c>
      <c r="G926" s="21">
        <v>-4.71</v>
      </c>
      <c r="H926" s="21">
        <v>0</v>
      </c>
      <c r="I926" s="21">
        <v>0</v>
      </c>
      <c r="J926" s="21">
        <v>0</v>
      </c>
      <c r="K926" s="21">
        <v>4.18</v>
      </c>
      <c r="L926" s="21">
        <v>-0.53</v>
      </c>
    </row>
    <row r="927" spans="1:12" ht="30" x14ac:dyDescent="0.25">
      <c r="A927" s="10">
        <v>922</v>
      </c>
      <c r="B927" t="s">
        <v>22</v>
      </c>
      <c r="C927" t="s">
        <v>13</v>
      </c>
      <c r="D927" t="s">
        <v>259</v>
      </c>
      <c r="E927" s="52" t="s">
        <v>260</v>
      </c>
      <c r="F927" t="s">
        <v>23</v>
      </c>
      <c r="G927" s="21">
        <v>0</v>
      </c>
      <c r="H927" s="21">
        <v>0</v>
      </c>
      <c r="I927" s="21">
        <v>0</v>
      </c>
      <c r="J927" s="21">
        <v>-535.88</v>
      </c>
      <c r="K927" s="21">
        <v>0</v>
      </c>
      <c r="L927" s="21">
        <v>-535.88</v>
      </c>
    </row>
    <row r="928" spans="1:12" ht="30" x14ac:dyDescent="0.25">
      <c r="A928" s="10">
        <v>923</v>
      </c>
      <c r="B928" t="s">
        <v>22</v>
      </c>
      <c r="C928" t="s">
        <v>13</v>
      </c>
      <c r="D928" t="s">
        <v>259</v>
      </c>
      <c r="E928" s="52" t="s">
        <v>260</v>
      </c>
      <c r="F928" t="s">
        <v>24</v>
      </c>
      <c r="G928" s="21">
        <v>0</v>
      </c>
      <c r="H928" s="21">
        <v>0</v>
      </c>
      <c r="I928" s="21">
        <v>0</v>
      </c>
      <c r="J928" s="21">
        <v>-1.04</v>
      </c>
      <c r="K928" s="21">
        <v>0</v>
      </c>
      <c r="L928" s="21">
        <v>-1.04</v>
      </c>
    </row>
    <row r="929" spans="1:12" ht="30" x14ac:dyDescent="0.25">
      <c r="A929" s="10">
        <v>924</v>
      </c>
      <c r="B929" t="s">
        <v>550</v>
      </c>
      <c r="C929" t="s">
        <v>17</v>
      </c>
      <c r="D929" t="s">
        <v>259</v>
      </c>
      <c r="E929" s="52" t="s">
        <v>260</v>
      </c>
      <c r="F929" t="s">
        <v>551</v>
      </c>
      <c r="G929" s="21">
        <v>-5502.38</v>
      </c>
      <c r="H929" s="21">
        <v>0</v>
      </c>
      <c r="I929" s="21">
        <v>0</v>
      </c>
      <c r="J929" s="21">
        <v>0</v>
      </c>
      <c r="K929" s="21">
        <v>110.05</v>
      </c>
      <c r="L929" s="21">
        <v>-5392.33</v>
      </c>
    </row>
    <row r="930" spans="1:12" ht="30" x14ac:dyDescent="0.25">
      <c r="A930" s="10">
        <v>925</v>
      </c>
      <c r="B930" t="s">
        <v>550</v>
      </c>
      <c r="C930" t="s">
        <v>49</v>
      </c>
      <c r="D930" t="s">
        <v>259</v>
      </c>
      <c r="E930" s="52" t="s">
        <v>260</v>
      </c>
      <c r="F930" t="s">
        <v>551</v>
      </c>
      <c r="G930" s="21">
        <v>-1.72</v>
      </c>
      <c r="H930" s="21">
        <v>0</v>
      </c>
      <c r="I930" s="21">
        <v>0</v>
      </c>
      <c r="J930" s="21">
        <v>0</v>
      </c>
      <c r="K930" s="21">
        <v>0</v>
      </c>
      <c r="L930" s="21">
        <v>-1.72</v>
      </c>
    </row>
    <row r="931" spans="1:12" ht="30" x14ac:dyDescent="0.25">
      <c r="A931" s="10">
        <v>926</v>
      </c>
      <c r="B931" t="s">
        <v>550</v>
      </c>
      <c r="C931" t="s">
        <v>13</v>
      </c>
      <c r="D931" t="s">
        <v>259</v>
      </c>
      <c r="E931" s="52" t="s">
        <v>260</v>
      </c>
      <c r="F931" t="s">
        <v>551</v>
      </c>
      <c r="G931" s="21">
        <v>0</v>
      </c>
      <c r="H931" s="21">
        <v>0</v>
      </c>
      <c r="I931" s="21">
        <v>0</v>
      </c>
      <c r="J931" s="21">
        <v>-5668.1</v>
      </c>
      <c r="K931" s="21">
        <v>0</v>
      </c>
      <c r="L931" s="21">
        <v>-5668.1</v>
      </c>
    </row>
    <row r="932" spans="1:12" ht="30" x14ac:dyDescent="0.25">
      <c r="A932" s="10">
        <v>927</v>
      </c>
      <c r="B932" t="s">
        <v>550</v>
      </c>
      <c r="C932" t="s">
        <v>17</v>
      </c>
      <c r="D932" t="s">
        <v>259</v>
      </c>
      <c r="E932" s="52" t="s">
        <v>260</v>
      </c>
      <c r="F932" t="s">
        <v>551</v>
      </c>
      <c r="G932" s="21">
        <v>-41731.82</v>
      </c>
      <c r="H932" s="21">
        <v>0</v>
      </c>
      <c r="I932" s="21">
        <v>0</v>
      </c>
      <c r="J932" s="21">
        <v>0</v>
      </c>
      <c r="K932" s="21">
        <v>834.63</v>
      </c>
      <c r="L932" s="21">
        <v>-40897.19</v>
      </c>
    </row>
    <row r="933" spans="1:12" ht="30" x14ac:dyDescent="0.25">
      <c r="A933" s="10">
        <v>928</v>
      </c>
      <c r="B933" t="s">
        <v>550</v>
      </c>
      <c r="C933" t="s">
        <v>17</v>
      </c>
      <c r="D933" t="s">
        <v>259</v>
      </c>
      <c r="E933" s="52" t="s">
        <v>260</v>
      </c>
      <c r="F933" t="s">
        <v>552</v>
      </c>
      <c r="G933" s="21">
        <v>-0.4</v>
      </c>
      <c r="H933" s="21">
        <v>0</v>
      </c>
      <c r="I933" s="21">
        <v>0</v>
      </c>
      <c r="J933" s="21">
        <v>0</v>
      </c>
      <c r="K933" s="21">
        <v>0.01</v>
      </c>
      <c r="L933" s="21">
        <v>-0.39</v>
      </c>
    </row>
    <row r="934" spans="1:12" ht="30" x14ac:dyDescent="0.25">
      <c r="A934" s="10">
        <v>929</v>
      </c>
      <c r="B934" t="s">
        <v>550</v>
      </c>
      <c r="C934" t="s">
        <v>13</v>
      </c>
      <c r="D934" t="s">
        <v>259</v>
      </c>
      <c r="E934" s="52" t="s">
        <v>260</v>
      </c>
      <c r="F934" t="s">
        <v>552</v>
      </c>
      <c r="G934" s="21">
        <v>0</v>
      </c>
      <c r="H934" s="21">
        <v>0</v>
      </c>
      <c r="I934" s="21">
        <v>0</v>
      </c>
      <c r="J934" s="21">
        <v>-0.41</v>
      </c>
      <c r="K934" s="21">
        <v>0</v>
      </c>
      <c r="L934" s="21">
        <v>-0.41</v>
      </c>
    </row>
    <row r="935" spans="1:12" ht="30" x14ac:dyDescent="0.25">
      <c r="A935" s="10">
        <v>930</v>
      </c>
      <c r="B935" t="s">
        <v>550</v>
      </c>
      <c r="C935" t="s">
        <v>17</v>
      </c>
      <c r="D935" t="s">
        <v>259</v>
      </c>
      <c r="E935" s="52" t="s">
        <v>260</v>
      </c>
      <c r="F935" t="s">
        <v>552</v>
      </c>
      <c r="G935" s="21">
        <v>-3</v>
      </c>
      <c r="H935" s="21">
        <v>0</v>
      </c>
      <c r="I935" s="21">
        <v>0</v>
      </c>
      <c r="J935" s="21">
        <v>0</v>
      </c>
      <c r="K935" s="21">
        <v>0.06</v>
      </c>
      <c r="L935" s="21">
        <v>-2.94</v>
      </c>
    </row>
    <row r="936" spans="1:12" x14ac:dyDescent="0.25">
      <c r="A936" s="10">
        <v>931</v>
      </c>
      <c r="B936" t="s">
        <v>18</v>
      </c>
      <c r="C936" t="s">
        <v>17</v>
      </c>
      <c r="D936" t="s">
        <v>261</v>
      </c>
      <c r="E936" s="52" t="s">
        <v>262</v>
      </c>
      <c r="F936" t="s">
        <v>19</v>
      </c>
      <c r="G936" s="21">
        <v>0</v>
      </c>
      <c r="H936" s="21">
        <v>0</v>
      </c>
      <c r="I936" s="21">
        <v>-0.3</v>
      </c>
      <c r="J936" s="21">
        <v>0</v>
      </c>
      <c r="K936" s="21">
        <v>0.04</v>
      </c>
      <c r="L936" s="21">
        <v>-0.26</v>
      </c>
    </row>
    <row r="937" spans="1:12" x14ac:dyDescent="0.25">
      <c r="A937" s="10">
        <v>932</v>
      </c>
      <c r="B937" t="s">
        <v>550</v>
      </c>
      <c r="C937" t="s">
        <v>17</v>
      </c>
      <c r="D937" t="s">
        <v>261</v>
      </c>
      <c r="E937" s="52" t="s">
        <v>262</v>
      </c>
      <c r="F937" t="s">
        <v>551</v>
      </c>
      <c r="G937" s="21">
        <v>0</v>
      </c>
      <c r="H937" s="21">
        <v>0</v>
      </c>
      <c r="I937" s="21">
        <v>-286.3</v>
      </c>
      <c r="J937" s="21">
        <v>0</v>
      </c>
      <c r="K937" s="21">
        <v>5.73</v>
      </c>
      <c r="L937" s="21">
        <v>-280.57</v>
      </c>
    </row>
    <row r="938" spans="1:12" x14ac:dyDescent="0.25">
      <c r="A938" s="10">
        <v>933</v>
      </c>
      <c r="B938" t="s">
        <v>550</v>
      </c>
      <c r="C938" t="s">
        <v>17</v>
      </c>
      <c r="D938" t="s">
        <v>261</v>
      </c>
      <c r="E938" s="52" t="s">
        <v>262</v>
      </c>
      <c r="F938" t="s">
        <v>551</v>
      </c>
      <c r="G938" s="21">
        <v>0</v>
      </c>
      <c r="H938" s="21">
        <v>0</v>
      </c>
      <c r="I938" s="21">
        <v>-610.70000000000005</v>
      </c>
      <c r="J938" s="21">
        <v>0</v>
      </c>
      <c r="K938" s="21">
        <v>12.21</v>
      </c>
      <c r="L938" s="21">
        <v>-598.49</v>
      </c>
    </row>
    <row r="939" spans="1:12" x14ac:dyDescent="0.25">
      <c r="A939" s="10">
        <v>934</v>
      </c>
      <c r="B939" t="s">
        <v>550</v>
      </c>
      <c r="C939" t="s">
        <v>49</v>
      </c>
      <c r="D939" t="s">
        <v>261</v>
      </c>
      <c r="E939" s="52" t="s">
        <v>262</v>
      </c>
      <c r="F939" t="s">
        <v>551</v>
      </c>
      <c r="G939" s="21">
        <v>0</v>
      </c>
      <c r="H939" s="21">
        <v>0</v>
      </c>
      <c r="I939" s="21">
        <v>-0.09</v>
      </c>
      <c r="J939" s="21">
        <v>0</v>
      </c>
      <c r="K939" s="21">
        <v>0</v>
      </c>
      <c r="L939" s="21">
        <v>-0.09</v>
      </c>
    </row>
    <row r="940" spans="1:12" x14ac:dyDescent="0.25">
      <c r="A940" s="10">
        <v>935</v>
      </c>
      <c r="B940" t="s">
        <v>550</v>
      </c>
      <c r="C940" t="s">
        <v>49</v>
      </c>
      <c r="D940" t="s">
        <v>261</v>
      </c>
      <c r="E940" s="52" t="s">
        <v>262</v>
      </c>
      <c r="F940" t="s">
        <v>551</v>
      </c>
      <c r="G940" s="21">
        <v>0</v>
      </c>
      <c r="H940" s="21">
        <v>0</v>
      </c>
      <c r="I940" s="21">
        <v>-0.19</v>
      </c>
      <c r="J940" s="21">
        <v>0</v>
      </c>
      <c r="K940" s="21">
        <v>0</v>
      </c>
      <c r="L940" s="21">
        <v>-0.19</v>
      </c>
    </row>
    <row r="941" spans="1:12" x14ac:dyDescent="0.25">
      <c r="A941" s="10">
        <v>936</v>
      </c>
      <c r="B941" t="s">
        <v>550</v>
      </c>
      <c r="C941" t="s">
        <v>17</v>
      </c>
      <c r="D941" t="s">
        <v>261</v>
      </c>
      <c r="E941" s="52" t="s">
        <v>262</v>
      </c>
      <c r="F941" t="s">
        <v>551</v>
      </c>
      <c r="G941" s="21">
        <v>0</v>
      </c>
      <c r="H941" s="21">
        <v>0</v>
      </c>
      <c r="I941" s="21">
        <v>-59.36</v>
      </c>
      <c r="J941" s="21">
        <v>0</v>
      </c>
      <c r="K941" s="21">
        <v>1.19</v>
      </c>
      <c r="L941" s="21">
        <v>-58.17</v>
      </c>
    </row>
    <row r="942" spans="1:12" x14ac:dyDescent="0.25">
      <c r="A942" s="10">
        <v>937</v>
      </c>
      <c r="B942" t="s">
        <v>550</v>
      </c>
      <c r="C942" t="s">
        <v>17</v>
      </c>
      <c r="D942" t="s">
        <v>261</v>
      </c>
      <c r="E942" s="52" t="s">
        <v>262</v>
      </c>
      <c r="F942" t="s">
        <v>552</v>
      </c>
      <c r="G942" s="21">
        <v>0</v>
      </c>
      <c r="H942" s="21">
        <v>0</v>
      </c>
      <c r="I942" s="21">
        <v>-0.02</v>
      </c>
      <c r="J942" s="21">
        <v>0</v>
      </c>
      <c r="K942" s="21">
        <v>0</v>
      </c>
      <c r="L942" s="21">
        <v>-0.02</v>
      </c>
    </row>
    <row r="943" spans="1:12" x14ac:dyDescent="0.25">
      <c r="A943" s="10">
        <v>938</v>
      </c>
      <c r="B943" t="s">
        <v>550</v>
      </c>
      <c r="C943" t="s">
        <v>17</v>
      </c>
      <c r="D943" t="s">
        <v>261</v>
      </c>
      <c r="E943" s="52" t="s">
        <v>262</v>
      </c>
      <c r="F943" t="s">
        <v>552</v>
      </c>
      <c r="G943" s="21">
        <v>0</v>
      </c>
      <c r="H943" s="21">
        <v>0</v>
      </c>
      <c r="I943" s="21">
        <v>-0.05</v>
      </c>
      <c r="J943" s="21">
        <v>0</v>
      </c>
      <c r="K943" s="21">
        <v>0</v>
      </c>
      <c r="L943" s="21">
        <v>-0.05</v>
      </c>
    </row>
    <row r="944" spans="1:12" x14ac:dyDescent="0.25">
      <c r="A944" s="10">
        <v>939</v>
      </c>
      <c r="B944" t="s">
        <v>550</v>
      </c>
      <c r="C944" t="s">
        <v>17</v>
      </c>
      <c r="D944" t="s">
        <v>261</v>
      </c>
      <c r="E944" s="52" t="s">
        <v>262</v>
      </c>
      <c r="F944" t="s">
        <v>552</v>
      </c>
      <c r="G944" s="21">
        <v>0</v>
      </c>
      <c r="H944" s="21">
        <v>0</v>
      </c>
      <c r="I944" s="21">
        <v>0</v>
      </c>
      <c r="J944" s="21">
        <v>0</v>
      </c>
      <c r="K944" s="21">
        <v>0</v>
      </c>
      <c r="L944" s="21">
        <v>0</v>
      </c>
    </row>
    <row r="945" spans="1:12" ht="30" x14ac:dyDescent="0.25">
      <c r="A945" s="10">
        <v>940</v>
      </c>
      <c r="B945" t="s">
        <v>559</v>
      </c>
      <c r="C945" t="s">
        <v>17</v>
      </c>
      <c r="D945" t="s">
        <v>263</v>
      </c>
      <c r="E945" s="52" t="s">
        <v>264</v>
      </c>
      <c r="F945" t="s">
        <v>560</v>
      </c>
      <c r="G945" s="21">
        <v>-2.09</v>
      </c>
      <c r="H945" s="21">
        <v>0</v>
      </c>
      <c r="I945" s="21">
        <v>0</v>
      </c>
      <c r="J945" s="21">
        <v>0</v>
      </c>
      <c r="K945" s="21">
        <v>0.04</v>
      </c>
      <c r="L945" s="21">
        <v>-2.0499999999999998</v>
      </c>
    </row>
    <row r="946" spans="1:12" ht="30" x14ac:dyDescent="0.25">
      <c r="A946" s="10">
        <v>941</v>
      </c>
      <c r="B946" t="s">
        <v>559</v>
      </c>
      <c r="C946" t="s">
        <v>13</v>
      </c>
      <c r="D946" t="s">
        <v>263</v>
      </c>
      <c r="E946" s="52" t="s">
        <v>264</v>
      </c>
      <c r="F946" t="s">
        <v>560</v>
      </c>
      <c r="G946" s="21">
        <v>0</v>
      </c>
      <c r="H946" s="21">
        <v>0</v>
      </c>
      <c r="I946" s="21">
        <v>0</v>
      </c>
      <c r="J946" s="21">
        <v>-0.25</v>
      </c>
      <c r="K946" s="21">
        <v>0</v>
      </c>
      <c r="L946" s="21">
        <v>-0.25</v>
      </c>
    </row>
    <row r="947" spans="1:12" ht="30" x14ac:dyDescent="0.25">
      <c r="A947" s="10">
        <v>942</v>
      </c>
      <c r="B947" t="s">
        <v>18</v>
      </c>
      <c r="C947" t="s">
        <v>17</v>
      </c>
      <c r="D947" t="s">
        <v>263</v>
      </c>
      <c r="E947" s="52" t="s">
        <v>264</v>
      </c>
      <c r="F947" t="s">
        <v>19</v>
      </c>
      <c r="G947" s="21">
        <v>-1.77</v>
      </c>
      <c r="H947" s="21">
        <v>0</v>
      </c>
      <c r="I947" s="21">
        <v>0</v>
      </c>
      <c r="J947" s="21">
        <v>0</v>
      </c>
      <c r="K947" s="21">
        <v>1.57</v>
      </c>
      <c r="L947" s="21">
        <v>-0.2</v>
      </c>
    </row>
    <row r="948" spans="1:12" ht="30" x14ac:dyDescent="0.25">
      <c r="A948" s="10">
        <v>943</v>
      </c>
      <c r="B948" t="s">
        <v>550</v>
      </c>
      <c r="C948" t="s">
        <v>17</v>
      </c>
      <c r="D948" t="s">
        <v>263</v>
      </c>
      <c r="E948" s="52" t="s">
        <v>264</v>
      </c>
      <c r="F948" t="s">
        <v>551</v>
      </c>
      <c r="G948" s="21">
        <v>-20191.2</v>
      </c>
      <c r="H948" s="21">
        <v>0</v>
      </c>
      <c r="I948" s="21">
        <v>0</v>
      </c>
      <c r="J948" s="21">
        <v>0</v>
      </c>
      <c r="K948" s="21">
        <v>403.82</v>
      </c>
      <c r="L948" s="21">
        <v>-19787.38</v>
      </c>
    </row>
    <row r="949" spans="1:12" ht="30" x14ac:dyDescent="0.25">
      <c r="A949" s="10">
        <v>944</v>
      </c>
      <c r="B949" t="s">
        <v>550</v>
      </c>
      <c r="C949" t="s">
        <v>13</v>
      </c>
      <c r="D949" t="s">
        <v>263</v>
      </c>
      <c r="E949" s="52" t="s">
        <v>264</v>
      </c>
      <c r="F949" t="s">
        <v>551</v>
      </c>
      <c r="G949" s="21">
        <v>0</v>
      </c>
      <c r="H949" s="21">
        <v>0</v>
      </c>
      <c r="I949" s="21">
        <v>0</v>
      </c>
      <c r="J949" s="21">
        <v>-2422.94</v>
      </c>
      <c r="K949" s="21">
        <v>0</v>
      </c>
      <c r="L949" s="21">
        <v>-2422.94</v>
      </c>
    </row>
    <row r="950" spans="1:12" ht="30" x14ac:dyDescent="0.25">
      <c r="A950" s="10">
        <v>945</v>
      </c>
      <c r="B950" t="s">
        <v>550</v>
      </c>
      <c r="C950" t="s">
        <v>17</v>
      </c>
      <c r="D950" t="s">
        <v>263</v>
      </c>
      <c r="E950" s="52" t="s">
        <v>264</v>
      </c>
      <c r="F950" t="s">
        <v>552</v>
      </c>
      <c r="G950" s="21">
        <v>-1.45</v>
      </c>
      <c r="H950" s="21">
        <v>0</v>
      </c>
      <c r="I950" s="21">
        <v>0</v>
      </c>
      <c r="J950" s="21">
        <v>0</v>
      </c>
      <c r="K950" s="21">
        <v>0.03</v>
      </c>
      <c r="L950" s="21">
        <v>-1.42</v>
      </c>
    </row>
    <row r="951" spans="1:12" ht="30" x14ac:dyDescent="0.25">
      <c r="A951" s="10">
        <v>946</v>
      </c>
      <c r="B951" t="s">
        <v>550</v>
      </c>
      <c r="C951" t="s">
        <v>13</v>
      </c>
      <c r="D951" t="s">
        <v>263</v>
      </c>
      <c r="E951" s="52" t="s">
        <v>264</v>
      </c>
      <c r="F951" t="s">
        <v>552</v>
      </c>
      <c r="G951" s="21">
        <v>0</v>
      </c>
      <c r="H951" s="21">
        <v>0</v>
      </c>
      <c r="I951" s="21">
        <v>0</v>
      </c>
      <c r="J951" s="21">
        <v>-0.17</v>
      </c>
      <c r="K951" s="21">
        <v>0</v>
      </c>
      <c r="L951" s="21">
        <v>-0.17</v>
      </c>
    </row>
    <row r="952" spans="1:12" x14ac:dyDescent="0.25">
      <c r="A952" s="10">
        <v>947</v>
      </c>
      <c r="B952" t="s">
        <v>555</v>
      </c>
      <c r="C952" t="s">
        <v>17</v>
      </c>
      <c r="D952" t="s">
        <v>265</v>
      </c>
      <c r="E952" s="52" t="s">
        <v>266</v>
      </c>
      <c r="F952" t="s">
        <v>556</v>
      </c>
      <c r="G952" s="21">
        <v>-35.520000000000003</v>
      </c>
      <c r="H952" s="21">
        <v>0</v>
      </c>
      <c r="I952" s="21">
        <v>0</v>
      </c>
      <c r="J952" s="21">
        <v>0</v>
      </c>
      <c r="K952" s="21">
        <v>0.71</v>
      </c>
      <c r="L952" s="21">
        <v>-34.81</v>
      </c>
    </row>
    <row r="953" spans="1:12" x14ac:dyDescent="0.25">
      <c r="A953" s="10">
        <v>948</v>
      </c>
      <c r="B953" t="s">
        <v>555</v>
      </c>
      <c r="C953" t="s">
        <v>13</v>
      </c>
      <c r="D953" t="s">
        <v>265</v>
      </c>
      <c r="E953" s="52" t="s">
        <v>266</v>
      </c>
      <c r="F953" t="s">
        <v>556</v>
      </c>
      <c r="G953" s="21">
        <v>0</v>
      </c>
      <c r="H953" s="21">
        <v>0</v>
      </c>
      <c r="I953" s="21">
        <v>0</v>
      </c>
      <c r="J953" s="21">
        <v>-4.26</v>
      </c>
      <c r="K953" s="21">
        <v>0</v>
      </c>
      <c r="L953" s="21">
        <v>-4.26</v>
      </c>
    </row>
    <row r="954" spans="1:12" x14ac:dyDescent="0.25">
      <c r="A954" s="10">
        <v>949</v>
      </c>
      <c r="B954" t="s">
        <v>557</v>
      </c>
      <c r="C954" t="s">
        <v>17</v>
      </c>
      <c r="D954" t="s">
        <v>265</v>
      </c>
      <c r="E954" s="52" t="s">
        <v>266</v>
      </c>
      <c r="F954" t="s">
        <v>558</v>
      </c>
      <c r="G954" s="21">
        <v>-27.48</v>
      </c>
      <c r="H954" s="21">
        <v>0</v>
      </c>
      <c r="I954" s="21">
        <v>0</v>
      </c>
      <c r="J954" s="21">
        <v>0</v>
      </c>
      <c r="K954" s="21">
        <v>0.55000000000000004</v>
      </c>
      <c r="L954" s="21">
        <v>-26.93</v>
      </c>
    </row>
    <row r="955" spans="1:12" x14ac:dyDescent="0.25">
      <c r="A955" s="10">
        <v>950</v>
      </c>
      <c r="B955" t="s">
        <v>557</v>
      </c>
      <c r="C955" t="s">
        <v>13</v>
      </c>
      <c r="D955" t="s">
        <v>265</v>
      </c>
      <c r="E955" s="52" t="s">
        <v>266</v>
      </c>
      <c r="F955" t="s">
        <v>558</v>
      </c>
      <c r="G955" s="21">
        <v>0</v>
      </c>
      <c r="H955" s="21">
        <v>0</v>
      </c>
      <c r="I955" s="21">
        <v>0</v>
      </c>
      <c r="J955" s="21">
        <v>-3.3</v>
      </c>
      <c r="K955" s="21">
        <v>0</v>
      </c>
      <c r="L955" s="21">
        <v>-3.3</v>
      </c>
    </row>
    <row r="956" spans="1:12" x14ac:dyDescent="0.25">
      <c r="A956" s="10">
        <v>951</v>
      </c>
      <c r="B956" t="s">
        <v>18</v>
      </c>
      <c r="C956" t="s">
        <v>17</v>
      </c>
      <c r="D956" t="s">
        <v>265</v>
      </c>
      <c r="E956" s="52" t="s">
        <v>266</v>
      </c>
      <c r="F956" t="s">
        <v>19</v>
      </c>
      <c r="G956" s="21">
        <v>-0.05</v>
      </c>
      <c r="H956" s="21">
        <v>0</v>
      </c>
      <c r="I956" s="21">
        <v>0</v>
      </c>
      <c r="J956" s="21">
        <v>0</v>
      </c>
      <c r="K956" s="21">
        <v>0.05</v>
      </c>
      <c r="L956" s="21">
        <v>0</v>
      </c>
    </row>
    <row r="957" spans="1:12" x14ac:dyDescent="0.25">
      <c r="A957" s="10">
        <v>952</v>
      </c>
      <c r="B957" t="s">
        <v>550</v>
      </c>
      <c r="C957" t="s">
        <v>17</v>
      </c>
      <c r="D957" t="s">
        <v>265</v>
      </c>
      <c r="E957" s="52" t="s">
        <v>266</v>
      </c>
      <c r="F957" t="s">
        <v>551</v>
      </c>
      <c r="G957" s="21">
        <v>-2571.15</v>
      </c>
      <c r="H957" s="21">
        <v>0</v>
      </c>
      <c r="I957" s="21">
        <v>0</v>
      </c>
      <c r="J957" s="21">
        <v>0</v>
      </c>
      <c r="K957" s="21">
        <v>51.42</v>
      </c>
      <c r="L957" s="21">
        <v>-2519.73</v>
      </c>
    </row>
    <row r="958" spans="1:12" x14ac:dyDescent="0.25">
      <c r="A958" s="10">
        <v>953</v>
      </c>
      <c r="B958" t="s">
        <v>550</v>
      </c>
      <c r="C958" t="s">
        <v>17</v>
      </c>
      <c r="D958" t="s">
        <v>265</v>
      </c>
      <c r="E958" s="52" t="s">
        <v>266</v>
      </c>
      <c r="F958" t="s">
        <v>551</v>
      </c>
      <c r="G958" s="21">
        <v>-2436.98</v>
      </c>
      <c r="H958" s="21">
        <v>0</v>
      </c>
      <c r="I958" s="21">
        <v>0</v>
      </c>
      <c r="J958" s="21">
        <v>0</v>
      </c>
      <c r="K958" s="21">
        <v>48.74</v>
      </c>
      <c r="L958" s="21">
        <v>-2388.2399999999998</v>
      </c>
    </row>
    <row r="959" spans="1:12" x14ac:dyDescent="0.25">
      <c r="A959" s="10">
        <v>954</v>
      </c>
      <c r="B959" t="s">
        <v>550</v>
      </c>
      <c r="C959" t="s">
        <v>13</v>
      </c>
      <c r="D959" t="s">
        <v>265</v>
      </c>
      <c r="E959" s="52" t="s">
        <v>266</v>
      </c>
      <c r="F959" t="s">
        <v>551</v>
      </c>
      <c r="G959" s="21">
        <v>0</v>
      </c>
      <c r="H959" s="21">
        <v>0</v>
      </c>
      <c r="I959" s="21">
        <v>0</v>
      </c>
      <c r="J959" s="21">
        <v>-308.54000000000002</v>
      </c>
      <c r="K959" s="21">
        <v>0</v>
      </c>
      <c r="L959" s="21">
        <v>-308.54000000000002</v>
      </c>
    </row>
    <row r="960" spans="1:12" x14ac:dyDescent="0.25">
      <c r="A960" s="10">
        <v>955</v>
      </c>
      <c r="B960" t="s">
        <v>550</v>
      </c>
      <c r="C960" t="s">
        <v>13</v>
      </c>
      <c r="D960" t="s">
        <v>265</v>
      </c>
      <c r="E960" s="52" t="s">
        <v>266</v>
      </c>
      <c r="F960" t="s">
        <v>551</v>
      </c>
      <c r="G960" s="21">
        <v>0</v>
      </c>
      <c r="H960" s="21">
        <v>0</v>
      </c>
      <c r="I960" s="21">
        <v>0</v>
      </c>
      <c r="J960" s="21">
        <v>-292.44</v>
      </c>
      <c r="K960" s="21">
        <v>0</v>
      </c>
      <c r="L960" s="21">
        <v>-292.44</v>
      </c>
    </row>
    <row r="961" spans="1:12" x14ac:dyDescent="0.25">
      <c r="A961" s="10">
        <v>956</v>
      </c>
      <c r="B961" t="s">
        <v>550</v>
      </c>
      <c r="C961" t="s">
        <v>17</v>
      </c>
      <c r="D961" t="s">
        <v>265</v>
      </c>
      <c r="E961" s="52" t="s">
        <v>266</v>
      </c>
      <c r="F961" t="s">
        <v>552</v>
      </c>
      <c r="G961" s="21">
        <v>-0.18</v>
      </c>
      <c r="H961" s="21">
        <v>0</v>
      </c>
      <c r="I961" s="21">
        <v>0</v>
      </c>
      <c r="J961" s="21">
        <v>0</v>
      </c>
      <c r="K961" s="21">
        <v>0</v>
      </c>
      <c r="L961" s="21">
        <v>-0.18</v>
      </c>
    </row>
    <row r="962" spans="1:12" x14ac:dyDescent="0.25">
      <c r="A962" s="10">
        <v>957</v>
      </c>
      <c r="B962" t="s">
        <v>550</v>
      </c>
      <c r="C962" t="s">
        <v>17</v>
      </c>
      <c r="D962" t="s">
        <v>265</v>
      </c>
      <c r="E962" s="52" t="s">
        <v>266</v>
      </c>
      <c r="F962" t="s">
        <v>552</v>
      </c>
      <c r="G962" s="21">
        <v>-0.18</v>
      </c>
      <c r="H962" s="21">
        <v>0</v>
      </c>
      <c r="I962" s="21">
        <v>0</v>
      </c>
      <c r="J962" s="21">
        <v>0</v>
      </c>
      <c r="K962" s="21">
        <v>0</v>
      </c>
      <c r="L962" s="21">
        <v>-0.18</v>
      </c>
    </row>
    <row r="963" spans="1:12" x14ac:dyDescent="0.25">
      <c r="A963" s="10">
        <v>958</v>
      </c>
      <c r="B963" t="s">
        <v>550</v>
      </c>
      <c r="C963" t="s">
        <v>13</v>
      </c>
      <c r="D963" t="s">
        <v>265</v>
      </c>
      <c r="E963" s="52" t="s">
        <v>266</v>
      </c>
      <c r="F963" t="s">
        <v>552</v>
      </c>
      <c r="G963" s="21">
        <v>0</v>
      </c>
      <c r="H963" s="21">
        <v>0</v>
      </c>
      <c r="I963" s="21">
        <v>0</v>
      </c>
      <c r="J963" s="21">
        <v>-0.02</v>
      </c>
      <c r="K963" s="21">
        <v>0</v>
      </c>
      <c r="L963" s="21">
        <v>-0.02</v>
      </c>
    </row>
    <row r="964" spans="1:12" x14ac:dyDescent="0.25">
      <c r="A964" s="10">
        <v>959</v>
      </c>
      <c r="B964" t="s">
        <v>550</v>
      </c>
      <c r="C964" t="s">
        <v>13</v>
      </c>
      <c r="D964" t="s">
        <v>265</v>
      </c>
      <c r="E964" s="52" t="s">
        <v>266</v>
      </c>
      <c r="F964" t="s">
        <v>552</v>
      </c>
      <c r="G964" s="21">
        <v>0</v>
      </c>
      <c r="H964" s="21">
        <v>0</v>
      </c>
      <c r="I964" s="21">
        <v>0</v>
      </c>
      <c r="J964" s="21">
        <v>-0.02</v>
      </c>
      <c r="K964" s="21">
        <v>0</v>
      </c>
      <c r="L964" s="21">
        <v>-0.02</v>
      </c>
    </row>
    <row r="965" spans="1:12" ht="30" x14ac:dyDescent="0.25">
      <c r="A965" s="10">
        <v>960</v>
      </c>
      <c r="B965" t="s">
        <v>18</v>
      </c>
      <c r="C965" t="s">
        <v>17</v>
      </c>
      <c r="D965" t="s">
        <v>267</v>
      </c>
      <c r="E965" s="52" t="s">
        <v>268</v>
      </c>
      <c r="F965" t="s">
        <v>19</v>
      </c>
      <c r="G965" s="21">
        <v>-0.05</v>
      </c>
      <c r="H965" s="21">
        <v>0</v>
      </c>
      <c r="I965" s="21">
        <v>0</v>
      </c>
      <c r="J965" s="21">
        <v>0</v>
      </c>
      <c r="K965" s="21">
        <v>0.04</v>
      </c>
      <c r="L965" s="21">
        <v>-0.01</v>
      </c>
    </row>
    <row r="966" spans="1:12" ht="30" x14ac:dyDescent="0.25">
      <c r="A966" s="10">
        <v>961</v>
      </c>
      <c r="B966" t="s">
        <v>550</v>
      </c>
      <c r="C966" t="s">
        <v>17</v>
      </c>
      <c r="D966" t="s">
        <v>267</v>
      </c>
      <c r="E966" s="52" t="s">
        <v>268</v>
      </c>
      <c r="F966" t="s">
        <v>551</v>
      </c>
      <c r="G966" s="21">
        <v>-1492.73</v>
      </c>
      <c r="H966" s="21">
        <v>0</v>
      </c>
      <c r="I966" s="21">
        <v>0</v>
      </c>
      <c r="J966" s="21">
        <v>0</v>
      </c>
      <c r="K966" s="21">
        <v>29.85</v>
      </c>
      <c r="L966" s="21">
        <v>-1462.88</v>
      </c>
    </row>
    <row r="967" spans="1:12" ht="30" x14ac:dyDescent="0.25">
      <c r="A967" s="10">
        <v>962</v>
      </c>
      <c r="B967" t="s">
        <v>550</v>
      </c>
      <c r="C967" t="s">
        <v>13</v>
      </c>
      <c r="D967" t="s">
        <v>267</v>
      </c>
      <c r="E967" s="52" t="s">
        <v>268</v>
      </c>
      <c r="F967" t="s">
        <v>551</v>
      </c>
      <c r="G967" s="21">
        <v>0</v>
      </c>
      <c r="H967" s="21">
        <v>0</v>
      </c>
      <c r="I967" s="21">
        <v>0</v>
      </c>
      <c r="J967" s="21">
        <v>-179.13</v>
      </c>
      <c r="K967" s="21">
        <v>0</v>
      </c>
      <c r="L967" s="21">
        <v>-179.13</v>
      </c>
    </row>
    <row r="968" spans="1:12" ht="30" x14ac:dyDescent="0.25">
      <c r="A968" s="10">
        <v>963</v>
      </c>
      <c r="B968" t="s">
        <v>550</v>
      </c>
      <c r="C968" t="s">
        <v>17</v>
      </c>
      <c r="D968" t="s">
        <v>267</v>
      </c>
      <c r="E968" s="52" t="s">
        <v>268</v>
      </c>
      <c r="F968" t="s">
        <v>552</v>
      </c>
      <c r="G968" s="21">
        <v>-0.11</v>
      </c>
      <c r="H968" s="21">
        <v>0</v>
      </c>
      <c r="I968" s="21">
        <v>0</v>
      </c>
      <c r="J968" s="21">
        <v>0</v>
      </c>
      <c r="K968" s="21">
        <v>0</v>
      </c>
      <c r="L968" s="21">
        <v>-0.11</v>
      </c>
    </row>
    <row r="969" spans="1:12" ht="30" x14ac:dyDescent="0.25">
      <c r="A969" s="10">
        <v>964</v>
      </c>
      <c r="B969" t="s">
        <v>550</v>
      </c>
      <c r="C969" t="s">
        <v>13</v>
      </c>
      <c r="D969" t="s">
        <v>267</v>
      </c>
      <c r="E969" s="52" t="s">
        <v>268</v>
      </c>
      <c r="F969" t="s">
        <v>552</v>
      </c>
      <c r="G969" s="21">
        <v>0</v>
      </c>
      <c r="H969" s="21">
        <v>0</v>
      </c>
      <c r="I969" s="21">
        <v>0</v>
      </c>
      <c r="J969" s="21">
        <v>-0.01</v>
      </c>
      <c r="K969" s="21">
        <v>0</v>
      </c>
      <c r="L969" s="21">
        <v>-0.01</v>
      </c>
    </row>
    <row r="970" spans="1:12" ht="30" x14ac:dyDescent="0.25">
      <c r="A970" s="10">
        <v>965</v>
      </c>
      <c r="B970" t="s">
        <v>555</v>
      </c>
      <c r="C970" t="s">
        <v>17</v>
      </c>
      <c r="D970" t="s">
        <v>269</v>
      </c>
      <c r="E970" s="52" t="s">
        <v>268</v>
      </c>
      <c r="F970" t="s">
        <v>556</v>
      </c>
      <c r="G970" s="21">
        <v>-185.67</v>
      </c>
      <c r="H970" s="21">
        <v>0</v>
      </c>
      <c r="I970" s="21">
        <v>0</v>
      </c>
      <c r="J970" s="21">
        <v>0</v>
      </c>
      <c r="K970" s="21">
        <v>3.71</v>
      </c>
      <c r="L970" s="21">
        <v>-181.96</v>
      </c>
    </row>
    <row r="971" spans="1:12" ht="30" x14ac:dyDescent="0.25">
      <c r="A971" s="10">
        <v>966</v>
      </c>
      <c r="B971" t="s">
        <v>555</v>
      </c>
      <c r="C971" t="s">
        <v>13</v>
      </c>
      <c r="D971" t="s">
        <v>269</v>
      </c>
      <c r="E971" s="52" t="s">
        <v>268</v>
      </c>
      <c r="F971" t="s">
        <v>556</v>
      </c>
      <c r="G971" s="21">
        <v>0</v>
      </c>
      <c r="H971" s="21">
        <v>0</v>
      </c>
      <c r="I971" s="21">
        <v>0</v>
      </c>
      <c r="J971" s="21">
        <v>-22.28</v>
      </c>
      <c r="K971" s="21">
        <v>0</v>
      </c>
      <c r="L971" s="21">
        <v>-22.28</v>
      </c>
    </row>
    <row r="972" spans="1:12" ht="30" x14ac:dyDescent="0.25">
      <c r="A972" s="10">
        <v>967</v>
      </c>
      <c r="B972" t="s">
        <v>557</v>
      </c>
      <c r="C972" t="s">
        <v>17</v>
      </c>
      <c r="D972" t="s">
        <v>269</v>
      </c>
      <c r="E972" s="52" t="s">
        <v>268</v>
      </c>
      <c r="F972" t="s">
        <v>558</v>
      </c>
      <c r="G972" s="21">
        <v>-102.4</v>
      </c>
      <c r="H972" s="21">
        <v>0</v>
      </c>
      <c r="I972" s="21">
        <v>0</v>
      </c>
      <c r="J972" s="21">
        <v>0</v>
      </c>
      <c r="K972" s="21">
        <v>2.0499999999999998</v>
      </c>
      <c r="L972" s="21">
        <v>-100.35</v>
      </c>
    </row>
    <row r="973" spans="1:12" ht="30" x14ac:dyDescent="0.25">
      <c r="A973" s="10">
        <v>968</v>
      </c>
      <c r="B973" t="s">
        <v>557</v>
      </c>
      <c r="C973" t="s">
        <v>13</v>
      </c>
      <c r="D973" t="s">
        <v>269</v>
      </c>
      <c r="E973" s="52" t="s">
        <v>268</v>
      </c>
      <c r="F973" t="s">
        <v>558</v>
      </c>
      <c r="G973" s="21">
        <v>0</v>
      </c>
      <c r="H973" s="21">
        <v>0</v>
      </c>
      <c r="I973" s="21">
        <v>0</v>
      </c>
      <c r="J973" s="21">
        <v>-12.29</v>
      </c>
      <c r="K973" s="21">
        <v>0</v>
      </c>
      <c r="L973" s="21">
        <v>-12.29</v>
      </c>
    </row>
    <row r="974" spans="1:12" ht="30" x14ac:dyDescent="0.25">
      <c r="A974" s="10">
        <v>969</v>
      </c>
      <c r="B974" t="s">
        <v>18</v>
      </c>
      <c r="C974" t="s">
        <v>17</v>
      </c>
      <c r="D974" t="s">
        <v>269</v>
      </c>
      <c r="E974" s="52" t="s">
        <v>268</v>
      </c>
      <c r="F974" t="s">
        <v>19</v>
      </c>
      <c r="G974" s="21">
        <v>-0.18</v>
      </c>
      <c r="H974" s="21">
        <v>0</v>
      </c>
      <c r="I974" s="21">
        <v>0</v>
      </c>
      <c r="J974" s="21">
        <v>0</v>
      </c>
      <c r="K974" s="21">
        <v>0.16</v>
      </c>
      <c r="L974" s="21">
        <v>-0.02</v>
      </c>
    </row>
    <row r="975" spans="1:12" ht="30" x14ac:dyDescent="0.25">
      <c r="A975" s="10">
        <v>970</v>
      </c>
      <c r="B975" t="s">
        <v>550</v>
      </c>
      <c r="C975" t="s">
        <v>17</v>
      </c>
      <c r="D975" t="s">
        <v>269</v>
      </c>
      <c r="E975" s="52" t="s">
        <v>268</v>
      </c>
      <c r="F975" t="s">
        <v>551</v>
      </c>
      <c r="G975" s="21">
        <v>-937.01</v>
      </c>
      <c r="H975" s="21">
        <v>0</v>
      </c>
      <c r="I975" s="21">
        <v>0</v>
      </c>
      <c r="J975" s="21">
        <v>0</v>
      </c>
      <c r="K975" s="21">
        <v>18.739999999999998</v>
      </c>
      <c r="L975" s="21">
        <v>-918.27</v>
      </c>
    </row>
    <row r="976" spans="1:12" ht="30" x14ac:dyDescent="0.25">
      <c r="A976" s="10">
        <v>971</v>
      </c>
      <c r="B976" t="s">
        <v>550</v>
      </c>
      <c r="C976" t="s">
        <v>13</v>
      </c>
      <c r="D976" t="s">
        <v>269</v>
      </c>
      <c r="E976" s="52" t="s">
        <v>268</v>
      </c>
      <c r="F976" t="s">
        <v>551</v>
      </c>
      <c r="G976" s="21">
        <v>0</v>
      </c>
      <c r="H976" s="21">
        <v>0</v>
      </c>
      <c r="I976" s="21">
        <v>0</v>
      </c>
      <c r="J976" s="21">
        <v>-112.44</v>
      </c>
      <c r="K976" s="21">
        <v>0</v>
      </c>
      <c r="L976" s="21">
        <v>-112.44</v>
      </c>
    </row>
    <row r="977" spans="1:12" ht="30" x14ac:dyDescent="0.25">
      <c r="A977" s="10">
        <v>972</v>
      </c>
      <c r="B977" t="s">
        <v>550</v>
      </c>
      <c r="C977" t="s">
        <v>17</v>
      </c>
      <c r="D977" t="s">
        <v>269</v>
      </c>
      <c r="E977" s="52" t="s">
        <v>268</v>
      </c>
      <c r="F977" t="s">
        <v>552</v>
      </c>
      <c r="G977" s="21">
        <v>-7.0000000000000007E-2</v>
      </c>
      <c r="H977" s="21">
        <v>0</v>
      </c>
      <c r="I977" s="21">
        <v>0</v>
      </c>
      <c r="J977" s="21">
        <v>0</v>
      </c>
      <c r="K977" s="21">
        <v>0</v>
      </c>
      <c r="L977" s="21">
        <v>-7.0000000000000007E-2</v>
      </c>
    </row>
    <row r="978" spans="1:12" ht="30" x14ac:dyDescent="0.25">
      <c r="A978" s="10">
        <v>973</v>
      </c>
      <c r="B978" t="s">
        <v>550</v>
      </c>
      <c r="C978" t="s">
        <v>13</v>
      </c>
      <c r="D978" t="s">
        <v>269</v>
      </c>
      <c r="E978" s="52" t="s">
        <v>268</v>
      </c>
      <c r="F978" t="s">
        <v>552</v>
      </c>
      <c r="G978" s="21">
        <v>0</v>
      </c>
      <c r="H978" s="21">
        <v>0</v>
      </c>
      <c r="I978" s="21">
        <v>0</v>
      </c>
      <c r="J978" s="21">
        <v>-0.01</v>
      </c>
      <c r="K978" s="21">
        <v>0</v>
      </c>
      <c r="L978" s="21">
        <v>-0.01</v>
      </c>
    </row>
    <row r="979" spans="1:12" ht="30" x14ac:dyDescent="0.25">
      <c r="A979" s="10">
        <v>974</v>
      </c>
      <c r="B979" t="s">
        <v>555</v>
      </c>
      <c r="C979" t="s">
        <v>17</v>
      </c>
      <c r="D979" t="s">
        <v>270</v>
      </c>
      <c r="E979" s="52" t="s">
        <v>271</v>
      </c>
      <c r="F979" t="s">
        <v>556</v>
      </c>
      <c r="G979" s="21">
        <v>-1377.68</v>
      </c>
      <c r="H979" s="21">
        <v>0</v>
      </c>
      <c r="I979" s="21">
        <v>0</v>
      </c>
      <c r="J979" s="21">
        <v>0</v>
      </c>
      <c r="K979" s="21">
        <v>27.55</v>
      </c>
      <c r="L979" s="21">
        <v>-1350.13</v>
      </c>
    </row>
    <row r="980" spans="1:12" ht="30" x14ac:dyDescent="0.25">
      <c r="A980" s="10">
        <v>975</v>
      </c>
      <c r="B980" t="s">
        <v>555</v>
      </c>
      <c r="C980" t="s">
        <v>13</v>
      </c>
      <c r="D980" t="s">
        <v>270</v>
      </c>
      <c r="E980" s="52" t="s">
        <v>271</v>
      </c>
      <c r="F980" t="s">
        <v>556</v>
      </c>
      <c r="G980" s="21">
        <v>0</v>
      </c>
      <c r="H980" s="21">
        <v>0</v>
      </c>
      <c r="I980" s="21">
        <v>0</v>
      </c>
      <c r="J980" s="21">
        <v>-165.32</v>
      </c>
      <c r="K980" s="21">
        <v>0</v>
      </c>
      <c r="L980" s="21">
        <v>-165.32</v>
      </c>
    </row>
    <row r="981" spans="1:12" ht="30" x14ac:dyDescent="0.25">
      <c r="A981" s="10">
        <v>976</v>
      </c>
      <c r="B981" t="s">
        <v>557</v>
      </c>
      <c r="C981" t="s">
        <v>17</v>
      </c>
      <c r="D981" t="s">
        <v>270</v>
      </c>
      <c r="E981" s="52" t="s">
        <v>271</v>
      </c>
      <c r="F981" t="s">
        <v>558</v>
      </c>
      <c r="G981" s="21">
        <v>-853.63</v>
      </c>
      <c r="H981" s="21">
        <v>0</v>
      </c>
      <c r="I981" s="21">
        <v>0</v>
      </c>
      <c r="J981" s="21">
        <v>0</v>
      </c>
      <c r="K981" s="21">
        <v>17.07</v>
      </c>
      <c r="L981" s="21">
        <v>-836.56</v>
      </c>
    </row>
    <row r="982" spans="1:12" ht="30" x14ac:dyDescent="0.25">
      <c r="A982" s="10">
        <v>977</v>
      </c>
      <c r="B982" t="s">
        <v>557</v>
      </c>
      <c r="C982" t="s">
        <v>13</v>
      </c>
      <c r="D982" t="s">
        <v>270</v>
      </c>
      <c r="E982" s="52" t="s">
        <v>271</v>
      </c>
      <c r="F982" t="s">
        <v>558</v>
      </c>
      <c r="G982" s="21">
        <v>0</v>
      </c>
      <c r="H982" s="21">
        <v>0</v>
      </c>
      <c r="I982" s="21">
        <v>0</v>
      </c>
      <c r="J982" s="21">
        <v>-102.44</v>
      </c>
      <c r="K982" s="21">
        <v>0</v>
      </c>
      <c r="L982" s="21">
        <v>-102.44</v>
      </c>
    </row>
    <row r="983" spans="1:12" ht="30" x14ac:dyDescent="0.25">
      <c r="A983" s="10">
        <v>978</v>
      </c>
      <c r="B983" t="s">
        <v>37</v>
      </c>
      <c r="C983" t="s">
        <v>13</v>
      </c>
      <c r="D983" t="s">
        <v>270</v>
      </c>
      <c r="E983" s="52" t="s">
        <v>271</v>
      </c>
      <c r="F983" t="s">
        <v>38</v>
      </c>
      <c r="G983" s="21">
        <v>0</v>
      </c>
      <c r="H983" s="21">
        <v>0</v>
      </c>
      <c r="I983" s="21">
        <v>0</v>
      </c>
      <c r="J983" s="21">
        <v>-0.48</v>
      </c>
      <c r="K983" s="21">
        <v>0</v>
      </c>
      <c r="L983" s="21">
        <v>-0.48</v>
      </c>
    </row>
    <row r="984" spans="1:12" ht="30" x14ac:dyDescent="0.25">
      <c r="A984" s="10">
        <v>979</v>
      </c>
      <c r="B984" t="s">
        <v>29</v>
      </c>
      <c r="C984" t="s">
        <v>13</v>
      </c>
      <c r="D984" t="s">
        <v>270</v>
      </c>
      <c r="E984" s="52" t="s">
        <v>271</v>
      </c>
      <c r="F984" t="s">
        <v>30</v>
      </c>
      <c r="G984" s="21">
        <v>0</v>
      </c>
      <c r="H984" s="21">
        <v>0</v>
      </c>
      <c r="I984" s="21">
        <v>0</v>
      </c>
      <c r="J984" s="21">
        <v>-0.42</v>
      </c>
      <c r="K984" s="21">
        <v>0</v>
      </c>
      <c r="L984" s="21">
        <v>-0.42</v>
      </c>
    </row>
    <row r="985" spans="1:12" ht="30" x14ac:dyDescent="0.25">
      <c r="A985" s="10">
        <v>980</v>
      </c>
      <c r="B985" t="s">
        <v>559</v>
      </c>
      <c r="C985" t="s">
        <v>17</v>
      </c>
      <c r="D985" t="s">
        <v>270</v>
      </c>
      <c r="E985" s="52" t="s">
        <v>271</v>
      </c>
      <c r="F985" t="s">
        <v>560</v>
      </c>
      <c r="G985" s="21">
        <v>-730.41</v>
      </c>
      <c r="H985" s="21">
        <v>0</v>
      </c>
      <c r="I985" s="21">
        <v>0</v>
      </c>
      <c r="J985" s="21">
        <v>0</v>
      </c>
      <c r="K985" s="21">
        <v>14.61</v>
      </c>
      <c r="L985" s="21">
        <v>-715.8</v>
      </c>
    </row>
    <row r="986" spans="1:12" ht="30" x14ac:dyDescent="0.25">
      <c r="A986" s="10">
        <v>981</v>
      </c>
      <c r="B986" t="s">
        <v>559</v>
      </c>
      <c r="C986" t="s">
        <v>13</v>
      </c>
      <c r="D986" t="s">
        <v>270</v>
      </c>
      <c r="E986" s="52" t="s">
        <v>271</v>
      </c>
      <c r="F986" t="s">
        <v>560</v>
      </c>
      <c r="G986" s="21">
        <v>0</v>
      </c>
      <c r="H986" s="21">
        <v>0</v>
      </c>
      <c r="I986" s="21">
        <v>0</v>
      </c>
      <c r="J986" s="21">
        <v>-74.239999999999995</v>
      </c>
      <c r="K986" s="21">
        <v>0</v>
      </c>
      <c r="L986" s="21">
        <v>-74.239999999999995</v>
      </c>
    </row>
    <row r="987" spans="1:12" ht="30" x14ac:dyDescent="0.25">
      <c r="A987" s="10">
        <v>982</v>
      </c>
      <c r="B987" t="s">
        <v>18</v>
      </c>
      <c r="C987" t="s">
        <v>17</v>
      </c>
      <c r="D987" t="s">
        <v>270</v>
      </c>
      <c r="E987" s="52" t="s">
        <v>271</v>
      </c>
      <c r="F987" t="s">
        <v>19</v>
      </c>
      <c r="G987" s="21">
        <v>-0.28999999999999998</v>
      </c>
      <c r="H987" s="21">
        <v>0</v>
      </c>
      <c r="I987" s="21">
        <v>0</v>
      </c>
      <c r="J987" s="21">
        <v>0</v>
      </c>
      <c r="K987" s="21">
        <v>0.26</v>
      </c>
      <c r="L987" s="21">
        <v>-0.03</v>
      </c>
    </row>
    <row r="988" spans="1:12" ht="30" x14ac:dyDescent="0.25">
      <c r="A988" s="10">
        <v>983</v>
      </c>
      <c r="B988" t="s">
        <v>550</v>
      </c>
      <c r="C988" t="s">
        <v>17</v>
      </c>
      <c r="D988" t="s">
        <v>270</v>
      </c>
      <c r="E988" s="52" t="s">
        <v>271</v>
      </c>
      <c r="F988" t="s">
        <v>551</v>
      </c>
      <c r="G988" s="21">
        <v>-39788.19</v>
      </c>
      <c r="H988" s="21">
        <v>0</v>
      </c>
      <c r="I988" s="21">
        <v>0</v>
      </c>
      <c r="J988" s="21">
        <v>0</v>
      </c>
      <c r="K988" s="21">
        <v>795.76</v>
      </c>
      <c r="L988" s="21">
        <v>-38992.43</v>
      </c>
    </row>
    <row r="989" spans="1:12" ht="30" x14ac:dyDescent="0.25">
      <c r="A989" s="10">
        <v>984</v>
      </c>
      <c r="B989" t="s">
        <v>550</v>
      </c>
      <c r="C989" t="s">
        <v>13</v>
      </c>
      <c r="D989" t="s">
        <v>270</v>
      </c>
      <c r="E989" s="52" t="s">
        <v>271</v>
      </c>
      <c r="F989" t="s">
        <v>551</v>
      </c>
      <c r="G989" s="21">
        <v>0</v>
      </c>
      <c r="H989" s="21">
        <v>0</v>
      </c>
      <c r="I989" s="21">
        <v>0</v>
      </c>
      <c r="J989" s="21">
        <v>-4774.58</v>
      </c>
      <c r="K989" s="21">
        <v>0</v>
      </c>
      <c r="L989" s="21">
        <v>-4774.58</v>
      </c>
    </row>
    <row r="990" spans="1:12" ht="30" x14ac:dyDescent="0.25">
      <c r="A990" s="10">
        <v>985</v>
      </c>
      <c r="B990" t="s">
        <v>550</v>
      </c>
      <c r="C990" t="s">
        <v>17</v>
      </c>
      <c r="D990" t="s">
        <v>270</v>
      </c>
      <c r="E990" s="52" t="s">
        <v>271</v>
      </c>
      <c r="F990" t="s">
        <v>552</v>
      </c>
      <c r="G990" s="21">
        <v>-2.86</v>
      </c>
      <c r="H990" s="21">
        <v>0</v>
      </c>
      <c r="I990" s="21">
        <v>0</v>
      </c>
      <c r="J990" s="21">
        <v>0</v>
      </c>
      <c r="K990" s="21">
        <v>0.06</v>
      </c>
      <c r="L990" s="21">
        <v>-2.8</v>
      </c>
    </row>
    <row r="991" spans="1:12" ht="30" x14ac:dyDescent="0.25">
      <c r="A991" s="10">
        <v>986</v>
      </c>
      <c r="B991" t="s">
        <v>550</v>
      </c>
      <c r="C991" t="s">
        <v>13</v>
      </c>
      <c r="D991" t="s">
        <v>270</v>
      </c>
      <c r="E991" s="52" t="s">
        <v>271</v>
      </c>
      <c r="F991" t="s">
        <v>552</v>
      </c>
      <c r="G991" s="21">
        <v>0</v>
      </c>
      <c r="H991" s="21">
        <v>0</v>
      </c>
      <c r="I991" s="21">
        <v>0</v>
      </c>
      <c r="J991" s="21">
        <v>-0.34</v>
      </c>
      <c r="K991" s="21">
        <v>0</v>
      </c>
      <c r="L991" s="21">
        <v>-0.34</v>
      </c>
    </row>
    <row r="992" spans="1:12" ht="30" x14ac:dyDescent="0.25">
      <c r="A992" s="10">
        <v>987</v>
      </c>
      <c r="B992" t="s">
        <v>555</v>
      </c>
      <c r="C992" t="s">
        <v>17</v>
      </c>
      <c r="D992" t="s">
        <v>272</v>
      </c>
      <c r="E992" s="52" t="s">
        <v>273</v>
      </c>
      <c r="F992" t="s">
        <v>556</v>
      </c>
      <c r="G992" s="21">
        <v>-356.8</v>
      </c>
      <c r="H992" s="21">
        <v>0</v>
      </c>
      <c r="I992" s="21">
        <v>0</v>
      </c>
      <c r="J992" s="21">
        <v>0</v>
      </c>
      <c r="K992" s="21">
        <v>7.14</v>
      </c>
      <c r="L992" s="21">
        <v>-349.66</v>
      </c>
    </row>
    <row r="993" spans="1:12" ht="30" x14ac:dyDescent="0.25">
      <c r="A993" s="10">
        <v>988</v>
      </c>
      <c r="B993" t="s">
        <v>555</v>
      </c>
      <c r="C993" t="s">
        <v>13</v>
      </c>
      <c r="D993" t="s">
        <v>272</v>
      </c>
      <c r="E993" s="52" t="s">
        <v>273</v>
      </c>
      <c r="F993" t="s">
        <v>556</v>
      </c>
      <c r="G993" s="21">
        <v>0</v>
      </c>
      <c r="H993" s="21">
        <v>0</v>
      </c>
      <c r="I993" s="21">
        <v>0</v>
      </c>
      <c r="J993" s="21">
        <v>-42.82</v>
      </c>
      <c r="K993" s="21">
        <v>0</v>
      </c>
      <c r="L993" s="21">
        <v>-42.82</v>
      </c>
    </row>
    <row r="994" spans="1:12" ht="30" x14ac:dyDescent="0.25">
      <c r="A994" s="10">
        <v>989</v>
      </c>
      <c r="B994" t="s">
        <v>557</v>
      </c>
      <c r="C994" t="s">
        <v>17</v>
      </c>
      <c r="D994" t="s">
        <v>272</v>
      </c>
      <c r="E994" s="52" t="s">
        <v>273</v>
      </c>
      <c r="F994" t="s">
        <v>558</v>
      </c>
      <c r="G994" s="21">
        <v>-280.33</v>
      </c>
      <c r="H994" s="21">
        <v>0</v>
      </c>
      <c r="I994" s="21">
        <v>0</v>
      </c>
      <c r="J994" s="21">
        <v>0</v>
      </c>
      <c r="K994" s="21">
        <v>5.61</v>
      </c>
      <c r="L994" s="21">
        <v>-274.72000000000003</v>
      </c>
    </row>
    <row r="995" spans="1:12" ht="30" x14ac:dyDescent="0.25">
      <c r="A995" s="10">
        <v>990</v>
      </c>
      <c r="B995" t="s">
        <v>557</v>
      </c>
      <c r="C995" t="s">
        <v>13</v>
      </c>
      <c r="D995" t="s">
        <v>272</v>
      </c>
      <c r="E995" s="52" t="s">
        <v>273</v>
      </c>
      <c r="F995" t="s">
        <v>558</v>
      </c>
      <c r="G995" s="21">
        <v>0</v>
      </c>
      <c r="H995" s="21">
        <v>0</v>
      </c>
      <c r="I995" s="21">
        <v>0</v>
      </c>
      <c r="J995" s="21">
        <v>-33.64</v>
      </c>
      <c r="K995" s="21">
        <v>0</v>
      </c>
      <c r="L995" s="21">
        <v>-33.64</v>
      </c>
    </row>
    <row r="996" spans="1:12" ht="30" x14ac:dyDescent="0.25">
      <c r="A996" s="10">
        <v>991</v>
      </c>
      <c r="B996" t="s">
        <v>18</v>
      </c>
      <c r="C996" t="s">
        <v>17</v>
      </c>
      <c r="D996" t="s">
        <v>272</v>
      </c>
      <c r="E996" s="52" t="s">
        <v>273</v>
      </c>
      <c r="F996" t="s">
        <v>19</v>
      </c>
      <c r="G996" s="21">
        <v>-0.32</v>
      </c>
      <c r="H996" s="21">
        <v>0</v>
      </c>
      <c r="I996" s="21">
        <v>0</v>
      </c>
      <c r="J996" s="21">
        <v>0</v>
      </c>
      <c r="K996" s="21">
        <v>0.28000000000000003</v>
      </c>
      <c r="L996" s="21">
        <v>-0.04</v>
      </c>
    </row>
    <row r="997" spans="1:12" ht="30" x14ac:dyDescent="0.25">
      <c r="A997" s="10">
        <v>992</v>
      </c>
      <c r="B997" t="s">
        <v>550</v>
      </c>
      <c r="C997" t="s">
        <v>17</v>
      </c>
      <c r="D997" t="s">
        <v>272</v>
      </c>
      <c r="E997" s="52" t="s">
        <v>273</v>
      </c>
      <c r="F997" t="s">
        <v>551</v>
      </c>
      <c r="G997" s="21">
        <v>-7560.19</v>
      </c>
      <c r="H997" s="21">
        <v>0</v>
      </c>
      <c r="I997" s="21">
        <v>0</v>
      </c>
      <c r="J997" s="21">
        <v>0</v>
      </c>
      <c r="K997" s="21">
        <v>151.19999999999999</v>
      </c>
      <c r="L997" s="21">
        <v>-7408.99</v>
      </c>
    </row>
    <row r="998" spans="1:12" ht="30" x14ac:dyDescent="0.25">
      <c r="A998" s="10">
        <v>993</v>
      </c>
      <c r="B998" t="s">
        <v>550</v>
      </c>
      <c r="C998" t="s">
        <v>13</v>
      </c>
      <c r="D998" t="s">
        <v>272</v>
      </c>
      <c r="E998" s="52" t="s">
        <v>273</v>
      </c>
      <c r="F998" t="s">
        <v>551</v>
      </c>
      <c r="G998" s="21">
        <v>0</v>
      </c>
      <c r="H998" s="21">
        <v>0</v>
      </c>
      <c r="I998" s="21">
        <v>0</v>
      </c>
      <c r="J998" s="21">
        <v>-907.22</v>
      </c>
      <c r="K998" s="21">
        <v>0</v>
      </c>
      <c r="L998" s="21">
        <v>-907.22</v>
      </c>
    </row>
    <row r="999" spans="1:12" ht="30" x14ac:dyDescent="0.25">
      <c r="A999" s="10">
        <v>994</v>
      </c>
      <c r="B999" t="s">
        <v>550</v>
      </c>
      <c r="C999" t="s">
        <v>17</v>
      </c>
      <c r="D999" t="s">
        <v>272</v>
      </c>
      <c r="E999" s="52" t="s">
        <v>273</v>
      </c>
      <c r="F999" t="s">
        <v>552</v>
      </c>
      <c r="G999" s="21">
        <v>-0.54</v>
      </c>
      <c r="H999" s="21">
        <v>0</v>
      </c>
      <c r="I999" s="21">
        <v>0</v>
      </c>
      <c r="J999" s="21">
        <v>0</v>
      </c>
      <c r="K999" s="21">
        <v>0.01</v>
      </c>
      <c r="L999" s="21">
        <v>-0.53</v>
      </c>
    </row>
    <row r="1000" spans="1:12" ht="30" x14ac:dyDescent="0.25">
      <c r="A1000" s="10">
        <v>995</v>
      </c>
      <c r="B1000" t="s">
        <v>550</v>
      </c>
      <c r="C1000" t="s">
        <v>13</v>
      </c>
      <c r="D1000" t="s">
        <v>272</v>
      </c>
      <c r="E1000" s="52" t="s">
        <v>273</v>
      </c>
      <c r="F1000" t="s">
        <v>552</v>
      </c>
      <c r="G1000" s="21">
        <v>0</v>
      </c>
      <c r="H1000" s="21">
        <v>0</v>
      </c>
      <c r="I1000" s="21">
        <v>0</v>
      </c>
      <c r="J1000" s="21">
        <v>-0.06</v>
      </c>
      <c r="K1000" s="21">
        <v>0</v>
      </c>
      <c r="L1000" s="21">
        <v>-0.06</v>
      </c>
    </row>
    <row r="1001" spans="1:12" ht="30" x14ac:dyDescent="0.25">
      <c r="A1001" s="10">
        <v>996</v>
      </c>
      <c r="B1001" t="s">
        <v>555</v>
      </c>
      <c r="C1001" t="s">
        <v>17</v>
      </c>
      <c r="D1001" t="s">
        <v>274</v>
      </c>
      <c r="E1001" s="52" t="s">
        <v>275</v>
      </c>
      <c r="F1001" t="s">
        <v>556</v>
      </c>
      <c r="G1001" s="21">
        <v>-505.21</v>
      </c>
      <c r="H1001" s="21">
        <v>0</v>
      </c>
      <c r="I1001" s="21">
        <v>0</v>
      </c>
      <c r="J1001" s="21">
        <v>0</v>
      </c>
      <c r="K1001" s="21">
        <v>10.1</v>
      </c>
      <c r="L1001" s="21">
        <v>-495.11</v>
      </c>
    </row>
    <row r="1002" spans="1:12" ht="30" x14ac:dyDescent="0.25">
      <c r="A1002" s="10">
        <v>997</v>
      </c>
      <c r="B1002" t="s">
        <v>557</v>
      </c>
      <c r="C1002" t="s">
        <v>17</v>
      </c>
      <c r="D1002" t="s">
        <v>274</v>
      </c>
      <c r="E1002" s="52" t="s">
        <v>275</v>
      </c>
      <c r="F1002" t="s">
        <v>558</v>
      </c>
      <c r="G1002" s="21">
        <v>-187.12</v>
      </c>
      <c r="H1002" s="21">
        <v>0</v>
      </c>
      <c r="I1002" s="21">
        <v>0</v>
      </c>
      <c r="J1002" s="21">
        <v>0</v>
      </c>
      <c r="K1002" s="21">
        <v>3.74</v>
      </c>
      <c r="L1002" s="21">
        <v>-183.38</v>
      </c>
    </row>
    <row r="1003" spans="1:12" ht="30" x14ac:dyDescent="0.25">
      <c r="A1003" s="10">
        <v>998</v>
      </c>
      <c r="B1003" t="s">
        <v>18</v>
      </c>
      <c r="C1003" t="s">
        <v>17</v>
      </c>
      <c r="D1003" t="s">
        <v>274</v>
      </c>
      <c r="E1003" s="52" t="s">
        <v>275</v>
      </c>
      <c r="F1003" t="s">
        <v>19</v>
      </c>
      <c r="G1003" s="21">
        <v>-1.1299999999999999</v>
      </c>
      <c r="H1003" s="21">
        <v>0</v>
      </c>
      <c r="I1003" s="21">
        <v>0</v>
      </c>
      <c r="J1003" s="21">
        <v>0</v>
      </c>
      <c r="K1003" s="21">
        <v>1</v>
      </c>
      <c r="L1003" s="21">
        <v>-0.13</v>
      </c>
    </row>
    <row r="1004" spans="1:12" ht="30" x14ac:dyDescent="0.25">
      <c r="A1004" s="10">
        <v>999</v>
      </c>
      <c r="B1004" t="s">
        <v>550</v>
      </c>
      <c r="C1004" t="s">
        <v>17</v>
      </c>
      <c r="D1004" t="s">
        <v>274</v>
      </c>
      <c r="E1004" s="52" t="s">
        <v>275</v>
      </c>
      <c r="F1004" t="s">
        <v>551</v>
      </c>
      <c r="G1004" s="21">
        <v>-16281</v>
      </c>
      <c r="H1004" s="21">
        <v>0</v>
      </c>
      <c r="I1004" s="21">
        <v>0</v>
      </c>
      <c r="J1004" s="21">
        <v>0</v>
      </c>
      <c r="K1004" s="21">
        <v>325.62</v>
      </c>
      <c r="L1004" s="21">
        <v>-15955.38</v>
      </c>
    </row>
    <row r="1005" spans="1:12" ht="30" x14ac:dyDescent="0.25">
      <c r="A1005" s="10">
        <v>1000</v>
      </c>
      <c r="B1005" t="s">
        <v>550</v>
      </c>
      <c r="C1005" t="s">
        <v>13</v>
      </c>
      <c r="D1005" t="s">
        <v>274</v>
      </c>
      <c r="E1005" s="52" t="s">
        <v>275</v>
      </c>
      <c r="F1005" t="s">
        <v>551</v>
      </c>
      <c r="G1005" s="21">
        <v>0</v>
      </c>
      <c r="H1005" s="21">
        <v>0</v>
      </c>
      <c r="I1005" s="21">
        <v>0</v>
      </c>
      <c r="J1005" s="21">
        <v>-1953.72</v>
      </c>
      <c r="K1005" s="21">
        <v>0</v>
      </c>
      <c r="L1005" s="21">
        <v>-1953.72</v>
      </c>
    </row>
    <row r="1006" spans="1:12" ht="30" x14ac:dyDescent="0.25">
      <c r="A1006" s="10">
        <v>1001</v>
      </c>
      <c r="B1006" t="s">
        <v>550</v>
      </c>
      <c r="C1006" t="s">
        <v>17</v>
      </c>
      <c r="D1006" t="s">
        <v>274</v>
      </c>
      <c r="E1006" s="52" t="s">
        <v>275</v>
      </c>
      <c r="F1006" t="s">
        <v>552</v>
      </c>
      <c r="G1006" s="21">
        <v>-1.17</v>
      </c>
      <c r="H1006" s="21">
        <v>0</v>
      </c>
      <c r="I1006" s="21">
        <v>0</v>
      </c>
      <c r="J1006" s="21">
        <v>0</v>
      </c>
      <c r="K1006" s="21">
        <v>0.02</v>
      </c>
      <c r="L1006" s="21">
        <v>-1.1499999999999999</v>
      </c>
    </row>
    <row r="1007" spans="1:12" ht="30" x14ac:dyDescent="0.25">
      <c r="A1007" s="10">
        <v>1002</v>
      </c>
      <c r="B1007" t="s">
        <v>550</v>
      </c>
      <c r="C1007" t="s">
        <v>13</v>
      </c>
      <c r="D1007" t="s">
        <v>274</v>
      </c>
      <c r="E1007" s="52" t="s">
        <v>275</v>
      </c>
      <c r="F1007" t="s">
        <v>552</v>
      </c>
      <c r="G1007" s="21">
        <v>0</v>
      </c>
      <c r="H1007" s="21">
        <v>0</v>
      </c>
      <c r="I1007" s="21">
        <v>0</v>
      </c>
      <c r="J1007" s="21">
        <v>-0.14000000000000001</v>
      </c>
      <c r="K1007" s="21">
        <v>0</v>
      </c>
      <c r="L1007" s="21">
        <v>-0.14000000000000001</v>
      </c>
    </row>
    <row r="1008" spans="1:12" ht="30" x14ac:dyDescent="0.25">
      <c r="A1008" s="10">
        <v>1003</v>
      </c>
      <c r="B1008" t="s">
        <v>555</v>
      </c>
      <c r="C1008" t="s">
        <v>17</v>
      </c>
      <c r="D1008" t="s">
        <v>276</v>
      </c>
      <c r="E1008" s="52" t="s">
        <v>277</v>
      </c>
      <c r="F1008" t="s">
        <v>556</v>
      </c>
      <c r="G1008" s="21">
        <v>-1292.5899999999999</v>
      </c>
      <c r="H1008" s="21">
        <v>0</v>
      </c>
      <c r="I1008" s="21">
        <v>0</v>
      </c>
      <c r="J1008" s="21">
        <v>0</v>
      </c>
      <c r="K1008" s="21">
        <v>25.85</v>
      </c>
      <c r="L1008" s="21">
        <v>-1266.74</v>
      </c>
    </row>
    <row r="1009" spans="1:12" ht="30" x14ac:dyDescent="0.25">
      <c r="A1009" s="10">
        <v>1004</v>
      </c>
      <c r="B1009" t="s">
        <v>555</v>
      </c>
      <c r="C1009" t="s">
        <v>13</v>
      </c>
      <c r="D1009" t="s">
        <v>276</v>
      </c>
      <c r="E1009" s="52" t="s">
        <v>277</v>
      </c>
      <c r="F1009" t="s">
        <v>556</v>
      </c>
      <c r="G1009" s="21">
        <v>0</v>
      </c>
      <c r="H1009" s="21">
        <v>0</v>
      </c>
      <c r="I1009" s="21">
        <v>0</v>
      </c>
      <c r="J1009" s="21">
        <v>-155.11000000000001</v>
      </c>
      <c r="K1009" s="21">
        <v>0</v>
      </c>
      <c r="L1009" s="21">
        <v>-155.11000000000001</v>
      </c>
    </row>
    <row r="1010" spans="1:12" ht="30" x14ac:dyDescent="0.25">
      <c r="A1010" s="10">
        <v>1005</v>
      </c>
      <c r="B1010" t="s">
        <v>557</v>
      </c>
      <c r="C1010" t="s">
        <v>17</v>
      </c>
      <c r="D1010" t="s">
        <v>276</v>
      </c>
      <c r="E1010" s="52" t="s">
        <v>277</v>
      </c>
      <c r="F1010" t="s">
        <v>558</v>
      </c>
      <c r="G1010" s="21">
        <v>-925.13</v>
      </c>
      <c r="H1010" s="21">
        <v>0</v>
      </c>
      <c r="I1010" s="21">
        <v>0</v>
      </c>
      <c r="J1010" s="21">
        <v>0</v>
      </c>
      <c r="K1010" s="21">
        <v>18.5</v>
      </c>
      <c r="L1010" s="21">
        <v>-906.63</v>
      </c>
    </row>
    <row r="1011" spans="1:12" ht="30" x14ac:dyDescent="0.25">
      <c r="A1011" s="10">
        <v>1006</v>
      </c>
      <c r="B1011" t="s">
        <v>557</v>
      </c>
      <c r="C1011" t="s">
        <v>13</v>
      </c>
      <c r="D1011" t="s">
        <v>276</v>
      </c>
      <c r="E1011" s="52" t="s">
        <v>277</v>
      </c>
      <c r="F1011" t="s">
        <v>558</v>
      </c>
      <c r="G1011" s="21">
        <v>0</v>
      </c>
      <c r="H1011" s="21">
        <v>0</v>
      </c>
      <c r="I1011" s="21">
        <v>0</v>
      </c>
      <c r="J1011" s="21">
        <v>-111.02</v>
      </c>
      <c r="K1011" s="21">
        <v>0</v>
      </c>
      <c r="L1011" s="21">
        <v>-111.02</v>
      </c>
    </row>
    <row r="1012" spans="1:12" ht="30" x14ac:dyDescent="0.25">
      <c r="A1012" s="10">
        <v>1007</v>
      </c>
      <c r="B1012" t="s">
        <v>18</v>
      </c>
      <c r="C1012" t="s">
        <v>17</v>
      </c>
      <c r="D1012" t="s">
        <v>276</v>
      </c>
      <c r="E1012" s="52" t="s">
        <v>277</v>
      </c>
      <c r="F1012" t="s">
        <v>19</v>
      </c>
      <c r="G1012" s="21">
        <v>-0.06</v>
      </c>
      <c r="H1012" s="21">
        <v>0</v>
      </c>
      <c r="I1012" s="21">
        <v>0</v>
      </c>
      <c r="J1012" s="21">
        <v>0</v>
      </c>
      <c r="K1012" s="21">
        <v>0.05</v>
      </c>
      <c r="L1012" s="21">
        <v>-0.01</v>
      </c>
    </row>
    <row r="1013" spans="1:12" ht="30" x14ac:dyDescent="0.25">
      <c r="A1013" s="10">
        <v>1008</v>
      </c>
      <c r="B1013" t="s">
        <v>550</v>
      </c>
      <c r="C1013" t="s">
        <v>17</v>
      </c>
      <c r="D1013" t="s">
        <v>276</v>
      </c>
      <c r="E1013" s="52" t="s">
        <v>277</v>
      </c>
      <c r="F1013" t="s">
        <v>551</v>
      </c>
      <c r="G1013" s="21">
        <v>-34703.879999999997</v>
      </c>
      <c r="H1013" s="21">
        <v>0</v>
      </c>
      <c r="I1013" s="21">
        <v>0</v>
      </c>
      <c r="J1013" s="21">
        <v>0</v>
      </c>
      <c r="K1013" s="21">
        <v>694.08</v>
      </c>
      <c r="L1013" s="21">
        <v>-34009.800000000003</v>
      </c>
    </row>
    <row r="1014" spans="1:12" ht="30" x14ac:dyDescent="0.25">
      <c r="A1014" s="10">
        <v>1009</v>
      </c>
      <c r="B1014" t="s">
        <v>550</v>
      </c>
      <c r="C1014" t="s">
        <v>13</v>
      </c>
      <c r="D1014" t="s">
        <v>276</v>
      </c>
      <c r="E1014" s="52" t="s">
        <v>277</v>
      </c>
      <c r="F1014" t="s">
        <v>551</v>
      </c>
      <c r="G1014" s="21">
        <v>0</v>
      </c>
      <c r="H1014" s="21">
        <v>0</v>
      </c>
      <c r="I1014" s="21">
        <v>0</v>
      </c>
      <c r="J1014" s="21">
        <v>-4164.47</v>
      </c>
      <c r="K1014" s="21">
        <v>0</v>
      </c>
      <c r="L1014" s="21">
        <v>-4164.47</v>
      </c>
    </row>
    <row r="1015" spans="1:12" ht="30" x14ac:dyDescent="0.25">
      <c r="A1015" s="10">
        <v>1010</v>
      </c>
      <c r="B1015" t="s">
        <v>550</v>
      </c>
      <c r="C1015" t="s">
        <v>17</v>
      </c>
      <c r="D1015" t="s">
        <v>276</v>
      </c>
      <c r="E1015" s="52" t="s">
        <v>277</v>
      </c>
      <c r="F1015" t="s">
        <v>552</v>
      </c>
      <c r="G1015" s="21">
        <v>-2.5</v>
      </c>
      <c r="H1015" s="21">
        <v>0</v>
      </c>
      <c r="I1015" s="21">
        <v>0</v>
      </c>
      <c r="J1015" s="21">
        <v>0</v>
      </c>
      <c r="K1015" s="21">
        <v>0.05</v>
      </c>
      <c r="L1015" s="21">
        <v>-2.4500000000000002</v>
      </c>
    </row>
    <row r="1016" spans="1:12" ht="30" x14ac:dyDescent="0.25">
      <c r="A1016" s="10">
        <v>1011</v>
      </c>
      <c r="B1016" t="s">
        <v>550</v>
      </c>
      <c r="C1016" t="s">
        <v>13</v>
      </c>
      <c r="D1016" t="s">
        <v>276</v>
      </c>
      <c r="E1016" s="52" t="s">
        <v>277</v>
      </c>
      <c r="F1016" t="s">
        <v>552</v>
      </c>
      <c r="G1016" s="21">
        <v>0</v>
      </c>
      <c r="H1016" s="21">
        <v>0</v>
      </c>
      <c r="I1016" s="21">
        <v>0</v>
      </c>
      <c r="J1016" s="21">
        <v>-0.3</v>
      </c>
      <c r="K1016" s="21">
        <v>0</v>
      </c>
      <c r="L1016" s="21">
        <v>-0.3</v>
      </c>
    </row>
    <row r="1017" spans="1:12" x14ac:dyDescent="0.25">
      <c r="A1017" s="10">
        <v>1012</v>
      </c>
      <c r="B1017" t="s">
        <v>20</v>
      </c>
      <c r="C1017" t="s">
        <v>17</v>
      </c>
      <c r="D1017" t="s">
        <v>278</v>
      </c>
      <c r="E1017" s="52" t="s">
        <v>279</v>
      </c>
      <c r="F1017" t="s">
        <v>21</v>
      </c>
      <c r="G1017" s="21">
        <v>0</v>
      </c>
      <c r="H1017" s="21">
        <v>0</v>
      </c>
      <c r="I1017" s="21">
        <v>0</v>
      </c>
      <c r="J1017" s="21">
        <v>0</v>
      </c>
      <c r="K1017" s="21">
        <v>0</v>
      </c>
      <c r="L1017" s="21">
        <v>0</v>
      </c>
    </row>
    <row r="1018" spans="1:12" x14ac:dyDescent="0.25">
      <c r="A1018" s="10">
        <v>1013</v>
      </c>
      <c r="B1018" t="s">
        <v>20</v>
      </c>
      <c r="C1018" t="s">
        <v>17</v>
      </c>
      <c r="D1018" t="s">
        <v>278</v>
      </c>
      <c r="E1018" s="52" t="s">
        <v>279</v>
      </c>
      <c r="F1018" t="s">
        <v>21</v>
      </c>
      <c r="G1018" s="21">
        <v>0</v>
      </c>
      <c r="H1018" s="21">
        <v>0</v>
      </c>
      <c r="I1018" s="21">
        <v>0</v>
      </c>
      <c r="J1018" s="21">
        <v>0</v>
      </c>
      <c r="K1018" s="21">
        <v>0</v>
      </c>
      <c r="L1018" s="21">
        <v>0</v>
      </c>
    </row>
    <row r="1019" spans="1:12" x14ac:dyDescent="0.25">
      <c r="A1019" s="10">
        <v>1014</v>
      </c>
      <c r="B1019" t="s">
        <v>22</v>
      </c>
      <c r="C1019" t="s">
        <v>17</v>
      </c>
      <c r="D1019" t="s">
        <v>278</v>
      </c>
      <c r="E1019" s="52" t="s">
        <v>279</v>
      </c>
      <c r="F1019" t="s">
        <v>23</v>
      </c>
      <c r="G1019" s="21">
        <v>0</v>
      </c>
      <c r="H1019" s="21">
        <v>0</v>
      </c>
      <c r="I1019" s="21">
        <v>-0.01</v>
      </c>
      <c r="J1019" s="21">
        <v>0</v>
      </c>
      <c r="K1019" s="21">
        <v>0</v>
      </c>
      <c r="L1019" s="21">
        <v>-0.01</v>
      </c>
    </row>
    <row r="1020" spans="1:12" x14ac:dyDescent="0.25">
      <c r="A1020" s="10">
        <v>1015</v>
      </c>
      <c r="B1020" t="s">
        <v>22</v>
      </c>
      <c r="C1020" t="s">
        <v>17</v>
      </c>
      <c r="D1020" t="s">
        <v>278</v>
      </c>
      <c r="E1020" s="52" t="s">
        <v>279</v>
      </c>
      <c r="F1020" t="s">
        <v>24</v>
      </c>
      <c r="G1020" s="21">
        <v>0</v>
      </c>
      <c r="H1020" s="21">
        <v>0</v>
      </c>
      <c r="I1020" s="21">
        <v>0</v>
      </c>
      <c r="J1020" s="21">
        <v>0</v>
      </c>
      <c r="K1020" s="21">
        <v>0</v>
      </c>
      <c r="L1020" s="21">
        <v>0</v>
      </c>
    </row>
    <row r="1021" spans="1:12" x14ac:dyDescent="0.25">
      <c r="A1021" s="10">
        <v>1016</v>
      </c>
      <c r="B1021" t="s">
        <v>550</v>
      </c>
      <c r="C1021" t="s">
        <v>17</v>
      </c>
      <c r="D1021" t="s">
        <v>278</v>
      </c>
      <c r="E1021" s="52" t="s">
        <v>279</v>
      </c>
      <c r="F1021" t="s">
        <v>551</v>
      </c>
      <c r="G1021" s="21">
        <v>0</v>
      </c>
      <c r="H1021" s="21">
        <v>0</v>
      </c>
      <c r="I1021" s="21">
        <v>-11953.41</v>
      </c>
      <c r="J1021" s="21">
        <v>0</v>
      </c>
      <c r="K1021" s="21">
        <v>239.07</v>
      </c>
      <c r="L1021" s="21">
        <v>-11714.34</v>
      </c>
    </row>
    <row r="1022" spans="1:12" x14ac:dyDescent="0.25">
      <c r="A1022" s="10">
        <v>1017</v>
      </c>
      <c r="B1022" t="s">
        <v>550</v>
      </c>
      <c r="C1022" t="s">
        <v>17</v>
      </c>
      <c r="D1022" t="s">
        <v>278</v>
      </c>
      <c r="E1022" s="52" t="s">
        <v>279</v>
      </c>
      <c r="F1022" t="s">
        <v>552</v>
      </c>
      <c r="G1022" s="21">
        <v>0</v>
      </c>
      <c r="H1022" s="21">
        <v>0</v>
      </c>
      <c r="I1022" s="21">
        <v>-0.86</v>
      </c>
      <c r="J1022" s="21">
        <v>0</v>
      </c>
      <c r="K1022" s="21">
        <v>0.02</v>
      </c>
      <c r="L1022" s="21">
        <v>-0.84</v>
      </c>
    </row>
    <row r="1023" spans="1:12" x14ac:dyDescent="0.25">
      <c r="A1023" s="10">
        <v>1018</v>
      </c>
      <c r="B1023" t="s">
        <v>550</v>
      </c>
      <c r="C1023" t="s">
        <v>17</v>
      </c>
      <c r="D1023" t="s">
        <v>280</v>
      </c>
      <c r="E1023" s="52" t="s">
        <v>281</v>
      </c>
      <c r="F1023" t="s">
        <v>551</v>
      </c>
      <c r="G1023" s="21">
        <v>-1114.8</v>
      </c>
      <c r="H1023" s="21">
        <v>0</v>
      </c>
      <c r="I1023" s="21">
        <v>0</v>
      </c>
      <c r="J1023" s="21">
        <v>0</v>
      </c>
      <c r="K1023" s="21">
        <v>22.3</v>
      </c>
      <c r="L1023" s="21">
        <v>-1092.5</v>
      </c>
    </row>
    <row r="1024" spans="1:12" x14ac:dyDescent="0.25">
      <c r="A1024" s="10">
        <v>1019</v>
      </c>
      <c r="B1024" t="s">
        <v>550</v>
      </c>
      <c r="C1024" t="s">
        <v>17</v>
      </c>
      <c r="D1024" t="s">
        <v>280</v>
      </c>
      <c r="E1024" s="52" t="s">
        <v>281</v>
      </c>
      <c r="F1024" t="s">
        <v>552</v>
      </c>
      <c r="G1024" s="21">
        <v>-0.08</v>
      </c>
      <c r="H1024" s="21">
        <v>0</v>
      </c>
      <c r="I1024" s="21">
        <v>0</v>
      </c>
      <c r="J1024" s="21">
        <v>0</v>
      </c>
      <c r="K1024" s="21">
        <v>0</v>
      </c>
      <c r="L1024" s="21">
        <v>-0.08</v>
      </c>
    </row>
    <row r="1025" spans="1:12" ht="30" x14ac:dyDescent="0.25">
      <c r="A1025" s="10">
        <v>1020</v>
      </c>
      <c r="B1025" t="s">
        <v>559</v>
      </c>
      <c r="C1025" t="s">
        <v>17</v>
      </c>
      <c r="D1025" t="s">
        <v>282</v>
      </c>
      <c r="E1025" s="52" t="s">
        <v>283</v>
      </c>
      <c r="F1025" t="s">
        <v>560</v>
      </c>
      <c r="G1025" s="21">
        <v>-0.43</v>
      </c>
      <c r="H1025" s="21">
        <v>0</v>
      </c>
      <c r="I1025" s="21">
        <v>0</v>
      </c>
      <c r="J1025" s="21">
        <v>0</v>
      </c>
      <c r="K1025" s="21">
        <v>0.01</v>
      </c>
      <c r="L1025" s="21">
        <v>-0.42</v>
      </c>
    </row>
    <row r="1026" spans="1:12" ht="30" x14ac:dyDescent="0.25">
      <c r="A1026" s="10">
        <v>1021</v>
      </c>
      <c r="B1026" t="s">
        <v>559</v>
      </c>
      <c r="C1026" t="s">
        <v>13</v>
      </c>
      <c r="D1026" t="s">
        <v>282</v>
      </c>
      <c r="E1026" s="52" t="s">
        <v>283</v>
      </c>
      <c r="F1026" t="s">
        <v>560</v>
      </c>
      <c r="G1026" s="21">
        <v>0</v>
      </c>
      <c r="H1026" s="21">
        <v>0</v>
      </c>
      <c r="I1026" s="21">
        <v>0</v>
      </c>
      <c r="J1026" s="21">
        <v>-0.05</v>
      </c>
      <c r="K1026" s="21">
        <v>0</v>
      </c>
      <c r="L1026" s="21">
        <v>-0.05</v>
      </c>
    </row>
    <row r="1027" spans="1:12" ht="30" x14ac:dyDescent="0.25">
      <c r="A1027" s="10">
        <v>1022</v>
      </c>
      <c r="B1027" t="s">
        <v>18</v>
      </c>
      <c r="C1027" t="s">
        <v>17</v>
      </c>
      <c r="D1027" t="s">
        <v>282</v>
      </c>
      <c r="E1027" s="52" t="s">
        <v>283</v>
      </c>
      <c r="F1027" t="s">
        <v>19</v>
      </c>
      <c r="G1027" s="21">
        <v>-3.24</v>
      </c>
      <c r="H1027" s="21">
        <v>0</v>
      </c>
      <c r="I1027" s="21">
        <v>0</v>
      </c>
      <c r="J1027" s="21">
        <v>0</v>
      </c>
      <c r="K1027" s="21">
        <v>2.88</v>
      </c>
      <c r="L1027" s="21">
        <v>-0.36</v>
      </c>
    </row>
    <row r="1028" spans="1:12" ht="30" x14ac:dyDescent="0.25">
      <c r="A1028" s="10">
        <v>1023</v>
      </c>
      <c r="B1028" t="s">
        <v>550</v>
      </c>
      <c r="C1028" t="s">
        <v>17</v>
      </c>
      <c r="D1028" t="s">
        <v>282</v>
      </c>
      <c r="E1028" s="52" t="s">
        <v>283</v>
      </c>
      <c r="F1028" t="s">
        <v>551</v>
      </c>
      <c r="G1028" s="21">
        <v>-51850</v>
      </c>
      <c r="H1028" s="21">
        <v>0</v>
      </c>
      <c r="I1028" s="21">
        <v>0</v>
      </c>
      <c r="J1028" s="21">
        <v>0</v>
      </c>
      <c r="K1028" s="21">
        <v>1037</v>
      </c>
      <c r="L1028" s="21">
        <v>-50813</v>
      </c>
    </row>
    <row r="1029" spans="1:12" ht="30" x14ac:dyDescent="0.25">
      <c r="A1029" s="10">
        <v>1024</v>
      </c>
      <c r="B1029" t="s">
        <v>550</v>
      </c>
      <c r="C1029" t="s">
        <v>13</v>
      </c>
      <c r="D1029" t="s">
        <v>282</v>
      </c>
      <c r="E1029" s="52" t="s">
        <v>283</v>
      </c>
      <c r="F1029" t="s">
        <v>551</v>
      </c>
      <c r="G1029" s="21">
        <v>0</v>
      </c>
      <c r="H1029" s="21">
        <v>0</v>
      </c>
      <c r="I1029" s="21">
        <v>0</v>
      </c>
      <c r="J1029" s="21">
        <v>-6222</v>
      </c>
      <c r="K1029" s="21">
        <v>0</v>
      </c>
      <c r="L1029" s="21">
        <v>-6222</v>
      </c>
    </row>
    <row r="1030" spans="1:12" ht="30" x14ac:dyDescent="0.25">
      <c r="A1030" s="10">
        <v>1025</v>
      </c>
      <c r="B1030" t="s">
        <v>550</v>
      </c>
      <c r="C1030" t="s">
        <v>17</v>
      </c>
      <c r="D1030" t="s">
        <v>282</v>
      </c>
      <c r="E1030" s="52" t="s">
        <v>283</v>
      </c>
      <c r="F1030" t="s">
        <v>552</v>
      </c>
      <c r="G1030" s="21">
        <v>-3.73</v>
      </c>
      <c r="H1030" s="21">
        <v>0</v>
      </c>
      <c r="I1030" s="21">
        <v>0</v>
      </c>
      <c r="J1030" s="21">
        <v>0</v>
      </c>
      <c r="K1030" s="21">
        <v>7.0000000000000007E-2</v>
      </c>
      <c r="L1030" s="21">
        <v>-3.66</v>
      </c>
    </row>
    <row r="1031" spans="1:12" ht="30" x14ac:dyDescent="0.25">
      <c r="A1031" s="10">
        <v>1026</v>
      </c>
      <c r="B1031" t="s">
        <v>550</v>
      </c>
      <c r="C1031" t="s">
        <v>13</v>
      </c>
      <c r="D1031" t="s">
        <v>282</v>
      </c>
      <c r="E1031" s="52" t="s">
        <v>283</v>
      </c>
      <c r="F1031" t="s">
        <v>552</v>
      </c>
      <c r="G1031" s="21">
        <v>0</v>
      </c>
      <c r="H1031" s="21">
        <v>0</v>
      </c>
      <c r="I1031" s="21">
        <v>0</v>
      </c>
      <c r="J1031" s="21">
        <v>-0.45</v>
      </c>
      <c r="K1031" s="21">
        <v>0</v>
      </c>
      <c r="L1031" s="21">
        <v>-0.45</v>
      </c>
    </row>
    <row r="1032" spans="1:12" ht="30" x14ac:dyDescent="0.25">
      <c r="A1032" s="10">
        <v>1027</v>
      </c>
      <c r="B1032" t="s">
        <v>18</v>
      </c>
      <c r="C1032" t="s">
        <v>17</v>
      </c>
      <c r="D1032" t="s">
        <v>284</v>
      </c>
      <c r="E1032" s="52" t="s">
        <v>285</v>
      </c>
      <c r="F1032" t="s">
        <v>19</v>
      </c>
      <c r="G1032" s="21">
        <v>0</v>
      </c>
      <c r="H1032" s="21">
        <v>0</v>
      </c>
      <c r="I1032" s="21">
        <v>-0.11</v>
      </c>
      <c r="J1032" s="21">
        <v>0</v>
      </c>
      <c r="K1032" s="21">
        <v>0.01</v>
      </c>
      <c r="L1032" s="21">
        <v>-0.1</v>
      </c>
    </row>
    <row r="1033" spans="1:12" ht="30" x14ac:dyDescent="0.25">
      <c r="A1033" s="10">
        <v>1028</v>
      </c>
      <c r="B1033" t="s">
        <v>550</v>
      </c>
      <c r="C1033" t="s">
        <v>17</v>
      </c>
      <c r="D1033" t="s">
        <v>615</v>
      </c>
      <c r="E1033" s="52" t="s">
        <v>285</v>
      </c>
      <c r="F1033" t="s">
        <v>551</v>
      </c>
      <c r="G1033" s="21">
        <v>0</v>
      </c>
      <c r="H1033" s="21">
        <v>0</v>
      </c>
      <c r="I1033" s="21">
        <v>-12.55</v>
      </c>
      <c r="J1033" s="21">
        <v>0</v>
      </c>
      <c r="K1033" s="21">
        <v>0.25</v>
      </c>
      <c r="L1033" s="21">
        <v>-12.3</v>
      </c>
    </row>
    <row r="1034" spans="1:12" ht="30" x14ac:dyDescent="0.25">
      <c r="A1034" s="10">
        <v>1029</v>
      </c>
      <c r="B1034" t="s">
        <v>550</v>
      </c>
      <c r="C1034" t="s">
        <v>17</v>
      </c>
      <c r="D1034" t="s">
        <v>615</v>
      </c>
      <c r="E1034" s="52" t="s">
        <v>285</v>
      </c>
      <c r="F1034" t="s">
        <v>551</v>
      </c>
      <c r="G1034" s="21">
        <v>0</v>
      </c>
      <c r="H1034" s="21">
        <v>0</v>
      </c>
      <c r="I1034" s="21">
        <v>-244.64</v>
      </c>
      <c r="J1034" s="21">
        <v>0</v>
      </c>
      <c r="K1034" s="21">
        <v>4.8899999999999997</v>
      </c>
      <c r="L1034" s="21">
        <v>-239.75</v>
      </c>
    </row>
    <row r="1035" spans="1:12" ht="30" x14ac:dyDescent="0.25">
      <c r="A1035" s="10">
        <v>1030</v>
      </c>
      <c r="B1035" t="s">
        <v>550</v>
      </c>
      <c r="C1035" t="s">
        <v>17</v>
      </c>
      <c r="D1035" t="s">
        <v>615</v>
      </c>
      <c r="E1035" s="52" t="s">
        <v>285</v>
      </c>
      <c r="F1035" t="s">
        <v>552</v>
      </c>
      <c r="G1035" s="21">
        <v>0</v>
      </c>
      <c r="H1035" s="21">
        <v>0</v>
      </c>
      <c r="I1035" s="21">
        <v>-0.02</v>
      </c>
      <c r="J1035" s="21">
        <v>0</v>
      </c>
      <c r="K1035" s="21">
        <v>0</v>
      </c>
      <c r="L1035" s="21">
        <v>-0.02</v>
      </c>
    </row>
    <row r="1036" spans="1:12" ht="30" x14ac:dyDescent="0.25">
      <c r="A1036" s="10">
        <v>1031</v>
      </c>
      <c r="B1036" t="s">
        <v>559</v>
      </c>
      <c r="C1036" t="s">
        <v>17</v>
      </c>
      <c r="D1036" t="s">
        <v>286</v>
      </c>
      <c r="E1036" s="52" t="s">
        <v>287</v>
      </c>
      <c r="F1036" t="s">
        <v>560</v>
      </c>
      <c r="G1036" s="21">
        <v>0</v>
      </c>
      <c r="H1036" s="21">
        <v>0</v>
      </c>
      <c r="I1036" s="21">
        <v>-0.21</v>
      </c>
      <c r="J1036" s="21">
        <v>0</v>
      </c>
      <c r="K1036" s="21">
        <v>0</v>
      </c>
      <c r="L1036" s="21">
        <v>-0.21</v>
      </c>
    </row>
    <row r="1037" spans="1:12" ht="30" x14ac:dyDescent="0.25">
      <c r="A1037" s="10">
        <v>1032</v>
      </c>
      <c r="B1037" t="s">
        <v>18</v>
      </c>
      <c r="C1037" t="s">
        <v>17</v>
      </c>
      <c r="D1037" t="s">
        <v>286</v>
      </c>
      <c r="E1037" s="52" t="s">
        <v>287</v>
      </c>
      <c r="F1037" t="s">
        <v>19</v>
      </c>
      <c r="G1037" s="21">
        <v>0</v>
      </c>
      <c r="H1037" s="21">
        <v>0</v>
      </c>
      <c r="I1037" s="21">
        <v>-2.57</v>
      </c>
      <c r="J1037" s="21">
        <v>0</v>
      </c>
      <c r="K1037" s="21">
        <v>0.3</v>
      </c>
      <c r="L1037" s="21">
        <v>-2.27</v>
      </c>
    </row>
    <row r="1038" spans="1:12" ht="30" x14ac:dyDescent="0.25">
      <c r="A1038" s="10">
        <v>1033</v>
      </c>
      <c r="B1038" t="s">
        <v>20</v>
      </c>
      <c r="C1038" t="s">
        <v>17</v>
      </c>
      <c r="D1038" t="s">
        <v>286</v>
      </c>
      <c r="E1038" s="52" t="s">
        <v>287</v>
      </c>
      <c r="F1038" t="s">
        <v>21</v>
      </c>
      <c r="G1038" s="21">
        <v>0</v>
      </c>
      <c r="H1038" s="21">
        <v>0</v>
      </c>
      <c r="I1038" s="21">
        <v>0</v>
      </c>
      <c r="J1038" s="21">
        <v>0</v>
      </c>
      <c r="K1038" s="21">
        <v>0</v>
      </c>
      <c r="L1038" s="21">
        <v>0</v>
      </c>
    </row>
    <row r="1039" spans="1:12" ht="30" x14ac:dyDescent="0.25">
      <c r="A1039" s="10">
        <v>1034</v>
      </c>
      <c r="B1039" t="s">
        <v>20</v>
      </c>
      <c r="C1039" t="s">
        <v>17</v>
      </c>
      <c r="D1039" t="s">
        <v>286</v>
      </c>
      <c r="E1039" s="52" t="s">
        <v>287</v>
      </c>
      <c r="F1039" t="s">
        <v>21</v>
      </c>
      <c r="G1039" s="21">
        <v>0</v>
      </c>
      <c r="H1039" s="21">
        <v>0</v>
      </c>
      <c r="I1039" s="21">
        <v>0</v>
      </c>
      <c r="J1039" s="21">
        <v>0</v>
      </c>
      <c r="K1039" s="21">
        <v>0</v>
      </c>
      <c r="L1039" s="21">
        <v>0</v>
      </c>
    </row>
    <row r="1040" spans="1:12" ht="30" x14ac:dyDescent="0.25">
      <c r="A1040" s="10">
        <v>1035</v>
      </c>
      <c r="B1040" t="s">
        <v>550</v>
      </c>
      <c r="C1040" t="s">
        <v>17</v>
      </c>
      <c r="D1040" t="s">
        <v>286</v>
      </c>
      <c r="E1040" s="52" t="s">
        <v>287</v>
      </c>
      <c r="F1040" t="s">
        <v>551</v>
      </c>
      <c r="G1040" s="21">
        <v>0</v>
      </c>
      <c r="H1040" s="21">
        <v>0</v>
      </c>
      <c r="I1040" s="21">
        <v>-7637.96</v>
      </c>
      <c r="J1040" s="21">
        <v>0</v>
      </c>
      <c r="K1040" s="21">
        <v>152.76</v>
      </c>
      <c r="L1040" s="21">
        <v>-7485.2</v>
      </c>
    </row>
    <row r="1041" spans="1:12" ht="30" x14ac:dyDescent="0.25">
      <c r="A1041" s="10">
        <v>1036</v>
      </c>
      <c r="B1041" t="s">
        <v>550</v>
      </c>
      <c r="C1041" t="s">
        <v>17</v>
      </c>
      <c r="D1041" t="s">
        <v>286</v>
      </c>
      <c r="E1041" s="52" t="s">
        <v>287</v>
      </c>
      <c r="F1041" t="s">
        <v>552</v>
      </c>
      <c r="G1041" s="21">
        <v>0</v>
      </c>
      <c r="H1041" s="21">
        <v>0</v>
      </c>
      <c r="I1041" s="21">
        <v>-0.55000000000000004</v>
      </c>
      <c r="J1041" s="21">
        <v>0</v>
      </c>
      <c r="K1041" s="21">
        <v>0.01</v>
      </c>
      <c r="L1041" s="21">
        <v>-0.54</v>
      </c>
    </row>
    <row r="1042" spans="1:12" x14ac:dyDescent="0.25">
      <c r="A1042" s="10">
        <v>1037</v>
      </c>
      <c r="B1042" t="s">
        <v>555</v>
      </c>
      <c r="C1042" t="s">
        <v>17</v>
      </c>
      <c r="D1042" t="s">
        <v>288</v>
      </c>
      <c r="E1042" s="52" t="s">
        <v>289</v>
      </c>
      <c r="F1042" t="s">
        <v>556</v>
      </c>
      <c r="G1042" s="21">
        <v>-545.29</v>
      </c>
      <c r="H1042" s="21">
        <v>0</v>
      </c>
      <c r="I1042" s="21">
        <v>0</v>
      </c>
      <c r="J1042" s="21">
        <v>0</v>
      </c>
      <c r="K1042" s="21">
        <v>10.91</v>
      </c>
      <c r="L1042" s="21">
        <v>-534.38</v>
      </c>
    </row>
    <row r="1043" spans="1:12" x14ac:dyDescent="0.25">
      <c r="A1043" s="10">
        <v>1038</v>
      </c>
      <c r="B1043" t="s">
        <v>555</v>
      </c>
      <c r="C1043" t="s">
        <v>13</v>
      </c>
      <c r="D1043" t="s">
        <v>288</v>
      </c>
      <c r="E1043" s="52" t="s">
        <v>289</v>
      </c>
      <c r="F1043" t="s">
        <v>556</v>
      </c>
      <c r="G1043" s="21">
        <v>0</v>
      </c>
      <c r="H1043" s="21">
        <v>0</v>
      </c>
      <c r="I1043" s="21">
        <v>0</v>
      </c>
      <c r="J1043" s="21">
        <v>-65.430000000000007</v>
      </c>
      <c r="K1043" s="21">
        <v>0</v>
      </c>
      <c r="L1043" s="21">
        <v>-65.430000000000007</v>
      </c>
    </row>
    <row r="1044" spans="1:12" x14ac:dyDescent="0.25">
      <c r="A1044" s="10">
        <v>1039</v>
      </c>
      <c r="B1044" t="s">
        <v>557</v>
      </c>
      <c r="C1044" t="s">
        <v>17</v>
      </c>
      <c r="D1044" t="s">
        <v>288</v>
      </c>
      <c r="E1044" s="52" t="s">
        <v>289</v>
      </c>
      <c r="F1044" t="s">
        <v>558</v>
      </c>
      <c r="G1044" s="21">
        <v>-308.07</v>
      </c>
      <c r="H1044" s="21">
        <v>0</v>
      </c>
      <c r="I1044" s="21">
        <v>0</v>
      </c>
      <c r="J1044" s="21">
        <v>0</v>
      </c>
      <c r="K1044" s="21">
        <v>6.16</v>
      </c>
      <c r="L1044" s="21">
        <v>-301.91000000000003</v>
      </c>
    </row>
    <row r="1045" spans="1:12" x14ac:dyDescent="0.25">
      <c r="A1045" s="10">
        <v>1040</v>
      </c>
      <c r="B1045" t="s">
        <v>557</v>
      </c>
      <c r="C1045" t="s">
        <v>13</v>
      </c>
      <c r="D1045" t="s">
        <v>288</v>
      </c>
      <c r="E1045" s="52" t="s">
        <v>289</v>
      </c>
      <c r="F1045" t="s">
        <v>558</v>
      </c>
      <c r="G1045" s="21">
        <v>0</v>
      </c>
      <c r="H1045" s="21">
        <v>0</v>
      </c>
      <c r="I1045" s="21">
        <v>0</v>
      </c>
      <c r="J1045" s="21">
        <v>-36.97</v>
      </c>
      <c r="K1045" s="21">
        <v>0</v>
      </c>
      <c r="L1045" s="21">
        <v>-36.97</v>
      </c>
    </row>
    <row r="1046" spans="1:12" x14ac:dyDescent="0.25">
      <c r="A1046" s="10">
        <v>1041</v>
      </c>
      <c r="B1046" t="s">
        <v>18</v>
      </c>
      <c r="C1046" t="s">
        <v>17</v>
      </c>
      <c r="D1046" t="s">
        <v>288</v>
      </c>
      <c r="E1046" s="52" t="s">
        <v>289</v>
      </c>
      <c r="F1046" t="s">
        <v>19</v>
      </c>
      <c r="G1046" s="21">
        <v>-2.4</v>
      </c>
      <c r="H1046" s="21">
        <v>0</v>
      </c>
      <c r="I1046" s="21">
        <v>0</v>
      </c>
      <c r="J1046" s="21">
        <v>0</v>
      </c>
      <c r="K1046" s="21">
        <v>2.13</v>
      </c>
      <c r="L1046" s="21">
        <v>-0.27</v>
      </c>
    </row>
    <row r="1047" spans="1:12" x14ac:dyDescent="0.25">
      <c r="A1047" s="10">
        <v>1042</v>
      </c>
      <c r="B1047" t="s">
        <v>18</v>
      </c>
      <c r="C1047" t="s">
        <v>13</v>
      </c>
      <c r="D1047" t="s">
        <v>288</v>
      </c>
      <c r="E1047" s="52" t="s">
        <v>289</v>
      </c>
      <c r="F1047" t="s">
        <v>19</v>
      </c>
      <c r="G1047" s="21">
        <v>0</v>
      </c>
      <c r="H1047" s="21">
        <v>0</v>
      </c>
      <c r="I1047" s="21">
        <v>0</v>
      </c>
      <c r="J1047" s="21">
        <v>-3.69</v>
      </c>
      <c r="K1047" s="21">
        <v>0</v>
      </c>
      <c r="L1047" s="21">
        <v>-3.69</v>
      </c>
    </row>
    <row r="1048" spans="1:12" x14ac:dyDescent="0.25">
      <c r="A1048" s="10">
        <v>1043</v>
      </c>
      <c r="B1048" t="s">
        <v>550</v>
      </c>
      <c r="C1048" t="s">
        <v>17</v>
      </c>
      <c r="D1048" t="s">
        <v>288</v>
      </c>
      <c r="E1048" s="52" t="s">
        <v>289</v>
      </c>
      <c r="F1048" t="s">
        <v>551</v>
      </c>
      <c r="G1048" s="21">
        <v>-14.28</v>
      </c>
      <c r="H1048" s="21">
        <v>0</v>
      </c>
      <c r="I1048" s="21">
        <v>0</v>
      </c>
      <c r="J1048" s="21">
        <v>0</v>
      </c>
      <c r="K1048" s="21">
        <v>0.28999999999999998</v>
      </c>
      <c r="L1048" s="21">
        <v>-13.99</v>
      </c>
    </row>
    <row r="1049" spans="1:12" x14ac:dyDescent="0.25">
      <c r="A1049" s="10">
        <v>1044</v>
      </c>
      <c r="B1049" t="s">
        <v>550</v>
      </c>
      <c r="C1049" t="s">
        <v>17</v>
      </c>
      <c r="D1049" t="s">
        <v>288</v>
      </c>
      <c r="E1049" s="52" t="s">
        <v>289</v>
      </c>
      <c r="F1049" t="s">
        <v>551</v>
      </c>
      <c r="G1049" s="21">
        <v>-511.8</v>
      </c>
      <c r="H1049" s="21">
        <v>0</v>
      </c>
      <c r="I1049" s="21">
        <v>0</v>
      </c>
      <c r="J1049" s="21">
        <v>0</v>
      </c>
      <c r="K1049" s="21">
        <v>10.24</v>
      </c>
      <c r="L1049" s="21">
        <v>-501.56</v>
      </c>
    </row>
    <row r="1050" spans="1:12" x14ac:dyDescent="0.25">
      <c r="A1050" s="10">
        <v>1045</v>
      </c>
      <c r="B1050" t="s">
        <v>550</v>
      </c>
      <c r="C1050" t="s">
        <v>13</v>
      </c>
      <c r="D1050" t="s">
        <v>288</v>
      </c>
      <c r="E1050" s="52" t="s">
        <v>289</v>
      </c>
      <c r="F1050" t="s">
        <v>551</v>
      </c>
      <c r="G1050" s="21">
        <v>0</v>
      </c>
      <c r="H1050" s="21">
        <v>0</v>
      </c>
      <c r="I1050" s="21">
        <v>0</v>
      </c>
      <c r="J1050" s="21">
        <v>-1.71</v>
      </c>
      <c r="K1050" s="21">
        <v>0</v>
      </c>
      <c r="L1050" s="21">
        <v>-1.71</v>
      </c>
    </row>
    <row r="1051" spans="1:12" x14ac:dyDescent="0.25">
      <c r="A1051" s="10">
        <v>1046</v>
      </c>
      <c r="B1051" t="s">
        <v>550</v>
      </c>
      <c r="C1051" t="s">
        <v>13</v>
      </c>
      <c r="D1051" t="s">
        <v>288</v>
      </c>
      <c r="E1051" s="52" t="s">
        <v>289</v>
      </c>
      <c r="F1051" t="s">
        <v>551</v>
      </c>
      <c r="G1051" s="21">
        <v>0</v>
      </c>
      <c r="H1051" s="21">
        <v>0</v>
      </c>
      <c r="I1051" s="21">
        <v>0</v>
      </c>
      <c r="J1051" s="21">
        <v>-49.76</v>
      </c>
      <c r="K1051" s="21">
        <v>0</v>
      </c>
      <c r="L1051" s="21">
        <v>-49.76</v>
      </c>
    </row>
    <row r="1052" spans="1:12" x14ac:dyDescent="0.25">
      <c r="A1052" s="10">
        <v>1047</v>
      </c>
      <c r="B1052" t="s">
        <v>550</v>
      </c>
      <c r="C1052" t="s">
        <v>17</v>
      </c>
      <c r="D1052" t="s">
        <v>288</v>
      </c>
      <c r="E1052" s="52" t="s">
        <v>289</v>
      </c>
      <c r="F1052" t="s">
        <v>552</v>
      </c>
      <c r="G1052" s="21">
        <v>-0.04</v>
      </c>
      <c r="H1052" s="21">
        <v>0</v>
      </c>
      <c r="I1052" s="21">
        <v>0</v>
      </c>
      <c r="J1052" s="21">
        <v>0</v>
      </c>
      <c r="K1052" s="21">
        <v>0</v>
      </c>
      <c r="L1052" s="21">
        <v>-0.04</v>
      </c>
    </row>
    <row r="1053" spans="1:12" x14ac:dyDescent="0.25">
      <c r="A1053" s="10">
        <v>1048</v>
      </c>
      <c r="B1053" t="s">
        <v>550</v>
      </c>
      <c r="C1053" t="s">
        <v>13</v>
      </c>
      <c r="D1053" t="s">
        <v>288</v>
      </c>
      <c r="E1053" s="52" t="s">
        <v>289</v>
      </c>
      <c r="F1053" t="s">
        <v>552</v>
      </c>
      <c r="G1053" s="21">
        <v>0</v>
      </c>
      <c r="H1053" s="21">
        <v>0</v>
      </c>
      <c r="I1053" s="21">
        <v>0</v>
      </c>
      <c r="J1053" s="21">
        <v>0</v>
      </c>
      <c r="K1053" s="21">
        <v>0</v>
      </c>
      <c r="L1053" s="21">
        <v>0</v>
      </c>
    </row>
    <row r="1054" spans="1:12" ht="30" x14ac:dyDescent="0.25">
      <c r="A1054" s="10">
        <v>1049</v>
      </c>
      <c r="B1054" t="s">
        <v>12</v>
      </c>
      <c r="C1054" t="s">
        <v>17</v>
      </c>
      <c r="D1054" t="s">
        <v>290</v>
      </c>
      <c r="E1054" s="52" t="s">
        <v>291</v>
      </c>
      <c r="F1054" t="s">
        <v>16</v>
      </c>
      <c r="G1054" s="21">
        <v>0</v>
      </c>
      <c r="H1054" s="21">
        <v>0</v>
      </c>
      <c r="I1054" s="21">
        <v>-4.28</v>
      </c>
      <c r="J1054" s="21">
        <v>0</v>
      </c>
      <c r="K1054" s="21">
        <v>0.09</v>
      </c>
      <c r="L1054" s="21">
        <v>-4.1900000000000004</v>
      </c>
    </row>
    <row r="1055" spans="1:12" ht="30" x14ac:dyDescent="0.25">
      <c r="A1055" s="10">
        <v>1050</v>
      </c>
      <c r="B1055" t="s">
        <v>12</v>
      </c>
      <c r="C1055" t="s">
        <v>49</v>
      </c>
      <c r="D1055" t="s">
        <v>290</v>
      </c>
      <c r="E1055" s="52" t="s">
        <v>291</v>
      </c>
      <c r="F1055" t="s">
        <v>16</v>
      </c>
      <c r="G1055" s="21">
        <v>0</v>
      </c>
      <c r="H1055" s="21">
        <v>0</v>
      </c>
      <c r="I1055" s="21">
        <v>-0.01</v>
      </c>
      <c r="J1055" s="21">
        <v>0</v>
      </c>
      <c r="K1055" s="21">
        <v>0</v>
      </c>
      <c r="L1055" s="21">
        <v>-0.01</v>
      </c>
    </row>
    <row r="1056" spans="1:12" ht="30" x14ac:dyDescent="0.25">
      <c r="A1056" s="10">
        <v>1051</v>
      </c>
      <c r="B1056" t="s">
        <v>29</v>
      </c>
      <c r="C1056" t="s">
        <v>17</v>
      </c>
      <c r="D1056" t="s">
        <v>290</v>
      </c>
      <c r="E1056" s="52" t="s">
        <v>291</v>
      </c>
      <c r="F1056" t="s">
        <v>30</v>
      </c>
      <c r="G1056" s="21">
        <v>0</v>
      </c>
      <c r="H1056" s="21">
        <v>0</v>
      </c>
      <c r="I1056" s="21">
        <v>-0.02</v>
      </c>
      <c r="J1056" s="21">
        <v>0</v>
      </c>
      <c r="K1056" s="21">
        <v>0</v>
      </c>
      <c r="L1056" s="21">
        <v>-0.02</v>
      </c>
    </row>
    <row r="1057" spans="1:12" ht="30" x14ac:dyDescent="0.25">
      <c r="A1057" s="10">
        <v>1052</v>
      </c>
      <c r="B1057" t="s">
        <v>18</v>
      </c>
      <c r="C1057" t="s">
        <v>17</v>
      </c>
      <c r="D1057" t="s">
        <v>290</v>
      </c>
      <c r="E1057" s="52" t="s">
        <v>291</v>
      </c>
      <c r="F1057" t="s">
        <v>19</v>
      </c>
      <c r="G1057" s="21">
        <v>0</v>
      </c>
      <c r="H1057" s="21">
        <v>0</v>
      </c>
      <c r="I1057" s="21">
        <v>-0.28000000000000003</v>
      </c>
      <c r="J1057" s="21">
        <v>0</v>
      </c>
      <c r="K1057" s="21">
        <v>0.03</v>
      </c>
      <c r="L1057" s="21">
        <v>-0.25</v>
      </c>
    </row>
    <row r="1058" spans="1:12" ht="30" x14ac:dyDescent="0.25">
      <c r="A1058" s="10">
        <v>1053</v>
      </c>
      <c r="B1058" t="s">
        <v>18</v>
      </c>
      <c r="C1058" t="s">
        <v>17</v>
      </c>
      <c r="D1058" t="s">
        <v>290</v>
      </c>
      <c r="E1058" s="52" t="s">
        <v>291</v>
      </c>
      <c r="F1058" t="s">
        <v>19</v>
      </c>
      <c r="G1058" s="21">
        <v>0</v>
      </c>
      <c r="H1058" s="21">
        <v>0</v>
      </c>
      <c r="I1058" s="21">
        <v>-0.27</v>
      </c>
      <c r="J1058" s="21">
        <v>0</v>
      </c>
      <c r="K1058" s="21">
        <v>0.01</v>
      </c>
      <c r="L1058" s="21">
        <v>-0.26</v>
      </c>
    </row>
    <row r="1059" spans="1:12" ht="30" x14ac:dyDescent="0.25">
      <c r="A1059" s="10">
        <v>1054</v>
      </c>
      <c r="B1059" t="s">
        <v>22</v>
      </c>
      <c r="C1059" t="s">
        <v>17</v>
      </c>
      <c r="D1059" t="s">
        <v>290</v>
      </c>
      <c r="E1059" s="52" t="s">
        <v>291</v>
      </c>
      <c r="F1059" t="s">
        <v>23</v>
      </c>
      <c r="G1059" s="21">
        <v>0</v>
      </c>
      <c r="H1059" s="21">
        <v>0</v>
      </c>
      <c r="I1059" s="21">
        <v>-168.81</v>
      </c>
      <c r="J1059" s="21">
        <v>0</v>
      </c>
      <c r="K1059" s="21">
        <v>3.37</v>
      </c>
      <c r="L1059" s="21">
        <v>-165.44</v>
      </c>
    </row>
    <row r="1060" spans="1:12" ht="30" x14ac:dyDescent="0.25">
      <c r="A1060" s="10">
        <v>1055</v>
      </c>
      <c r="B1060" t="s">
        <v>22</v>
      </c>
      <c r="C1060" t="s">
        <v>49</v>
      </c>
      <c r="D1060" t="s">
        <v>290</v>
      </c>
      <c r="E1060" s="52" t="s">
        <v>291</v>
      </c>
      <c r="F1060" t="s">
        <v>23</v>
      </c>
      <c r="G1060" s="21">
        <v>0</v>
      </c>
      <c r="H1060" s="21">
        <v>0</v>
      </c>
      <c r="I1060" s="21">
        <v>-0.3</v>
      </c>
      <c r="J1060" s="21">
        <v>0</v>
      </c>
      <c r="K1060" s="21">
        <v>0</v>
      </c>
      <c r="L1060" s="21">
        <v>-0.3</v>
      </c>
    </row>
    <row r="1061" spans="1:12" ht="30" x14ac:dyDescent="0.25">
      <c r="A1061" s="10">
        <v>1056</v>
      </c>
      <c r="B1061" t="s">
        <v>22</v>
      </c>
      <c r="C1061" t="s">
        <v>17</v>
      </c>
      <c r="D1061" t="s">
        <v>290</v>
      </c>
      <c r="E1061" s="52" t="s">
        <v>291</v>
      </c>
      <c r="F1061" t="s">
        <v>23</v>
      </c>
      <c r="G1061" s="21">
        <v>0</v>
      </c>
      <c r="H1061" s="21">
        <v>0</v>
      </c>
      <c r="I1061" s="21">
        <v>-0.31</v>
      </c>
      <c r="J1061" s="21">
        <v>0</v>
      </c>
      <c r="K1061" s="21">
        <v>0.01</v>
      </c>
      <c r="L1061" s="21">
        <v>-0.3</v>
      </c>
    </row>
    <row r="1062" spans="1:12" ht="30" x14ac:dyDescent="0.25">
      <c r="A1062" s="10">
        <v>1057</v>
      </c>
      <c r="B1062" t="s">
        <v>22</v>
      </c>
      <c r="C1062" t="s">
        <v>17</v>
      </c>
      <c r="D1062" t="s">
        <v>290</v>
      </c>
      <c r="E1062" s="52" t="s">
        <v>291</v>
      </c>
      <c r="F1062" t="s">
        <v>23</v>
      </c>
      <c r="G1062" s="21">
        <v>0</v>
      </c>
      <c r="H1062" s="21">
        <v>0</v>
      </c>
      <c r="I1062" s="21">
        <v>0</v>
      </c>
      <c r="J1062" s="21">
        <v>0</v>
      </c>
      <c r="K1062" s="21">
        <v>0</v>
      </c>
      <c r="L1062" s="21">
        <v>0</v>
      </c>
    </row>
    <row r="1063" spans="1:12" ht="30" x14ac:dyDescent="0.25">
      <c r="A1063" s="10">
        <v>1058</v>
      </c>
      <c r="B1063" t="s">
        <v>22</v>
      </c>
      <c r="C1063" t="s">
        <v>17</v>
      </c>
      <c r="D1063" t="s">
        <v>290</v>
      </c>
      <c r="E1063" s="52" t="s">
        <v>291</v>
      </c>
      <c r="F1063" t="s">
        <v>24</v>
      </c>
      <c r="G1063" s="21">
        <v>0</v>
      </c>
      <c r="H1063" s="21">
        <v>0</v>
      </c>
      <c r="I1063" s="21">
        <v>-0.33</v>
      </c>
      <c r="J1063" s="21">
        <v>0</v>
      </c>
      <c r="K1063" s="21">
        <v>0.01</v>
      </c>
      <c r="L1063" s="21">
        <v>-0.32</v>
      </c>
    </row>
    <row r="1064" spans="1:12" ht="30" x14ac:dyDescent="0.25">
      <c r="A1064" s="10">
        <v>1059</v>
      </c>
      <c r="B1064" t="s">
        <v>22</v>
      </c>
      <c r="C1064" t="s">
        <v>17</v>
      </c>
      <c r="D1064" t="s">
        <v>290</v>
      </c>
      <c r="E1064" s="52" t="s">
        <v>291</v>
      </c>
      <c r="F1064" t="s">
        <v>24</v>
      </c>
      <c r="G1064" s="21">
        <v>0</v>
      </c>
      <c r="H1064" s="21">
        <v>0</v>
      </c>
      <c r="I1064" s="21">
        <v>0</v>
      </c>
      <c r="J1064" s="21">
        <v>0</v>
      </c>
      <c r="K1064" s="21">
        <v>0</v>
      </c>
      <c r="L1064" s="21">
        <v>0</v>
      </c>
    </row>
    <row r="1065" spans="1:12" ht="30" x14ac:dyDescent="0.25">
      <c r="A1065" s="10">
        <v>1060</v>
      </c>
      <c r="B1065" t="s">
        <v>22</v>
      </c>
      <c r="C1065" t="s">
        <v>17</v>
      </c>
      <c r="D1065" t="s">
        <v>290</v>
      </c>
      <c r="E1065" s="52" t="s">
        <v>291</v>
      </c>
      <c r="F1065" t="s">
        <v>24</v>
      </c>
      <c r="G1065" s="21">
        <v>0</v>
      </c>
      <c r="H1065" s="21">
        <v>0</v>
      </c>
      <c r="I1065" s="21">
        <v>0</v>
      </c>
      <c r="J1065" s="21">
        <v>0</v>
      </c>
      <c r="K1065" s="21">
        <v>0</v>
      </c>
      <c r="L1065" s="21">
        <v>0</v>
      </c>
    </row>
    <row r="1066" spans="1:12" ht="30" x14ac:dyDescent="0.25">
      <c r="A1066" s="10">
        <v>1061</v>
      </c>
      <c r="B1066" t="s">
        <v>550</v>
      </c>
      <c r="C1066" t="s">
        <v>17</v>
      </c>
      <c r="D1066" t="s">
        <v>290</v>
      </c>
      <c r="E1066" s="52" t="s">
        <v>291</v>
      </c>
      <c r="F1066" t="s">
        <v>551</v>
      </c>
      <c r="G1066" s="21">
        <v>0</v>
      </c>
      <c r="H1066" s="21">
        <v>0</v>
      </c>
      <c r="I1066" s="21">
        <v>-497.08</v>
      </c>
      <c r="J1066" s="21">
        <v>0</v>
      </c>
      <c r="K1066" s="21">
        <v>9.94</v>
      </c>
      <c r="L1066" s="21">
        <v>-487.14</v>
      </c>
    </row>
    <row r="1067" spans="1:12" ht="30" x14ac:dyDescent="0.25">
      <c r="A1067" s="10">
        <v>1062</v>
      </c>
      <c r="B1067" t="s">
        <v>550</v>
      </c>
      <c r="C1067" t="s">
        <v>17</v>
      </c>
      <c r="D1067" t="s">
        <v>290</v>
      </c>
      <c r="E1067" s="52" t="s">
        <v>291</v>
      </c>
      <c r="F1067" t="s">
        <v>552</v>
      </c>
      <c r="G1067" s="21">
        <v>0</v>
      </c>
      <c r="H1067" s="21">
        <v>0</v>
      </c>
      <c r="I1067" s="21">
        <v>-0.04</v>
      </c>
      <c r="J1067" s="21">
        <v>0</v>
      </c>
      <c r="K1067" s="21">
        <v>0</v>
      </c>
      <c r="L1067" s="21">
        <v>-0.04</v>
      </c>
    </row>
    <row r="1068" spans="1:12" x14ac:dyDescent="0.25">
      <c r="A1068" s="10">
        <v>1063</v>
      </c>
      <c r="B1068" t="s">
        <v>555</v>
      </c>
      <c r="C1068" t="s">
        <v>17</v>
      </c>
      <c r="D1068" t="s">
        <v>292</v>
      </c>
      <c r="E1068" s="52" t="s">
        <v>293</v>
      </c>
      <c r="F1068" t="s">
        <v>556</v>
      </c>
      <c r="G1068" s="21">
        <v>-3522.75</v>
      </c>
      <c r="H1068" s="21">
        <v>0</v>
      </c>
      <c r="I1068" s="21">
        <v>0</v>
      </c>
      <c r="J1068" s="21">
        <v>0</v>
      </c>
      <c r="K1068" s="21">
        <v>70.459999999999994</v>
      </c>
      <c r="L1068" s="21">
        <v>-3452.29</v>
      </c>
    </row>
    <row r="1069" spans="1:12" x14ac:dyDescent="0.25">
      <c r="A1069" s="10">
        <v>1064</v>
      </c>
      <c r="B1069" t="s">
        <v>555</v>
      </c>
      <c r="C1069" t="s">
        <v>13</v>
      </c>
      <c r="D1069" t="s">
        <v>292</v>
      </c>
      <c r="E1069" s="52" t="s">
        <v>293</v>
      </c>
      <c r="F1069" t="s">
        <v>556</v>
      </c>
      <c r="G1069" s="21">
        <v>0</v>
      </c>
      <c r="H1069" s="21">
        <v>0</v>
      </c>
      <c r="I1069" s="21">
        <v>0</v>
      </c>
      <c r="J1069" s="21">
        <v>-422.73</v>
      </c>
      <c r="K1069" s="21">
        <v>0</v>
      </c>
      <c r="L1069" s="21">
        <v>-422.73</v>
      </c>
    </row>
    <row r="1070" spans="1:12" x14ac:dyDescent="0.25">
      <c r="A1070" s="10">
        <v>1065</v>
      </c>
      <c r="B1070" t="s">
        <v>557</v>
      </c>
      <c r="C1070" t="s">
        <v>17</v>
      </c>
      <c r="D1070" t="s">
        <v>292</v>
      </c>
      <c r="E1070" s="52" t="s">
        <v>293</v>
      </c>
      <c r="F1070" t="s">
        <v>558</v>
      </c>
      <c r="G1070" s="21">
        <v>-1041.26</v>
      </c>
      <c r="H1070" s="21">
        <v>0</v>
      </c>
      <c r="I1070" s="21">
        <v>0</v>
      </c>
      <c r="J1070" s="21">
        <v>0</v>
      </c>
      <c r="K1070" s="21">
        <v>20.83</v>
      </c>
      <c r="L1070" s="21">
        <v>-1020.43</v>
      </c>
    </row>
    <row r="1071" spans="1:12" x14ac:dyDescent="0.25">
      <c r="A1071" s="10">
        <v>1066</v>
      </c>
      <c r="B1071" t="s">
        <v>557</v>
      </c>
      <c r="C1071" t="s">
        <v>13</v>
      </c>
      <c r="D1071" t="s">
        <v>292</v>
      </c>
      <c r="E1071" s="52" t="s">
        <v>293</v>
      </c>
      <c r="F1071" t="s">
        <v>558</v>
      </c>
      <c r="G1071" s="21">
        <v>0</v>
      </c>
      <c r="H1071" s="21">
        <v>0</v>
      </c>
      <c r="I1071" s="21">
        <v>0</v>
      </c>
      <c r="J1071" s="21">
        <v>-124.95</v>
      </c>
      <c r="K1071" s="21">
        <v>0</v>
      </c>
      <c r="L1071" s="21">
        <v>-124.95</v>
      </c>
    </row>
    <row r="1072" spans="1:12" x14ac:dyDescent="0.25">
      <c r="A1072" s="10">
        <v>1067</v>
      </c>
      <c r="B1072" t="s">
        <v>18</v>
      </c>
      <c r="C1072" t="s">
        <v>17</v>
      </c>
      <c r="D1072" t="s">
        <v>292</v>
      </c>
      <c r="E1072" s="52" t="s">
        <v>293</v>
      </c>
      <c r="F1072" t="s">
        <v>19</v>
      </c>
      <c r="G1072" s="21">
        <v>-13.63</v>
      </c>
      <c r="H1072" s="21">
        <v>0</v>
      </c>
      <c r="I1072" s="21">
        <v>0</v>
      </c>
      <c r="J1072" s="21">
        <v>0</v>
      </c>
      <c r="K1072" s="21">
        <v>12.09</v>
      </c>
      <c r="L1072" s="21">
        <v>-1.54</v>
      </c>
    </row>
    <row r="1073" spans="1:12" x14ac:dyDescent="0.25">
      <c r="A1073" s="10">
        <v>1068</v>
      </c>
      <c r="B1073" t="s">
        <v>550</v>
      </c>
      <c r="C1073" t="s">
        <v>17</v>
      </c>
      <c r="D1073" t="s">
        <v>292</v>
      </c>
      <c r="E1073" s="52" t="s">
        <v>293</v>
      </c>
      <c r="F1073" t="s">
        <v>551</v>
      </c>
      <c r="G1073" s="21">
        <v>-290826.87</v>
      </c>
      <c r="H1073" s="21">
        <v>0</v>
      </c>
      <c r="I1073" s="21">
        <v>0</v>
      </c>
      <c r="J1073" s="21">
        <v>0</v>
      </c>
      <c r="K1073" s="21">
        <v>5816.54</v>
      </c>
      <c r="L1073" s="21">
        <v>-285010.33</v>
      </c>
    </row>
    <row r="1074" spans="1:12" x14ac:dyDescent="0.25">
      <c r="A1074" s="10">
        <v>1069</v>
      </c>
      <c r="B1074" t="s">
        <v>550</v>
      </c>
      <c r="C1074" t="s">
        <v>13</v>
      </c>
      <c r="D1074" t="s">
        <v>292</v>
      </c>
      <c r="E1074" s="52" t="s">
        <v>293</v>
      </c>
      <c r="F1074" t="s">
        <v>551</v>
      </c>
      <c r="G1074" s="21">
        <v>0</v>
      </c>
      <c r="H1074" s="21">
        <v>0</v>
      </c>
      <c r="I1074" s="21">
        <v>0</v>
      </c>
      <c r="J1074" s="21">
        <v>-31846.41</v>
      </c>
      <c r="K1074" s="21">
        <v>0</v>
      </c>
      <c r="L1074" s="21">
        <v>-31846.41</v>
      </c>
    </row>
    <row r="1075" spans="1:12" x14ac:dyDescent="0.25">
      <c r="A1075" s="10">
        <v>1070</v>
      </c>
      <c r="B1075" t="s">
        <v>550</v>
      </c>
      <c r="C1075" t="s">
        <v>17</v>
      </c>
      <c r="D1075" t="s">
        <v>292</v>
      </c>
      <c r="E1075" s="52" t="s">
        <v>293</v>
      </c>
      <c r="F1075" t="s">
        <v>552</v>
      </c>
      <c r="G1075" s="21">
        <v>-20.92</v>
      </c>
      <c r="H1075" s="21">
        <v>0</v>
      </c>
      <c r="I1075" s="21">
        <v>0</v>
      </c>
      <c r="J1075" s="21">
        <v>0</v>
      </c>
      <c r="K1075" s="21">
        <v>0.42</v>
      </c>
      <c r="L1075" s="21">
        <v>-20.5</v>
      </c>
    </row>
    <row r="1076" spans="1:12" x14ac:dyDescent="0.25">
      <c r="A1076" s="10">
        <v>1071</v>
      </c>
      <c r="B1076" t="s">
        <v>550</v>
      </c>
      <c r="C1076" t="s">
        <v>13</v>
      </c>
      <c r="D1076" t="s">
        <v>292</v>
      </c>
      <c r="E1076" s="52" t="s">
        <v>293</v>
      </c>
      <c r="F1076" t="s">
        <v>552</v>
      </c>
      <c r="G1076" s="21">
        <v>0</v>
      </c>
      <c r="H1076" s="21">
        <v>0</v>
      </c>
      <c r="I1076" s="21">
        <v>0</v>
      </c>
      <c r="J1076" s="21">
        <v>-2.29</v>
      </c>
      <c r="K1076" s="21">
        <v>0</v>
      </c>
      <c r="L1076" s="21">
        <v>-2.29</v>
      </c>
    </row>
    <row r="1077" spans="1:12" ht="30" x14ac:dyDescent="0.25">
      <c r="A1077" s="10">
        <v>1072</v>
      </c>
      <c r="B1077" t="s">
        <v>12</v>
      </c>
      <c r="C1077" t="s">
        <v>17</v>
      </c>
      <c r="D1077" t="s">
        <v>294</v>
      </c>
      <c r="E1077" s="52" t="s">
        <v>295</v>
      </c>
      <c r="F1077" t="s">
        <v>16</v>
      </c>
      <c r="G1077" s="21">
        <v>-429.71</v>
      </c>
      <c r="H1077" s="21">
        <v>0</v>
      </c>
      <c r="I1077" s="21">
        <v>0</v>
      </c>
      <c r="J1077" s="21">
        <v>0</v>
      </c>
      <c r="K1077" s="21">
        <v>7.67</v>
      </c>
      <c r="L1077" s="21">
        <v>-422.04</v>
      </c>
    </row>
    <row r="1078" spans="1:12" ht="30" x14ac:dyDescent="0.25">
      <c r="A1078" s="10">
        <v>1073</v>
      </c>
      <c r="B1078" t="s">
        <v>12</v>
      </c>
      <c r="C1078" t="s">
        <v>49</v>
      </c>
      <c r="D1078" t="s">
        <v>294</v>
      </c>
      <c r="E1078" s="52" t="s">
        <v>295</v>
      </c>
      <c r="F1078" t="s">
        <v>16</v>
      </c>
      <c r="G1078" s="21">
        <v>-1.95</v>
      </c>
      <c r="H1078" s="21">
        <v>0</v>
      </c>
      <c r="I1078" s="21">
        <v>0</v>
      </c>
      <c r="J1078" s="21">
        <v>0</v>
      </c>
      <c r="K1078" s="21">
        <v>0</v>
      </c>
      <c r="L1078" s="21">
        <v>-1.95</v>
      </c>
    </row>
    <row r="1079" spans="1:12" ht="30" x14ac:dyDescent="0.25">
      <c r="A1079" s="10">
        <v>1074</v>
      </c>
      <c r="B1079" t="s">
        <v>12</v>
      </c>
      <c r="C1079" t="s">
        <v>13</v>
      </c>
      <c r="D1079" t="s">
        <v>294</v>
      </c>
      <c r="E1079" s="52" t="s">
        <v>295</v>
      </c>
      <c r="F1079" t="s">
        <v>16</v>
      </c>
      <c r="G1079" s="21">
        <v>0</v>
      </c>
      <c r="H1079" s="21">
        <v>0</v>
      </c>
      <c r="I1079" s="21">
        <v>0</v>
      </c>
      <c r="J1079" s="21">
        <v>-51.68</v>
      </c>
      <c r="K1079" s="21">
        <v>0</v>
      </c>
      <c r="L1079" s="21">
        <v>-51.68</v>
      </c>
    </row>
    <row r="1080" spans="1:12" ht="30" x14ac:dyDescent="0.25">
      <c r="A1080" s="10">
        <v>1075</v>
      </c>
      <c r="B1080" t="s">
        <v>18</v>
      </c>
      <c r="C1080" t="s">
        <v>17</v>
      </c>
      <c r="D1080" t="s">
        <v>294</v>
      </c>
      <c r="E1080" s="52" t="s">
        <v>295</v>
      </c>
      <c r="F1080" t="s">
        <v>19</v>
      </c>
      <c r="G1080" s="21">
        <v>-2.35</v>
      </c>
      <c r="H1080" s="21">
        <v>0</v>
      </c>
      <c r="I1080" s="21">
        <v>0</v>
      </c>
      <c r="J1080" s="21">
        <v>0</v>
      </c>
      <c r="K1080" s="21">
        <v>0</v>
      </c>
      <c r="L1080" s="21">
        <v>-2.35</v>
      </c>
    </row>
    <row r="1081" spans="1:12" ht="30" x14ac:dyDescent="0.25">
      <c r="A1081" s="10">
        <v>1076</v>
      </c>
      <c r="B1081" t="s">
        <v>22</v>
      </c>
      <c r="C1081" t="s">
        <v>17</v>
      </c>
      <c r="D1081" t="s">
        <v>294</v>
      </c>
      <c r="E1081" s="52" t="s">
        <v>295</v>
      </c>
      <c r="F1081" t="s">
        <v>23</v>
      </c>
      <c r="G1081" s="21">
        <v>-11852.24</v>
      </c>
      <c r="H1081" s="21">
        <v>0</v>
      </c>
      <c r="I1081" s="21">
        <v>0</v>
      </c>
      <c r="J1081" s="21">
        <v>0</v>
      </c>
      <c r="K1081" s="21">
        <v>237.04</v>
      </c>
      <c r="L1081" s="21">
        <v>-11615.2</v>
      </c>
    </row>
    <row r="1082" spans="1:12" ht="30" x14ac:dyDescent="0.25">
      <c r="A1082" s="10">
        <v>1077</v>
      </c>
      <c r="B1082" t="s">
        <v>22</v>
      </c>
      <c r="C1082" t="s">
        <v>49</v>
      </c>
      <c r="D1082" t="s">
        <v>294</v>
      </c>
      <c r="E1082" s="52" t="s">
        <v>295</v>
      </c>
      <c r="F1082" t="s">
        <v>23</v>
      </c>
      <c r="G1082" s="21">
        <v>-39.31</v>
      </c>
      <c r="H1082" s="21">
        <v>0</v>
      </c>
      <c r="I1082" s="21">
        <v>0</v>
      </c>
      <c r="J1082" s="21">
        <v>0</v>
      </c>
      <c r="K1082" s="21">
        <v>0</v>
      </c>
      <c r="L1082" s="21">
        <v>-39.31</v>
      </c>
    </row>
    <row r="1083" spans="1:12" ht="30" x14ac:dyDescent="0.25">
      <c r="A1083" s="10">
        <v>1078</v>
      </c>
      <c r="B1083" t="s">
        <v>22</v>
      </c>
      <c r="C1083" t="s">
        <v>17</v>
      </c>
      <c r="D1083" t="s">
        <v>294</v>
      </c>
      <c r="E1083" s="52" t="s">
        <v>295</v>
      </c>
      <c r="F1083" t="s">
        <v>23</v>
      </c>
      <c r="G1083" s="21">
        <v>-10012.4</v>
      </c>
      <c r="H1083" s="21">
        <v>0</v>
      </c>
      <c r="I1083" s="21">
        <v>0</v>
      </c>
      <c r="J1083" s="21">
        <v>0</v>
      </c>
      <c r="K1083" s="21">
        <v>185.63</v>
      </c>
      <c r="L1083" s="21">
        <v>-9826.77</v>
      </c>
    </row>
    <row r="1084" spans="1:12" ht="30" x14ac:dyDescent="0.25">
      <c r="A1084" s="10">
        <v>1079</v>
      </c>
      <c r="B1084" t="s">
        <v>22</v>
      </c>
      <c r="C1084" t="s">
        <v>49</v>
      </c>
      <c r="D1084" t="s">
        <v>294</v>
      </c>
      <c r="E1084" s="52" t="s">
        <v>295</v>
      </c>
      <c r="F1084" t="s">
        <v>23</v>
      </c>
      <c r="G1084" s="21">
        <v>-26.68</v>
      </c>
      <c r="H1084" s="21">
        <v>0</v>
      </c>
      <c r="I1084" s="21">
        <v>0</v>
      </c>
      <c r="J1084" s="21">
        <v>0</v>
      </c>
      <c r="K1084" s="21">
        <v>0</v>
      </c>
      <c r="L1084" s="21">
        <v>-26.68</v>
      </c>
    </row>
    <row r="1085" spans="1:12" ht="30" x14ac:dyDescent="0.25">
      <c r="A1085" s="10">
        <v>1080</v>
      </c>
      <c r="B1085" t="s">
        <v>22</v>
      </c>
      <c r="C1085" t="s">
        <v>13</v>
      </c>
      <c r="D1085" t="s">
        <v>294</v>
      </c>
      <c r="E1085" s="52" t="s">
        <v>295</v>
      </c>
      <c r="F1085" t="s">
        <v>23</v>
      </c>
      <c r="G1085" s="21">
        <v>0</v>
      </c>
      <c r="H1085" s="21">
        <v>0</v>
      </c>
      <c r="I1085" s="21">
        <v>0</v>
      </c>
      <c r="J1085" s="21">
        <v>-2706.54</v>
      </c>
      <c r="K1085" s="21">
        <v>0</v>
      </c>
      <c r="L1085" s="21">
        <v>-2706.54</v>
      </c>
    </row>
    <row r="1086" spans="1:12" ht="30" x14ac:dyDescent="0.25">
      <c r="A1086" s="10">
        <v>1081</v>
      </c>
      <c r="B1086" t="s">
        <v>22</v>
      </c>
      <c r="C1086" t="s">
        <v>17</v>
      </c>
      <c r="D1086" t="s">
        <v>294</v>
      </c>
      <c r="E1086" s="52" t="s">
        <v>295</v>
      </c>
      <c r="F1086" t="s">
        <v>24</v>
      </c>
      <c r="G1086" s="21">
        <v>-22.99</v>
      </c>
      <c r="H1086" s="21">
        <v>0</v>
      </c>
      <c r="I1086" s="21">
        <v>0</v>
      </c>
      <c r="J1086" s="21">
        <v>0</v>
      </c>
      <c r="K1086" s="21">
        <v>0.46</v>
      </c>
      <c r="L1086" s="21">
        <v>-22.53</v>
      </c>
    </row>
    <row r="1087" spans="1:12" ht="30" x14ac:dyDescent="0.25">
      <c r="A1087" s="10">
        <v>1082</v>
      </c>
      <c r="B1087" t="s">
        <v>22</v>
      </c>
      <c r="C1087" t="s">
        <v>49</v>
      </c>
      <c r="D1087" t="s">
        <v>294</v>
      </c>
      <c r="E1087" s="52" t="s">
        <v>295</v>
      </c>
      <c r="F1087" t="s">
        <v>24</v>
      </c>
      <c r="G1087" s="21">
        <v>-0.08</v>
      </c>
      <c r="H1087" s="21">
        <v>0</v>
      </c>
      <c r="I1087" s="21">
        <v>0</v>
      </c>
      <c r="J1087" s="21">
        <v>0</v>
      </c>
      <c r="K1087" s="21">
        <v>0</v>
      </c>
      <c r="L1087" s="21">
        <v>-0.08</v>
      </c>
    </row>
    <row r="1088" spans="1:12" ht="30" x14ac:dyDescent="0.25">
      <c r="A1088" s="10">
        <v>1083</v>
      </c>
      <c r="B1088" t="s">
        <v>22</v>
      </c>
      <c r="C1088" t="s">
        <v>17</v>
      </c>
      <c r="D1088" t="s">
        <v>294</v>
      </c>
      <c r="E1088" s="52" t="s">
        <v>295</v>
      </c>
      <c r="F1088" t="s">
        <v>24</v>
      </c>
      <c r="G1088" s="21">
        <v>-19.43</v>
      </c>
      <c r="H1088" s="21">
        <v>0</v>
      </c>
      <c r="I1088" s="21">
        <v>0</v>
      </c>
      <c r="J1088" s="21">
        <v>0</v>
      </c>
      <c r="K1088" s="21">
        <v>0.36</v>
      </c>
      <c r="L1088" s="21">
        <v>-19.07</v>
      </c>
    </row>
    <row r="1089" spans="1:12" ht="30" x14ac:dyDescent="0.25">
      <c r="A1089" s="10">
        <v>1084</v>
      </c>
      <c r="B1089" t="s">
        <v>22</v>
      </c>
      <c r="C1089" t="s">
        <v>49</v>
      </c>
      <c r="D1089" t="s">
        <v>294</v>
      </c>
      <c r="E1089" s="52" t="s">
        <v>295</v>
      </c>
      <c r="F1089" t="s">
        <v>24</v>
      </c>
      <c r="G1089" s="21">
        <v>-0.05</v>
      </c>
      <c r="H1089" s="21">
        <v>0</v>
      </c>
      <c r="I1089" s="21">
        <v>0</v>
      </c>
      <c r="J1089" s="21">
        <v>0</v>
      </c>
      <c r="K1089" s="21">
        <v>0</v>
      </c>
      <c r="L1089" s="21">
        <v>-0.05</v>
      </c>
    </row>
    <row r="1090" spans="1:12" ht="30" x14ac:dyDescent="0.25">
      <c r="A1090" s="10">
        <v>1085</v>
      </c>
      <c r="B1090" t="s">
        <v>22</v>
      </c>
      <c r="C1090" t="s">
        <v>13</v>
      </c>
      <c r="D1090" t="s">
        <v>294</v>
      </c>
      <c r="E1090" s="52" t="s">
        <v>295</v>
      </c>
      <c r="F1090" t="s">
        <v>24</v>
      </c>
      <c r="G1090" s="21">
        <v>0</v>
      </c>
      <c r="H1090" s="21">
        <v>0</v>
      </c>
      <c r="I1090" s="21">
        <v>0</v>
      </c>
      <c r="J1090" s="21">
        <v>-5.25</v>
      </c>
      <c r="K1090" s="21">
        <v>0</v>
      </c>
      <c r="L1090" s="21">
        <v>-5.25</v>
      </c>
    </row>
    <row r="1091" spans="1:12" ht="30" x14ac:dyDescent="0.25">
      <c r="A1091" s="10">
        <v>1086</v>
      </c>
      <c r="B1091" t="s">
        <v>550</v>
      </c>
      <c r="C1091" t="s">
        <v>17</v>
      </c>
      <c r="D1091" t="s">
        <v>294</v>
      </c>
      <c r="E1091" s="52" t="s">
        <v>295</v>
      </c>
      <c r="F1091" t="s">
        <v>551</v>
      </c>
      <c r="G1091" s="21">
        <v>-27591.96</v>
      </c>
      <c r="H1091" s="21">
        <v>0</v>
      </c>
      <c r="I1091" s="21">
        <v>0</v>
      </c>
      <c r="J1091" s="21">
        <v>0</v>
      </c>
      <c r="K1091" s="21">
        <v>551.84</v>
      </c>
      <c r="L1091" s="21">
        <v>-27040.12</v>
      </c>
    </row>
    <row r="1092" spans="1:12" ht="30" x14ac:dyDescent="0.25">
      <c r="A1092" s="10">
        <v>1087</v>
      </c>
      <c r="B1092" t="s">
        <v>550</v>
      </c>
      <c r="C1092" t="s">
        <v>49</v>
      </c>
      <c r="D1092" t="s">
        <v>294</v>
      </c>
      <c r="E1092" s="52" t="s">
        <v>295</v>
      </c>
      <c r="F1092" t="s">
        <v>551</v>
      </c>
      <c r="G1092" s="21">
        <v>-20.6</v>
      </c>
      <c r="H1092" s="21">
        <v>0</v>
      </c>
      <c r="I1092" s="21">
        <v>0</v>
      </c>
      <c r="J1092" s="21">
        <v>0</v>
      </c>
      <c r="K1092" s="21">
        <v>0</v>
      </c>
      <c r="L1092" s="21">
        <v>-20.6</v>
      </c>
    </row>
    <row r="1093" spans="1:12" ht="30" x14ac:dyDescent="0.25">
      <c r="A1093" s="10">
        <v>1088</v>
      </c>
      <c r="B1093" t="s">
        <v>550</v>
      </c>
      <c r="C1093" t="s">
        <v>17</v>
      </c>
      <c r="D1093" t="s">
        <v>294</v>
      </c>
      <c r="E1093" s="52" t="s">
        <v>295</v>
      </c>
      <c r="F1093" t="s">
        <v>551</v>
      </c>
      <c r="G1093" s="21">
        <v>-134.38999999999999</v>
      </c>
      <c r="H1093" s="21">
        <v>0</v>
      </c>
      <c r="I1093" s="21">
        <v>0</v>
      </c>
      <c r="J1093" s="21">
        <v>0</v>
      </c>
      <c r="K1093" s="21">
        <v>2.69</v>
      </c>
      <c r="L1093" s="21">
        <v>-131.69999999999999</v>
      </c>
    </row>
    <row r="1094" spans="1:12" ht="30" x14ac:dyDescent="0.25">
      <c r="A1094" s="10">
        <v>1089</v>
      </c>
      <c r="B1094" t="s">
        <v>550</v>
      </c>
      <c r="C1094" t="s">
        <v>49</v>
      </c>
      <c r="D1094" t="s">
        <v>294</v>
      </c>
      <c r="E1094" s="52" t="s">
        <v>295</v>
      </c>
      <c r="F1094" t="s">
        <v>551</v>
      </c>
      <c r="G1094" s="21">
        <v>-5.98</v>
      </c>
      <c r="H1094" s="21">
        <v>0</v>
      </c>
      <c r="I1094" s="21">
        <v>0</v>
      </c>
      <c r="J1094" s="21">
        <v>0</v>
      </c>
      <c r="K1094" s="21">
        <v>0</v>
      </c>
      <c r="L1094" s="21">
        <v>-5.98</v>
      </c>
    </row>
    <row r="1095" spans="1:12" ht="30" x14ac:dyDescent="0.25">
      <c r="A1095" s="10">
        <v>1090</v>
      </c>
      <c r="B1095" t="s">
        <v>550</v>
      </c>
      <c r="C1095" t="s">
        <v>17</v>
      </c>
      <c r="D1095" t="s">
        <v>294</v>
      </c>
      <c r="E1095" s="52" t="s">
        <v>295</v>
      </c>
      <c r="F1095" t="s">
        <v>551</v>
      </c>
      <c r="G1095" s="21">
        <v>-2337.4</v>
      </c>
      <c r="H1095" s="21">
        <v>0</v>
      </c>
      <c r="I1095" s="21">
        <v>0</v>
      </c>
      <c r="J1095" s="21">
        <v>0</v>
      </c>
      <c r="K1095" s="21">
        <v>46.75</v>
      </c>
      <c r="L1095" s="21">
        <v>-2290.65</v>
      </c>
    </row>
    <row r="1096" spans="1:12" ht="30" x14ac:dyDescent="0.25">
      <c r="A1096" s="10">
        <v>1091</v>
      </c>
      <c r="B1096" t="s">
        <v>550</v>
      </c>
      <c r="C1096" t="s">
        <v>17</v>
      </c>
      <c r="D1096" t="s">
        <v>294</v>
      </c>
      <c r="E1096" s="52" t="s">
        <v>295</v>
      </c>
      <c r="F1096" t="s">
        <v>552</v>
      </c>
      <c r="G1096" s="21">
        <v>-1.99</v>
      </c>
      <c r="H1096" s="21">
        <v>0</v>
      </c>
      <c r="I1096" s="21">
        <v>0</v>
      </c>
      <c r="J1096" s="21">
        <v>0</v>
      </c>
      <c r="K1096" s="21">
        <v>0.04</v>
      </c>
      <c r="L1096" s="21">
        <v>-1.95</v>
      </c>
    </row>
    <row r="1097" spans="1:12" ht="30" x14ac:dyDescent="0.25">
      <c r="A1097" s="10">
        <v>1092</v>
      </c>
      <c r="B1097" t="s">
        <v>550</v>
      </c>
      <c r="C1097" t="s">
        <v>17</v>
      </c>
      <c r="D1097" t="s">
        <v>294</v>
      </c>
      <c r="E1097" s="52" t="s">
        <v>295</v>
      </c>
      <c r="F1097" t="s">
        <v>552</v>
      </c>
      <c r="G1097" s="21">
        <v>-0.01</v>
      </c>
      <c r="H1097" s="21">
        <v>0</v>
      </c>
      <c r="I1097" s="21">
        <v>0</v>
      </c>
      <c r="J1097" s="21">
        <v>0</v>
      </c>
      <c r="K1097" s="21">
        <v>0</v>
      </c>
      <c r="L1097" s="21">
        <v>-0.01</v>
      </c>
    </row>
    <row r="1098" spans="1:12" ht="30" x14ac:dyDescent="0.25">
      <c r="A1098" s="10">
        <v>1093</v>
      </c>
      <c r="B1098" t="s">
        <v>550</v>
      </c>
      <c r="C1098" t="s">
        <v>17</v>
      </c>
      <c r="D1098" t="s">
        <v>294</v>
      </c>
      <c r="E1098" s="52" t="s">
        <v>295</v>
      </c>
      <c r="F1098" t="s">
        <v>552</v>
      </c>
      <c r="G1098" s="21">
        <v>-0.16</v>
      </c>
      <c r="H1098" s="21">
        <v>0</v>
      </c>
      <c r="I1098" s="21">
        <v>0</v>
      </c>
      <c r="J1098" s="21">
        <v>0</v>
      </c>
      <c r="K1098" s="21">
        <v>0</v>
      </c>
      <c r="L1098" s="21">
        <v>-0.16</v>
      </c>
    </row>
    <row r="1099" spans="1:12" x14ac:dyDescent="0.25">
      <c r="A1099" s="10">
        <v>1094</v>
      </c>
      <c r="B1099" t="s">
        <v>18</v>
      </c>
      <c r="C1099" t="s">
        <v>17</v>
      </c>
      <c r="D1099" t="s">
        <v>296</v>
      </c>
      <c r="E1099" s="52" t="s">
        <v>297</v>
      </c>
      <c r="F1099" t="s">
        <v>19</v>
      </c>
      <c r="G1099" s="21">
        <v>-0.39</v>
      </c>
      <c r="H1099" s="21">
        <v>0</v>
      </c>
      <c r="I1099" s="21">
        <v>0</v>
      </c>
      <c r="J1099" s="21">
        <v>0</v>
      </c>
      <c r="K1099" s="21">
        <v>0.35</v>
      </c>
      <c r="L1099" s="21">
        <v>-0.04</v>
      </c>
    </row>
    <row r="1100" spans="1:12" x14ac:dyDescent="0.25">
      <c r="A1100" s="10">
        <v>1095</v>
      </c>
      <c r="B1100" t="s">
        <v>550</v>
      </c>
      <c r="C1100" t="s">
        <v>17</v>
      </c>
      <c r="D1100" t="s">
        <v>296</v>
      </c>
      <c r="E1100" s="52" t="s">
        <v>297</v>
      </c>
      <c r="F1100" t="s">
        <v>551</v>
      </c>
      <c r="G1100" s="21">
        <v>-32963.800000000003</v>
      </c>
      <c r="H1100" s="21">
        <v>0</v>
      </c>
      <c r="I1100" s="21">
        <v>0</v>
      </c>
      <c r="J1100" s="21">
        <v>0</v>
      </c>
      <c r="K1100" s="21">
        <v>659.28</v>
      </c>
      <c r="L1100" s="21">
        <v>-32304.52</v>
      </c>
    </row>
    <row r="1101" spans="1:12" x14ac:dyDescent="0.25">
      <c r="A1101" s="10">
        <v>1096</v>
      </c>
      <c r="B1101" t="s">
        <v>550</v>
      </c>
      <c r="C1101" t="s">
        <v>17</v>
      </c>
      <c r="D1101" t="s">
        <v>296</v>
      </c>
      <c r="E1101" s="52" t="s">
        <v>297</v>
      </c>
      <c r="F1101" t="s">
        <v>551</v>
      </c>
      <c r="G1101" s="21">
        <v>-3277782.9</v>
      </c>
      <c r="H1101" s="21">
        <v>0</v>
      </c>
      <c r="I1101" s="21">
        <v>0</v>
      </c>
      <c r="J1101" s="21">
        <v>0</v>
      </c>
      <c r="K1101" s="21">
        <v>65555.66</v>
      </c>
      <c r="L1101" s="21">
        <v>-3212227.24</v>
      </c>
    </row>
    <row r="1102" spans="1:12" x14ac:dyDescent="0.25">
      <c r="A1102" s="10">
        <v>1097</v>
      </c>
      <c r="B1102" t="s">
        <v>550</v>
      </c>
      <c r="C1102" t="s">
        <v>17</v>
      </c>
      <c r="D1102" t="s">
        <v>296</v>
      </c>
      <c r="E1102" s="52" t="s">
        <v>297</v>
      </c>
      <c r="F1102" t="s">
        <v>552</v>
      </c>
      <c r="G1102" s="21">
        <v>-2.37</v>
      </c>
      <c r="H1102" s="21">
        <v>0</v>
      </c>
      <c r="I1102" s="21">
        <v>0</v>
      </c>
      <c r="J1102" s="21">
        <v>0</v>
      </c>
      <c r="K1102" s="21">
        <v>0.05</v>
      </c>
      <c r="L1102" s="21">
        <v>-2.3199999999999998</v>
      </c>
    </row>
    <row r="1103" spans="1:12" x14ac:dyDescent="0.25">
      <c r="A1103" s="10">
        <v>1098</v>
      </c>
      <c r="B1103" t="s">
        <v>550</v>
      </c>
      <c r="C1103" t="s">
        <v>17</v>
      </c>
      <c r="D1103" t="s">
        <v>296</v>
      </c>
      <c r="E1103" s="52" t="s">
        <v>297</v>
      </c>
      <c r="F1103" t="s">
        <v>552</v>
      </c>
      <c r="G1103" s="21">
        <v>-235.76</v>
      </c>
      <c r="H1103" s="21">
        <v>0</v>
      </c>
      <c r="I1103" s="21">
        <v>0</v>
      </c>
      <c r="J1103" s="21">
        <v>0</v>
      </c>
      <c r="K1103" s="21">
        <v>4.72</v>
      </c>
      <c r="L1103" s="21">
        <v>-231.04</v>
      </c>
    </row>
    <row r="1104" spans="1:12" x14ac:dyDescent="0.25">
      <c r="A1104" s="10">
        <v>1099</v>
      </c>
      <c r="B1104" t="s">
        <v>559</v>
      </c>
      <c r="C1104" t="s">
        <v>17</v>
      </c>
      <c r="D1104" t="s">
        <v>298</v>
      </c>
      <c r="E1104" s="52" t="s">
        <v>299</v>
      </c>
      <c r="F1104" t="s">
        <v>560</v>
      </c>
      <c r="G1104" s="21">
        <v>-0.01</v>
      </c>
      <c r="H1104" s="21">
        <v>0</v>
      </c>
      <c r="I1104" s="21">
        <v>0</v>
      </c>
      <c r="J1104" s="21">
        <v>0</v>
      </c>
      <c r="K1104" s="21">
        <v>0</v>
      </c>
      <c r="L1104" s="21">
        <v>-0.01</v>
      </c>
    </row>
    <row r="1105" spans="1:12" x14ac:dyDescent="0.25">
      <c r="A1105" s="10">
        <v>1100</v>
      </c>
      <c r="B1105" t="s">
        <v>559</v>
      </c>
      <c r="C1105" t="s">
        <v>13</v>
      </c>
      <c r="D1105" t="s">
        <v>298</v>
      </c>
      <c r="E1105" s="52" t="s">
        <v>299</v>
      </c>
      <c r="F1105" t="s">
        <v>560</v>
      </c>
      <c r="G1105" s="21">
        <v>0</v>
      </c>
      <c r="H1105" s="21">
        <v>0</v>
      </c>
      <c r="I1105" s="21">
        <v>0</v>
      </c>
      <c r="J1105" s="21">
        <v>0</v>
      </c>
      <c r="K1105" s="21">
        <v>0</v>
      </c>
      <c r="L1105" s="21">
        <v>0</v>
      </c>
    </row>
    <row r="1106" spans="1:12" x14ac:dyDescent="0.25">
      <c r="A1106" s="10">
        <v>1101</v>
      </c>
      <c r="B1106" t="s">
        <v>18</v>
      </c>
      <c r="C1106" t="s">
        <v>17</v>
      </c>
      <c r="D1106" t="s">
        <v>298</v>
      </c>
      <c r="E1106" s="52" t="s">
        <v>299</v>
      </c>
      <c r="F1106" t="s">
        <v>19</v>
      </c>
      <c r="G1106" s="21">
        <v>-0.26</v>
      </c>
      <c r="H1106" s="21">
        <v>0</v>
      </c>
      <c r="I1106" s="21">
        <v>0</v>
      </c>
      <c r="J1106" s="21">
        <v>0</v>
      </c>
      <c r="K1106" s="21">
        <v>0</v>
      </c>
      <c r="L1106" s="21">
        <v>-0.26</v>
      </c>
    </row>
    <row r="1107" spans="1:12" x14ac:dyDescent="0.25">
      <c r="A1107" s="10">
        <v>1102</v>
      </c>
      <c r="B1107" t="s">
        <v>550</v>
      </c>
      <c r="C1107" t="s">
        <v>17</v>
      </c>
      <c r="D1107" t="s">
        <v>298</v>
      </c>
      <c r="E1107" s="52" t="s">
        <v>299</v>
      </c>
      <c r="F1107" t="s">
        <v>551</v>
      </c>
      <c r="G1107" s="21">
        <v>-3458.73</v>
      </c>
      <c r="H1107" s="21">
        <v>0</v>
      </c>
      <c r="I1107" s="21">
        <v>0</v>
      </c>
      <c r="J1107" s="21">
        <v>0</v>
      </c>
      <c r="K1107" s="21">
        <v>0</v>
      </c>
      <c r="L1107" s="21">
        <v>-3458.73</v>
      </c>
    </row>
    <row r="1108" spans="1:12" x14ac:dyDescent="0.25">
      <c r="A1108" s="10">
        <v>1103</v>
      </c>
      <c r="B1108" t="s">
        <v>550</v>
      </c>
      <c r="C1108" t="s">
        <v>13</v>
      </c>
      <c r="D1108" t="s">
        <v>298</v>
      </c>
      <c r="E1108" s="52" t="s">
        <v>299</v>
      </c>
      <c r="F1108" t="s">
        <v>551</v>
      </c>
      <c r="G1108" s="21">
        <v>0</v>
      </c>
      <c r="H1108" s="21">
        <v>0</v>
      </c>
      <c r="I1108" s="21">
        <v>0</v>
      </c>
      <c r="J1108" s="21">
        <v>-415.05</v>
      </c>
      <c r="K1108" s="21">
        <v>0</v>
      </c>
      <c r="L1108" s="21">
        <v>-415.05</v>
      </c>
    </row>
    <row r="1109" spans="1:12" x14ac:dyDescent="0.25">
      <c r="A1109" s="10">
        <v>1104</v>
      </c>
      <c r="B1109" t="s">
        <v>550</v>
      </c>
      <c r="C1109" t="s">
        <v>17</v>
      </c>
      <c r="D1109" t="s">
        <v>298</v>
      </c>
      <c r="E1109" s="52" t="s">
        <v>299</v>
      </c>
      <c r="F1109" t="s">
        <v>552</v>
      </c>
      <c r="G1109" s="21">
        <v>-0.25</v>
      </c>
      <c r="H1109" s="21">
        <v>0</v>
      </c>
      <c r="I1109" s="21">
        <v>0</v>
      </c>
      <c r="J1109" s="21">
        <v>0</v>
      </c>
      <c r="K1109" s="21">
        <v>0</v>
      </c>
      <c r="L1109" s="21">
        <v>-0.25</v>
      </c>
    </row>
    <row r="1110" spans="1:12" x14ac:dyDescent="0.25">
      <c r="A1110" s="10">
        <v>1105</v>
      </c>
      <c r="B1110" t="s">
        <v>550</v>
      </c>
      <c r="C1110" t="s">
        <v>13</v>
      </c>
      <c r="D1110" t="s">
        <v>298</v>
      </c>
      <c r="E1110" s="52" t="s">
        <v>299</v>
      </c>
      <c r="F1110" t="s">
        <v>552</v>
      </c>
      <c r="G1110" s="21">
        <v>0</v>
      </c>
      <c r="H1110" s="21">
        <v>0</v>
      </c>
      <c r="I1110" s="21">
        <v>0</v>
      </c>
      <c r="J1110" s="21">
        <v>-0.03</v>
      </c>
      <c r="K1110" s="21">
        <v>0</v>
      </c>
      <c r="L1110" s="21">
        <v>-0.03</v>
      </c>
    </row>
    <row r="1111" spans="1:12" ht="30" x14ac:dyDescent="0.25">
      <c r="A1111" s="10">
        <v>1106</v>
      </c>
      <c r="B1111" t="s">
        <v>555</v>
      </c>
      <c r="C1111" t="s">
        <v>17</v>
      </c>
      <c r="D1111" t="s">
        <v>300</v>
      </c>
      <c r="E1111" s="52" t="s">
        <v>301</v>
      </c>
      <c r="F1111" t="s">
        <v>556</v>
      </c>
      <c r="G1111" s="21">
        <v>0</v>
      </c>
      <c r="H1111" s="21">
        <v>0</v>
      </c>
      <c r="I1111" s="21">
        <v>-206.33</v>
      </c>
      <c r="J1111" s="21">
        <v>0</v>
      </c>
      <c r="K1111" s="21">
        <v>4.13</v>
      </c>
      <c r="L1111" s="21">
        <v>-202.2</v>
      </c>
    </row>
    <row r="1112" spans="1:12" ht="30" x14ac:dyDescent="0.25">
      <c r="A1112" s="10">
        <v>1107</v>
      </c>
      <c r="B1112" t="s">
        <v>557</v>
      </c>
      <c r="C1112" t="s">
        <v>17</v>
      </c>
      <c r="D1112" t="s">
        <v>300</v>
      </c>
      <c r="E1112" s="52" t="s">
        <v>301</v>
      </c>
      <c r="F1112" t="s">
        <v>558</v>
      </c>
      <c r="G1112" s="21">
        <v>0</v>
      </c>
      <c r="H1112" s="21">
        <v>0</v>
      </c>
      <c r="I1112" s="21">
        <v>-105.78</v>
      </c>
      <c r="J1112" s="21">
        <v>0</v>
      </c>
      <c r="K1112" s="21">
        <v>2.12</v>
      </c>
      <c r="L1112" s="21">
        <v>-103.66</v>
      </c>
    </row>
    <row r="1113" spans="1:12" ht="30" x14ac:dyDescent="0.25">
      <c r="A1113" s="10">
        <v>1108</v>
      </c>
      <c r="B1113" t="s">
        <v>18</v>
      </c>
      <c r="C1113" t="s">
        <v>17</v>
      </c>
      <c r="D1113" t="s">
        <v>300</v>
      </c>
      <c r="E1113" s="52" t="s">
        <v>301</v>
      </c>
      <c r="F1113" t="s">
        <v>19</v>
      </c>
      <c r="G1113" s="21">
        <v>0</v>
      </c>
      <c r="H1113" s="21">
        <v>0</v>
      </c>
      <c r="I1113" s="21">
        <v>-4.7</v>
      </c>
      <c r="J1113" s="21">
        <v>0</v>
      </c>
      <c r="K1113" s="21">
        <v>0.55000000000000004</v>
      </c>
      <c r="L1113" s="21">
        <v>-4.1500000000000004</v>
      </c>
    </row>
    <row r="1114" spans="1:12" ht="30" x14ac:dyDescent="0.25">
      <c r="A1114" s="10">
        <v>1109</v>
      </c>
      <c r="B1114" t="s">
        <v>550</v>
      </c>
      <c r="C1114" t="s">
        <v>17</v>
      </c>
      <c r="D1114" t="s">
        <v>300</v>
      </c>
      <c r="E1114" s="52" t="s">
        <v>301</v>
      </c>
      <c r="F1114" t="s">
        <v>551</v>
      </c>
      <c r="G1114" s="21">
        <v>0</v>
      </c>
      <c r="H1114" s="21">
        <v>0</v>
      </c>
      <c r="I1114" s="21">
        <v>-7434.15</v>
      </c>
      <c r="J1114" s="21">
        <v>0</v>
      </c>
      <c r="K1114" s="21">
        <v>148.68</v>
      </c>
      <c r="L1114" s="21">
        <v>-7285.47</v>
      </c>
    </row>
    <row r="1115" spans="1:12" ht="30" x14ac:dyDescent="0.25">
      <c r="A1115" s="10">
        <v>1110</v>
      </c>
      <c r="B1115" t="s">
        <v>550</v>
      </c>
      <c r="C1115" t="s">
        <v>17</v>
      </c>
      <c r="D1115" t="s">
        <v>300</v>
      </c>
      <c r="E1115" s="52" t="s">
        <v>301</v>
      </c>
      <c r="F1115" t="s">
        <v>552</v>
      </c>
      <c r="G1115" s="21">
        <v>0</v>
      </c>
      <c r="H1115" s="21">
        <v>0</v>
      </c>
      <c r="I1115" s="21">
        <v>-0.53</v>
      </c>
      <c r="J1115" s="21">
        <v>0</v>
      </c>
      <c r="K1115" s="21">
        <v>0.01</v>
      </c>
      <c r="L1115" s="21">
        <v>-0.52</v>
      </c>
    </row>
    <row r="1116" spans="1:12" x14ac:dyDescent="0.25">
      <c r="A1116" s="10">
        <v>1111</v>
      </c>
      <c r="B1116" t="s">
        <v>18</v>
      </c>
      <c r="C1116" t="s">
        <v>17</v>
      </c>
      <c r="D1116" t="s">
        <v>302</v>
      </c>
      <c r="E1116" s="52" t="s">
        <v>303</v>
      </c>
      <c r="F1116" t="s">
        <v>19</v>
      </c>
      <c r="G1116" s="21">
        <v>-7.0000000000000007E-2</v>
      </c>
      <c r="H1116" s="21">
        <v>0</v>
      </c>
      <c r="I1116" s="21">
        <v>0</v>
      </c>
      <c r="J1116" s="21">
        <v>0</v>
      </c>
      <c r="K1116" s="21">
        <v>0.06</v>
      </c>
      <c r="L1116" s="21">
        <v>-0.01</v>
      </c>
    </row>
    <row r="1117" spans="1:12" x14ac:dyDescent="0.25">
      <c r="A1117" s="10">
        <v>1112</v>
      </c>
      <c r="B1117" t="s">
        <v>20</v>
      </c>
      <c r="C1117" t="s">
        <v>17</v>
      </c>
      <c r="D1117" t="s">
        <v>302</v>
      </c>
      <c r="E1117" s="52" t="s">
        <v>303</v>
      </c>
      <c r="F1117" t="s">
        <v>21</v>
      </c>
      <c r="G1117" s="21">
        <v>0</v>
      </c>
      <c r="H1117" s="21">
        <v>0</v>
      </c>
      <c r="I1117" s="21">
        <v>0</v>
      </c>
      <c r="J1117" s="21">
        <v>0</v>
      </c>
      <c r="K1117" s="21">
        <v>0</v>
      </c>
      <c r="L1117" s="21">
        <v>0</v>
      </c>
    </row>
    <row r="1118" spans="1:12" x14ac:dyDescent="0.25">
      <c r="A1118" s="10">
        <v>1113</v>
      </c>
      <c r="B1118" t="s">
        <v>550</v>
      </c>
      <c r="C1118" t="s">
        <v>17</v>
      </c>
      <c r="D1118" t="s">
        <v>302</v>
      </c>
      <c r="E1118" s="52" t="s">
        <v>303</v>
      </c>
      <c r="F1118" t="s">
        <v>551</v>
      </c>
      <c r="G1118" s="21">
        <v>0</v>
      </c>
      <c r="H1118" s="21">
        <v>0</v>
      </c>
      <c r="I1118" s="21">
        <v>-6421.62</v>
      </c>
      <c r="J1118" s="21">
        <v>0</v>
      </c>
      <c r="K1118" s="21">
        <v>128.43</v>
      </c>
      <c r="L1118" s="21">
        <v>-6293.19</v>
      </c>
    </row>
    <row r="1119" spans="1:12" x14ac:dyDescent="0.25">
      <c r="A1119" s="10">
        <v>1114</v>
      </c>
      <c r="B1119" t="s">
        <v>550</v>
      </c>
      <c r="C1119" t="s">
        <v>17</v>
      </c>
      <c r="D1119" t="s">
        <v>302</v>
      </c>
      <c r="E1119" s="52" t="s">
        <v>303</v>
      </c>
      <c r="F1119" t="s">
        <v>552</v>
      </c>
      <c r="G1119" s="21">
        <v>0</v>
      </c>
      <c r="H1119" s="21">
        <v>0</v>
      </c>
      <c r="I1119" s="21">
        <v>-0.46</v>
      </c>
      <c r="J1119" s="21">
        <v>0</v>
      </c>
      <c r="K1119" s="21">
        <v>0.01</v>
      </c>
      <c r="L1119" s="21">
        <v>-0.45</v>
      </c>
    </row>
    <row r="1120" spans="1:12" ht="30" x14ac:dyDescent="0.25">
      <c r="A1120" s="10">
        <v>1115</v>
      </c>
      <c r="B1120" t="s">
        <v>22</v>
      </c>
      <c r="C1120" t="s">
        <v>17</v>
      </c>
      <c r="D1120" t="s">
        <v>304</v>
      </c>
      <c r="E1120" s="52" t="s">
        <v>305</v>
      </c>
      <c r="F1120" t="s">
        <v>23</v>
      </c>
      <c r="G1120" s="21">
        <v>0</v>
      </c>
      <c r="H1120" s="21">
        <v>0</v>
      </c>
      <c r="I1120" s="21">
        <v>0</v>
      </c>
      <c r="J1120" s="21">
        <v>0</v>
      </c>
      <c r="K1120" s="21">
        <v>0</v>
      </c>
      <c r="L1120" s="21">
        <v>0</v>
      </c>
    </row>
    <row r="1121" spans="1:12" ht="30" x14ac:dyDescent="0.25">
      <c r="A1121" s="10">
        <v>1116</v>
      </c>
      <c r="B1121" t="s">
        <v>550</v>
      </c>
      <c r="C1121" t="s">
        <v>17</v>
      </c>
      <c r="D1121" t="s">
        <v>616</v>
      </c>
      <c r="E1121" s="52" t="s">
        <v>617</v>
      </c>
      <c r="F1121" t="s">
        <v>551</v>
      </c>
      <c r="G1121" s="21">
        <v>0</v>
      </c>
      <c r="H1121" s="21">
        <v>0</v>
      </c>
      <c r="I1121" s="21">
        <v>-8.2100000000000009</v>
      </c>
      <c r="J1121" s="21">
        <v>0</v>
      </c>
      <c r="K1121" s="21">
        <v>0.16</v>
      </c>
      <c r="L1121" s="21">
        <v>-8.0500000000000007</v>
      </c>
    </row>
    <row r="1122" spans="1:12" x14ac:dyDescent="0.25">
      <c r="A1122" s="10">
        <v>1117</v>
      </c>
      <c r="B1122" t="s">
        <v>18</v>
      </c>
      <c r="C1122" t="s">
        <v>17</v>
      </c>
      <c r="D1122" t="s">
        <v>306</v>
      </c>
      <c r="E1122" s="52" t="s">
        <v>307</v>
      </c>
      <c r="F1122" t="s">
        <v>19</v>
      </c>
      <c r="G1122" s="21">
        <v>0</v>
      </c>
      <c r="H1122" s="21">
        <v>0</v>
      </c>
      <c r="I1122" s="21">
        <v>-0.05</v>
      </c>
      <c r="J1122" s="21">
        <v>0</v>
      </c>
      <c r="K1122" s="21">
        <v>0.01</v>
      </c>
      <c r="L1122" s="21">
        <v>-0.04</v>
      </c>
    </row>
    <row r="1123" spans="1:12" x14ac:dyDescent="0.25">
      <c r="A1123" s="10">
        <v>1118</v>
      </c>
      <c r="B1123" t="s">
        <v>555</v>
      </c>
      <c r="C1123" t="s">
        <v>17</v>
      </c>
      <c r="D1123" t="s">
        <v>618</v>
      </c>
      <c r="E1123" s="52" t="s">
        <v>307</v>
      </c>
      <c r="F1123" t="s">
        <v>556</v>
      </c>
      <c r="G1123" s="21">
        <v>0</v>
      </c>
      <c r="H1123" s="21">
        <v>0</v>
      </c>
      <c r="I1123" s="21">
        <v>-1.32</v>
      </c>
      <c r="J1123" s="21">
        <v>0</v>
      </c>
      <c r="K1123" s="21">
        <v>0.03</v>
      </c>
      <c r="L1123" s="21">
        <v>-1.29</v>
      </c>
    </row>
    <row r="1124" spans="1:12" x14ac:dyDescent="0.25">
      <c r="A1124" s="10">
        <v>1119</v>
      </c>
      <c r="B1124" t="s">
        <v>557</v>
      </c>
      <c r="C1124" t="s">
        <v>17</v>
      </c>
      <c r="D1124" t="s">
        <v>618</v>
      </c>
      <c r="E1124" s="52" t="s">
        <v>307</v>
      </c>
      <c r="F1124" t="s">
        <v>558</v>
      </c>
      <c r="G1124" s="21">
        <v>0</v>
      </c>
      <c r="H1124" s="21">
        <v>0</v>
      </c>
      <c r="I1124" s="21">
        <v>-0.98</v>
      </c>
      <c r="J1124" s="21">
        <v>0</v>
      </c>
      <c r="K1124" s="21">
        <v>0.02</v>
      </c>
      <c r="L1124" s="21">
        <v>-0.96</v>
      </c>
    </row>
    <row r="1125" spans="1:12" x14ac:dyDescent="0.25">
      <c r="A1125" s="10">
        <v>1120</v>
      </c>
      <c r="B1125" t="s">
        <v>22</v>
      </c>
      <c r="C1125" t="s">
        <v>17</v>
      </c>
      <c r="D1125" t="s">
        <v>618</v>
      </c>
      <c r="E1125" s="52" t="s">
        <v>307</v>
      </c>
      <c r="F1125" t="s">
        <v>23</v>
      </c>
      <c r="G1125" s="21">
        <v>0</v>
      </c>
      <c r="H1125" s="21">
        <v>0</v>
      </c>
      <c r="I1125" s="21">
        <v>-97.59</v>
      </c>
      <c r="J1125" s="21">
        <v>0</v>
      </c>
      <c r="K1125" s="21">
        <v>1.95</v>
      </c>
      <c r="L1125" s="21">
        <v>-95.64</v>
      </c>
    </row>
    <row r="1126" spans="1:12" x14ac:dyDescent="0.25">
      <c r="A1126" s="10">
        <v>1121</v>
      </c>
      <c r="B1126" t="s">
        <v>22</v>
      </c>
      <c r="C1126" t="s">
        <v>17</v>
      </c>
      <c r="D1126" t="s">
        <v>618</v>
      </c>
      <c r="E1126" s="52" t="s">
        <v>307</v>
      </c>
      <c r="F1126" t="s">
        <v>23</v>
      </c>
      <c r="G1126" s="21">
        <v>0</v>
      </c>
      <c r="H1126" s="21">
        <v>0</v>
      </c>
      <c r="I1126" s="21">
        <v>-0.02</v>
      </c>
      <c r="J1126" s="21">
        <v>0</v>
      </c>
      <c r="K1126" s="21">
        <v>0</v>
      </c>
      <c r="L1126" s="21">
        <v>-0.02</v>
      </c>
    </row>
    <row r="1127" spans="1:12" x14ac:dyDescent="0.25">
      <c r="A1127" s="10">
        <v>1122</v>
      </c>
      <c r="B1127" t="s">
        <v>22</v>
      </c>
      <c r="C1127" t="s">
        <v>49</v>
      </c>
      <c r="D1127" t="s">
        <v>618</v>
      </c>
      <c r="E1127" s="52" t="s">
        <v>307</v>
      </c>
      <c r="F1127" t="s">
        <v>23</v>
      </c>
      <c r="G1127" s="21">
        <v>0</v>
      </c>
      <c r="H1127" s="21">
        <v>0</v>
      </c>
      <c r="I1127" s="21">
        <v>-0.12</v>
      </c>
      <c r="J1127" s="21">
        <v>0</v>
      </c>
      <c r="K1127" s="21">
        <v>0</v>
      </c>
      <c r="L1127" s="21">
        <v>-0.12</v>
      </c>
    </row>
    <row r="1128" spans="1:12" x14ac:dyDescent="0.25">
      <c r="A1128" s="10">
        <v>1123</v>
      </c>
      <c r="B1128" t="s">
        <v>22</v>
      </c>
      <c r="C1128" t="s">
        <v>17</v>
      </c>
      <c r="D1128" t="s">
        <v>618</v>
      </c>
      <c r="E1128" s="52" t="s">
        <v>307</v>
      </c>
      <c r="F1128" t="s">
        <v>24</v>
      </c>
      <c r="G1128" s="21">
        <v>0</v>
      </c>
      <c r="H1128" s="21">
        <v>0</v>
      </c>
      <c r="I1128" s="21">
        <v>-0.19</v>
      </c>
      <c r="J1128" s="21">
        <v>0</v>
      </c>
      <c r="K1128" s="21">
        <v>0</v>
      </c>
      <c r="L1128" s="21">
        <v>-0.19</v>
      </c>
    </row>
    <row r="1129" spans="1:12" x14ac:dyDescent="0.25">
      <c r="A1129" s="10">
        <v>1124</v>
      </c>
      <c r="B1129" t="s">
        <v>22</v>
      </c>
      <c r="C1129" t="s">
        <v>17</v>
      </c>
      <c r="D1129" t="s">
        <v>618</v>
      </c>
      <c r="E1129" s="52" t="s">
        <v>307</v>
      </c>
      <c r="F1129" t="s">
        <v>24</v>
      </c>
      <c r="G1129" s="21">
        <v>0</v>
      </c>
      <c r="H1129" s="21">
        <v>0</v>
      </c>
      <c r="I1129" s="21">
        <v>0</v>
      </c>
      <c r="J1129" s="21">
        <v>0</v>
      </c>
      <c r="K1129" s="21">
        <v>0</v>
      </c>
      <c r="L1129" s="21">
        <v>0</v>
      </c>
    </row>
    <row r="1130" spans="1:12" x14ac:dyDescent="0.25">
      <c r="A1130" s="10">
        <v>1125</v>
      </c>
      <c r="B1130" t="s">
        <v>550</v>
      </c>
      <c r="C1130" t="s">
        <v>17</v>
      </c>
      <c r="D1130" t="s">
        <v>618</v>
      </c>
      <c r="E1130" s="52" t="s">
        <v>307</v>
      </c>
      <c r="F1130" t="s">
        <v>551</v>
      </c>
      <c r="G1130" s="21">
        <v>0</v>
      </c>
      <c r="H1130" s="21">
        <v>0</v>
      </c>
      <c r="I1130" s="21">
        <v>-11.63</v>
      </c>
      <c r="J1130" s="21">
        <v>0</v>
      </c>
      <c r="K1130" s="21">
        <v>0.23</v>
      </c>
      <c r="L1130" s="21">
        <v>-11.4</v>
      </c>
    </row>
    <row r="1131" spans="1:12" x14ac:dyDescent="0.25">
      <c r="A1131" s="10">
        <v>1126</v>
      </c>
      <c r="B1131" t="s">
        <v>550</v>
      </c>
      <c r="C1131" t="s">
        <v>17</v>
      </c>
      <c r="D1131" t="s">
        <v>618</v>
      </c>
      <c r="E1131" s="52" t="s">
        <v>307</v>
      </c>
      <c r="F1131" t="s">
        <v>551</v>
      </c>
      <c r="G1131" s="21">
        <v>0</v>
      </c>
      <c r="H1131" s="21">
        <v>0</v>
      </c>
      <c r="I1131" s="21">
        <v>-154.86000000000001</v>
      </c>
      <c r="J1131" s="21">
        <v>0</v>
      </c>
      <c r="K1131" s="21">
        <v>3.1</v>
      </c>
      <c r="L1131" s="21">
        <v>-151.76</v>
      </c>
    </row>
    <row r="1132" spans="1:12" x14ac:dyDescent="0.25">
      <c r="A1132" s="10">
        <v>1127</v>
      </c>
      <c r="B1132" t="s">
        <v>550</v>
      </c>
      <c r="C1132" t="s">
        <v>17</v>
      </c>
      <c r="D1132" t="s">
        <v>618</v>
      </c>
      <c r="E1132" s="52" t="s">
        <v>307</v>
      </c>
      <c r="F1132" t="s">
        <v>552</v>
      </c>
      <c r="G1132" s="21">
        <v>0</v>
      </c>
      <c r="H1132" s="21">
        <v>0</v>
      </c>
      <c r="I1132" s="21">
        <v>-0.01</v>
      </c>
      <c r="J1132" s="21">
        <v>0</v>
      </c>
      <c r="K1132" s="21">
        <v>0</v>
      </c>
      <c r="L1132" s="21">
        <v>-0.01</v>
      </c>
    </row>
    <row r="1133" spans="1:12" ht="30" x14ac:dyDescent="0.25">
      <c r="A1133" s="10">
        <v>1128</v>
      </c>
      <c r="B1133" t="s">
        <v>559</v>
      </c>
      <c r="C1133" t="s">
        <v>17</v>
      </c>
      <c r="D1133" t="s">
        <v>308</v>
      </c>
      <c r="E1133" s="52" t="s">
        <v>309</v>
      </c>
      <c r="F1133" t="s">
        <v>560</v>
      </c>
      <c r="G1133" s="21">
        <v>-0.11</v>
      </c>
      <c r="H1133" s="21">
        <v>0</v>
      </c>
      <c r="I1133" s="21">
        <v>0</v>
      </c>
      <c r="J1133" s="21">
        <v>0</v>
      </c>
      <c r="K1133" s="21">
        <v>0</v>
      </c>
      <c r="L1133" s="21">
        <v>-0.11</v>
      </c>
    </row>
    <row r="1134" spans="1:12" ht="30" x14ac:dyDescent="0.25">
      <c r="A1134" s="10">
        <v>1129</v>
      </c>
      <c r="B1134" t="s">
        <v>18</v>
      </c>
      <c r="C1134" t="s">
        <v>17</v>
      </c>
      <c r="D1134" t="s">
        <v>308</v>
      </c>
      <c r="E1134" s="52" t="s">
        <v>309</v>
      </c>
      <c r="F1134" t="s">
        <v>19</v>
      </c>
      <c r="G1134" s="21">
        <v>-1.1000000000000001</v>
      </c>
      <c r="H1134" s="21">
        <v>0</v>
      </c>
      <c r="I1134" s="21">
        <v>0</v>
      </c>
      <c r="J1134" s="21">
        <v>0</v>
      </c>
      <c r="K1134" s="21">
        <v>0.98</v>
      </c>
      <c r="L1134" s="21">
        <v>-0.12</v>
      </c>
    </row>
    <row r="1135" spans="1:12" ht="30" x14ac:dyDescent="0.25">
      <c r="A1135" s="10">
        <v>1130</v>
      </c>
      <c r="B1135" t="s">
        <v>550</v>
      </c>
      <c r="C1135" t="s">
        <v>17</v>
      </c>
      <c r="D1135" t="s">
        <v>308</v>
      </c>
      <c r="E1135" s="52" t="s">
        <v>309</v>
      </c>
      <c r="F1135" t="s">
        <v>551</v>
      </c>
      <c r="G1135" s="21">
        <v>-5909.21</v>
      </c>
      <c r="H1135" s="21">
        <v>0</v>
      </c>
      <c r="I1135" s="21">
        <v>0</v>
      </c>
      <c r="J1135" s="21">
        <v>0</v>
      </c>
      <c r="K1135" s="21">
        <v>118.18</v>
      </c>
      <c r="L1135" s="21">
        <v>-5791.03</v>
      </c>
    </row>
    <row r="1136" spans="1:12" ht="30" x14ac:dyDescent="0.25">
      <c r="A1136" s="10">
        <v>1131</v>
      </c>
      <c r="B1136" t="s">
        <v>550</v>
      </c>
      <c r="C1136" t="s">
        <v>13</v>
      </c>
      <c r="D1136" t="s">
        <v>308</v>
      </c>
      <c r="E1136" s="52" t="s">
        <v>309</v>
      </c>
      <c r="F1136" t="s">
        <v>551</v>
      </c>
      <c r="G1136" s="21">
        <v>0</v>
      </c>
      <c r="H1136" s="21">
        <v>0</v>
      </c>
      <c r="I1136" s="21">
        <v>0</v>
      </c>
      <c r="J1136" s="21">
        <v>-709.11</v>
      </c>
      <c r="K1136" s="21">
        <v>0</v>
      </c>
      <c r="L1136" s="21">
        <v>-709.11</v>
      </c>
    </row>
    <row r="1137" spans="1:12" ht="30" x14ac:dyDescent="0.25">
      <c r="A1137" s="10">
        <v>1132</v>
      </c>
      <c r="B1137" t="s">
        <v>550</v>
      </c>
      <c r="C1137" t="s">
        <v>17</v>
      </c>
      <c r="D1137" t="s">
        <v>308</v>
      </c>
      <c r="E1137" s="52" t="s">
        <v>309</v>
      </c>
      <c r="F1137" t="s">
        <v>552</v>
      </c>
      <c r="G1137" s="21">
        <v>-0.43</v>
      </c>
      <c r="H1137" s="21">
        <v>0</v>
      </c>
      <c r="I1137" s="21">
        <v>0</v>
      </c>
      <c r="J1137" s="21">
        <v>0</v>
      </c>
      <c r="K1137" s="21">
        <v>0.01</v>
      </c>
      <c r="L1137" s="21">
        <v>-0.42</v>
      </c>
    </row>
    <row r="1138" spans="1:12" ht="30" x14ac:dyDescent="0.25">
      <c r="A1138" s="10">
        <v>1133</v>
      </c>
      <c r="B1138" t="s">
        <v>550</v>
      </c>
      <c r="C1138" t="s">
        <v>13</v>
      </c>
      <c r="D1138" t="s">
        <v>308</v>
      </c>
      <c r="E1138" s="52" t="s">
        <v>309</v>
      </c>
      <c r="F1138" t="s">
        <v>552</v>
      </c>
      <c r="G1138" s="21">
        <v>0</v>
      </c>
      <c r="H1138" s="21">
        <v>0</v>
      </c>
      <c r="I1138" s="21">
        <v>0</v>
      </c>
      <c r="J1138" s="21">
        <v>-0.05</v>
      </c>
      <c r="K1138" s="21">
        <v>0</v>
      </c>
      <c r="L1138" s="21">
        <v>-0.05</v>
      </c>
    </row>
    <row r="1139" spans="1:12" ht="30" x14ac:dyDescent="0.25">
      <c r="A1139" s="10">
        <v>1134</v>
      </c>
      <c r="B1139" t="s">
        <v>12</v>
      </c>
      <c r="C1139" t="s">
        <v>13</v>
      </c>
      <c r="D1139" t="s">
        <v>310</v>
      </c>
      <c r="E1139" s="52" t="s">
        <v>311</v>
      </c>
      <c r="F1139" t="s">
        <v>16</v>
      </c>
      <c r="G1139" s="21">
        <v>0</v>
      </c>
      <c r="H1139" s="21">
        <v>0</v>
      </c>
      <c r="I1139" s="21">
        <v>0</v>
      </c>
      <c r="J1139" s="21">
        <v>-250.05</v>
      </c>
      <c r="K1139" s="21">
        <v>0</v>
      </c>
      <c r="L1139" s="21">
        <v>-250.05</v>
      </c>
    </row>
    <row r="1140" spans="1:12" ht="30" x14ac:dyDescent="0.25">
      <c r="A1140" s="10">
        <v>1135</v>
      </c>
      <c r="B1140" t="s">
        <v>555</v>
      </c>
      <c r="C1140" t="s">
        <v>17</v>
      </c>
      <c r="D1140" t="s">
        <v>310</v>
      </c>
      <c r="E1140" s="52" t="s">
        <v>311</v>
      </c>
      <c r="F1140" t="s">
        <v>556</v>
      </c>
      <c r="G1140" s="21">
        <v>-2727.98</v>
      </c>
      <c r="H1140" s="21">
        <v>0</v>
      </c>
      <c r="I1140" s="21">
        <v>0</v>
      </c>
      <c r="J1140" s="21">
        <v>0</v>
      </c>
      <c r="K1140" s="21">
        <v>0</v>
      </c>
      <c r="L1140" s="21">
        <v>-2727.98</v>
      </c>
    </row>
    <row r="1141" spans="1:12" ht="30" x14ac:dyDescent="0.25">
      <c r="A1141" s="10">
        <v>1136</v>
      </c>
      <c r="B1141" t="s">
        <v>33</v>
      </c>
      <c r="C1141" t="s">
        <v>13</v>
      </c>
      <c r="D1141" t="s">
        <v>310</v>
      </c>
      <c r="E1141" s="52" t="s">
        <v>311</v>
      </c>
      <c r="F1141" t="s">
        <v>34</v>
      </c>
      <c r="G1141" s="21">
        <v>0</v>
      </c>
      <c r="H1141" s="21">
        <v>0</v>
      </c>
      <c r="I1141" s="21">
        <v>0</v>
      </c>
      <c r="J1141" s="21">
        <v>-7469.92</v>
      </c>
      <c r="K1141" s="21">
        <v>0</v>
      </c>
      <c r="L1141" s="21">
        <v>-7469.92</v>
      </c>
    </row>
    <row r="1142" spans="1:12" ht="30" x14ac:dyDescent="0.25">
      <c r="A1142" s="10">
        <v>1137</v>
      </c>
      <c r="B1142" t="s">
        <v>557</v>
      </c>
      <c r="C1142" t="s">
        <v>17</v>
      </c>
      <c r="D1142" t="s">
        <v>310</v>
      </c>
      <c r="E1142" s="52" t="s">
        <v>311</v>
      </c>
      <c r="F1142" t="s">
        <v>558</v>
      </c>
      <c r="G1142" s="21">
        <v>-1607.03</v>
      </c>
      <c r="H1142" s="21">
        <v>0</v>
      </c>
      <c r="I1142" s="21">
        <v>0</v>
      </c>
      <c r="J1142" s="21">
        <v>0</v>
      </c>
      <c r="K1142" s="21">
        <v>32.14</v>
      </c>
      <c r="L1142" s="21">
        <v>-1574.89</v>
      </c>
    </row>
    <row r="1143" spans="1:12" ht="30" x14ac:dyDescent="0.25">
      <c r="A1143" s="10">
        <v>1138</v>
      </c>
      <c r="B1143" t="s">
        <v>29</v>
      </c>
      <c r="C1143" t="s">
        <v>13</v>
      </c>
      <c r="D1143" t="s">
        <v>310</v>
      </c>
      <c r="E1143" s="52" t="s">
        <v>311</v>
      </c>
      <c r="F1143" t="s">
        <v>30</v>
      </c>
      <c r="G1143" s="21">
        <v>0</v>
      </c>
      <c r="H1143" s="21">
        <v>0</v>
      </c>
      <c r="I1143" s="21">
        <v>0</v>
      </c>
      <c r="J1143" s="21">
        <v>-0.95</v>
      </c>
      <c r="K1143" s="21">
        <v>0</v>
      </c>
      <c r="L1143" s="21">
        <v>-0.95</v>
      </c>
    </row>
    <row r="1144" spans="1:12" ht="30" x14ac:dyDescent="0.25">
      <c r="A1144" s="10">
        <v>1139</v>
      </c>
      <c r="B1144" t="s">
        <v>22</v>
      </c>
      <c r="C1144" t="s">
        <v>13</v>
      </c>
      <c r="D1144" t="s">
        <v>310</v>
      </c>
      <c r="E1144" s="52" t="s">
        <v>311</v>
      </c>
      <c r="F1144" t="s">
        <v>23</v>
      </c>
      <c r="G1144" s="21">
        <v>0</v>
      </c>
      <c r="H1144" s="21">
        <v>0</v>
      </c>
      <c r="I1144" s="21">
        <v>0</v>
      </c>
      <c r="J1144" s="21">
        <v>-1147.52</v>
      </c>
      <c r="K1144" s="21">
        <v>0</v>
      </c>
      <c r="L1144" s="21">
        <v>-1147.52</v>
      </c>
    </row>
    <row r="1145" spans="1:12" ht="30" x14ac:dyDescent="0.25">
      <c r="A1145" s="10">
        <v>1140</v>
      </c>
      <c r="B1145" t="s">
        <v>22</v>
      </c>
      <c r="C1145" t="s">
        <v>13</v>
      </c>
      <c r="D1145" t="s">
        <v>310</v>
      </c>
      <c r="E1145" s="52" t="s">
        <v>311</v>
      </c>
      <c r="F1145" t="s">
        <v>24</v>
      </c>
      <c r="G1145" s="21">
        <v>0</v>
      </c>
      <c r="H1145" s="21">
        <v>0</v>
      </c>
      <c r="I1145" s="21">
        <v>0</v>
      </c>
      <c r="J1145" s="21">
        <v>-2.23</v>
      </c>
      <c r="K1145" s="21">
        <v>0</v>
      </c>
      <c r="L1145" s="21">
        <v>-2.23</v>
      </c>
    </row>
    <row r="1146" spans="1:12" ht="30" x14ac:dyDescent="0.25">
      <c r="A1146" s="10">
        <v>1141</v>
      </c>
      <c r="B1146" t="s">
        <v>550</v>
      </c>
      <c r="C1146" t="s">
        <v>17</v>
      </c>
      <c r="D1146" t="s">
        <v>310</v>
      </c>
      <c r="E1146" s="52" t="s">
        <v>311</v>
      </c>
      <c r="F1146" t="s">
        <v>551</v>
      </c>
      <c r="G1146" s="21">
        <v>-70320.75</v>
      </c>
      <c r="H1146" s="21">
        <v>0</v>
      </c>
      <c r="I1146" s="21">
        <v>0</v>
      </c>
      <c r="J1146" s="21">
        <v>0</v>
      </c>
      <c r="K1146" s="21">
        <v>0</v>
      </c>
      <c r="L1146" s="21">
        <v>-70320.75</v>
      </c>
    </row>
    <row r="1147" spans="1:12" ht="30" x14ac:dyDescent="0.25">
      <c r="A1147" s="10">
        <v>1142</v>
      </c>
      <c r="B1147" t="s">
        <v>550</v>
      </c>
      <c r="C1147" t="s">
        <v>17</v>
      </c>
      <c r="D1147" t="s">
        <v>310</v>
      </c>
      <c r="E1147" s="52" t="s">
        <v>311</v>
      </c>
      <c r="F1147" t="s">
        <v>552</v>
      </c>
      <c r="G1147" s="21">
        <v>-5.0599999999999996</v>
      </c>
      <c r="H1147" s="21">
        <v>0</v>
      </c>
      <c r="I1147" s="21">
        <v>0</v>
      </c>
      <c r="J1147" s="21">
        <v>0</v>
      </c>
      <c r="K1147" s="21">
        <v>0</v>
      </c>
      <c r="L1147" s="21">
        <v>-5.0599999999999996</v>
      </c>
    </row>
    <row r="1148" spans="1:12" x14ac:dyDescent="0.25">
      <c r="A1148" s="10">
        <v>1143</v>
      </c>
      <c r="B1148" t="s">
        <v>550</v>
      </c>
      <c r="C1148" t="s">
        <v>17</v>
      </c>
      <c r="D1148" t="s">
        <v>312</v>
      </c>
      <c r="E1148" s="52" t="s">
        <v>313</v>
      </c>
      <c r="F1148" t="s">
        <v>551</v>
      </c>
      <c r="G1148" s="21">
        <v>-769.03</v>
      </c>
      <c r="H1148" s="21">
        <v>0</v>
      </c>
      <c r="I1148" s="21">
        <v>0</v>
      </c>
      <c r="J1148" s="21">
        <v>0</v>
      </c>
      <c r="K1148" s="21">
        <v>15.38</v>
      </c>
      <c r="L1148" s="21">
        <v>-753.65</v>
      </c>
    </row>
    <row r="1149" spans="1:12" x14ac:dyDescent="0.25">
      <c r="A1149" s="10">
        <v>1144</v>
      </c>
      <c r="B1149" t="s">
        <v>550</v>
      </c>
      <c r="C1149" t="s">
        <v>13</v>
      </c>
      <c r="D1149" t="s">
        <v>312</v>
      </c>
      <c r="E1149" s="52" t="s">
        <v>313</v>
      </c>
      <c r="F1149" t="s">
        <v>551</v>
      </c>
      <c r="G1149" s="21">
        <v>0</v>
      </c>
      <c r="H1149" s="21">
        <v>0</v>
      </c>
      <c r="I1149" s="21">
        <v>0</v>
      </c>
      <c r="J1149" s="21">
        <v>-92.28</v>
      </c>
      <c r="K1149" s="21">
        <v>0</v>
      </c>
      <c r="L1149" s="21">
        <v>-92.28</v>
      </c>
    </row>
    <row r="1150" spans="1:12" x14ac:dyDescent="0.25">
      <c r="A1150" s="10">
        <v>1145</v>
      </c>
      <c r="B1150" t="s">
        <v>550</v>
      </c>
      <c r="C1150" t="s">
        <v>17</v>
      </c>
      <c r="D1150" t="s">
        <v>312</v>
      </c>
      <c r="E1150" s="52" t="s">
        <v>313</v>
      </c>
      <c r="F1150" t="s">
        <v>552</v>
      </c>
      <c r="G1150" s="21">
        <v>-0.06</v>
      </c>
      <c r="H1150" s="21">
        <v>0</v>
      </c>
      <c r="I1150" s="21">
        <v>0</v>
      </c>
      <c r="J1150" s="21">
        <v>0</v>
      </c>
      <c r="K1150" s="21">
        <v>0</v>
      </c>
      <c r="L1150" s="21">
        <v>-0.06</v>
      </c>
    </row>
    <row r="1151" spans="1:12" x14ac:dyDescent="0.25">
      <c r="A1151" s="10">
        <v>1146</v>
      </c>
      <c r="B1151" t="s">
        <v>550</v>
      </c>
      <c r="C1151" t="s">
        <v>13</v>
      </c>
      <c r="D1151" t="s">
        <v>312</v>
      </c>
      <c r="E1151" s="52" t="s">
        <v>313</v>
      </c>
      <c r="F1151" t="s">
        <v>552</v>
      </c>
      <c r="G1151" s="21">
        <v>0</v>
      </c>
      <c r="H1151" s="21">
        <v>0</v>
      </c>
      <c r="I1151" s="21">
        <v>0</v>
      </c>
      <c r="J1151" s="21">
        <v>-0.01</v>
      </c>
      <c r="K1151" s="21">
        <v>0</v>
      </c>
      <c r="L1151" s="21">
        <v>-0.01</v>
      </c>
    </row>
    <row r="1152" spans="1:12" ht="30" x14ac:dyDescent="0.25">
      <c r="A1152" s="10">
        <v>1147</v>
      </c>
      <c r="B1152" t="s">
        <v>559</v>
      </c>
      <c r="C1152" t="s">
        <v>17</v>
      </c>
      <c r="D1152" t="s">
        <v>314</v>
      </c>
      <c r="E1152" s="52" t="s">
        <v>315</v>
      </c>
      <c r="F1152" t="s">
        <v>560</v>
      </c>
      <c r="G1152" s="21">
        <v>-0.16</v>
      </c>
      <c r="H1152" s="21">
        <v>0</v>
      </c>
      <c r="I1152" s="21">
        <v>0</v>
      </c>
      <c r="J1152" s="21">
        <v>0</v>
      </c>
      <c r="K1152" s="21">
        <v>0</v>
      </c>
      <c r="L1152" s="21">
        <v>-0.16</v>
      </c>
    </row>
    <row r="1153" spans="1:12" ht="30" x14ac:dyDescent="0.25">
      <c r="A1153" s="10">
        <v>1148</v>
      </c>
      <c r="B1153" t="s">
        <v>559</v>
      </c>
      <c r="C1153" t="s">
        <v>13</v>
      </c>
      <c r="D1153" t="s">
        <v>314</v>
      </c>
      <c r="E1153" s="52" t="s">
        <v>315</v>
      </c>
      <c r="F1153" t="s">
        <v>560</v>
      </c>
      <c r="G1153" s="21">
        <v>0</v>
      </c>
      <c r="H1153" s="21">
        <v>0</v>
      </c>
      <c r="I1153" s="21">
        <v>0</v>
      </c>
      <c r="J1153" s="21">
        <v>-0.02</v>
      </c>
      <c r="K1153" s="21">
        <v>0</v>
      </c>
      <c r="L1153" s="21">
        <v>-0.02</v>
      </c>
    </row>
    <row r="1154" spans="1:12" ht="30" x14ac:dyDescent="0.25">
      <c r="A1154" s="10">
        <v>1149</v>
      </c>
      <c r="B1154" t="s">
        <v>18</v>
      </c>
      <c r="C1154" t="s">
        <v>17</v>
      </c>
      <c r="D1154" t="s">
        <v>314</v>
      </c>
      <c r="E1154" s="52" t="s">
        <v>315</v>
      </c>
      <c r="F1154" t="s">
        <v>19</v>
      </c>
      <c r="G1154" s="21">
        <v>-1.04</v>
      </c>
      <c r="H1154" s="21">
        <v>0</v>
      </c>
      <c r="I1154" s="21">
        <v>0</v>
      </c>
      <c r="J1154" s="21">
        <v>0</v>
      </c>
      <c r="K1154" s="21">
        <v>0.92</v>
      </c>
      <c r="L1154" s="21">
        <v>-0.12</v>
      </c>
    </row>
    <row r="1155" spans="1:12" ht="30" x14ac:dyDescent="0.25">
      <c r="A1155" s="10">
        <v>1150</v>
      </c>
      <c r="B1155" t="s">
        <v>18</v>
      </c>
      <c r="C1155" t="s">
        <v>17</v>
      </c>
      <c r="D1155" t="s">
        <v>314</v>
      </c>
      <c r="E1155" s="52" t="s">
        <v>315</v>
      </c>
      <c r="F1155" t="s">
        <v>19</v>
      </c>
      <c r="G1155" s="21">
        <v>0</v>
      </c>
      <c r="H1155" s="21">
        <v>0</v>
      </c>
      <c r="I1155" s="21">
        <v>0</v>
      </c>
      <c r="J1155" s="21">
        <v>0</v>
      </c>
      <c r="K1155" s="21">
        <v>0</v>
      </c>
      <c r="L1155" s="21">
        <v>0</v>
      </c>
    </row>
    <row r="1156" spans="1:12" ht="30" x14ac:dyDescent="0.25">
      <c r="A1156" s="10">
        <v>1151</v>
      </c>
      <c r="B1156" t="s">
        <v>18</v>
      </c>
      <c r="C1156" t="s">
        <v>17</v>
      </c>
      <c r="D1156" t="s">
        <v>314</v>
      </c>
      <c r="E1156" s="52" t="s">
        <v>315</v>
      </c>
      <c r="F1156" t="s">
        <v>19</v>
      </c>
      <c r="G1156" s="21">
        <v>-0.61</v>
      </c>
      <c r="H1156" s="21">
        <v>0</v>
      </c>
      <c r="I1156" s="21">
        <v>0</v>
      </c>
      <c r="J1156" s="21">
        <v>0</v>
      </c>
      <c r="K1156" s="21">
        <v>0.54</v>
      </c>
      <c r="L1156" s="21">
        <v>-7.0000000000000007E-2</v>
      </c>
    </row>
    <row r="1157" spans="1:12" ht="30" x14ac:dyDescent="0.25">
      <c r="A1157" s="10">
        <v>1152</v>
      </c>
      <c r="B1157" t="s">
        <v>18</v>
      </c>
      <c r="C1157" t="s">
        <v>17</v>
      </c>
      <c r="D1157" t="s">
        <v>314</v>
      </c>
      <c r="E1157" s="52" t="s">
        <v>315</v>
      </c>
      <c r="F1157" t="s">
        <v>19</v>
      </c>
      <c r="G1157" s="21">
        <v>-4.96</v>
      </c>
      <c r="H1157" s="21">
        <v>0</v>
      </c>
      <c r="I1157" s="21">
        <v>0</v>
      </c>
      <c r="J1157" s="21">
        <v>0</v>
      </c>
      <c r="K1157" s="21">
        <v>4.4000000000000004</v>
      </c>
      <c r="L1157" s="21">
        <v>-0.56000000000000005</v>
      </c>
    </row>
    <row r="1158" spans="1:12" ht="30" x14ac:dyDescent="0.25">
      <c r="A1158" s="10">
        <v>1153</v>
      </c>
      <c r="B1158" t="s">
        <v>18</v>
      </c>
      <c r="C1158" t="s">
        <v>17</v>
      </c>
      <c r="D1158" t="s">
        <v>314</v>
      </c>
      <c r="E1158" s="52" t="s">
        <v>315</v>
      </c>
      <c r="F1158" t="s">
        <v>19</v>
      </c>
      <c r="G1158" s="21">
        <v>-1.03</v>
      </c>
      <c r="H1158" s="21">
        <v>0</v>
      </c>
      <c r="I1158" s="21">
        <v>0</v>
      </c>
      <c r="J1158" s="21">
        <v>0</v>
      </c>
      <c r="K1158" s="21">
        <v>0.92</v>
      </c>
      <c r="L1158" s="21">
        <v>-0.11</v>
      </c>
    </row>
    <row r="1159" spans="1:12" ht="30" x14ac:dyDescent="0.25">
      <c r="A1159" s="10">
        <v>1154</v>
      </c>
      <c r="B1159" t="s">
        <v>18</v>
      </c>
      <c r="C1159" t="s">
        <v>17</v>
      </c>
      <c r="D1159" t="s">
        <v>314</v>
      </c>
      <c r="E1159" s="52" t="s">
        <v>315</v>
      </c>
      <c r="F1159" t="s">
        <v>19</v>
      </c>
      <c r="G1159" s="21">
        <v>-3.21</v>
      </c>
      <c r="H1159" s="21">
        <v>0</v>
      </c>
      <c r="I1159" s="21">
        <v>0</v>
      </c>
      <c r="J1159" s="21">
        <v>0</v>
      </c>
      <c r="K1159" s="21">
        <v>2.85</v>
      </c>
      <c r="L1159" s="21">
        <v>-0.36</v>
      </c>
    </row>
    <row r="1160" spans="1:12" ht="30" x14ac:dyDescent="0.25">
      <c r="A1160" s="10">
        <v>1155</v>
      </c>
      <c r="B1160" t="s">
        <v>18</v>
      </c>
      <c r="C1160" t="s">
        <v>17</v>
      </c>
      <c r="D1160" t="s">
        <v>314</v>
      </c>
      <c r="E1160" s="52" t="s">
        <v>315</v>
      </c>
      <c r="F1160" t="s">
        <v>19</v>
      </c>
      <c r="G1160" s="21">
        <v>-106.42</v>
      </c>
      <c r="H1160" s="21">
        <v>0</v>
      </c>
      <c r="I1160" s="21">
        <v>0</v>
      </c>
      <c r="J1160" s="21">
        <v>0</v>
      </c>
      <c r="K1160" s="21">
        <v>94.42</v>
      </c>
      <c r="L1160" s="21">
        <v>-12</v>
      </c>
    </row>
    <row r="1161" spans="1:12" ht="30" x14ac:dyDescent="0.25">
      <c r="A1161" s="10">
        <v>1156</v>
      </c>
      <c r="B1161" t="s">
        <v>18</v>
      </c>
      <c r="C1161" t="s">
        <v>17</v>
      </c>
      <c r="D1161" t="s">
        <v>314</v>
      </c>
      <c r="E1161" s="52" t="s">
        <v>315</v>
      </c>
      <c r="F1161" t="s">
        <v>19</v>
      </c>
      <c r="G1161" s="21">
        <v>-0.66</v>
      </c>
      <c r="H1161" s="21">
        <v>0</v>
      </c>
      <c r="I1161" s="21">
        <v>0</v>
      </c>
      <c r="J1161" s="21">
        <v>0</v>
      </c>
      <c r="K1161" s="21">
        <v>0.57999999999999996</v>
      </c>
      <c r="L1161" s="21">
        <v>-0.08</v>
      </c>
    </row>
    <row r="1162" spans="1:12" ht="30" x14ac:dyDescent="0.25">
      <c r="A1162" s="10">
        <v>1157</v>
      </c>
      <c r="B1162" t="s">
        <v>18</v>
      </c>
      <c r="C1162" t="s">
        <v>17</v>
      </c>
      <c r="D1162" t="s">
        <v>314</v>
      </c>
      <c r="E1162" s="52" t="s">
        <v>315</v>
      </c>
      <c r="F1162" t="s">
        <v>19</v>
      </c>
      <c r="G1162" s="21">
        <v>-4.2699999999999996</v>
      </c>
      <c r="H1162" s="21">
        <v>0</v>
      </c>
      <c r="I1162" s="21">
        <v>0</v>
      </c>
      <c r="J1162" s="21">
        <v>0</v>
      </c>
      <c r="K1162" s="21">
        <v>3.78</v>
      </c>
      <c r="L1162" s="21">
        <v>-0.49</v>
      </c>
    </row>
    <row r="1163" spans="1:12" ht="30" x14ac:dyDescent="0.25">
      <c r="A1163" s="10">
        <v>1158</v>
      </c>
      <c r="B1163" t="s">
        <v>550</v>
      </c>
      <c r="C1163" t="s">
        <v>17</v>
      </c>
      <c r="D1163" t="s">
        <v>314</v>
      </c>
      <c r="E1163" s="52" t="s">
        <v>315</v>
      </c>
      <c r="F1163" t="s">
        <v>551</v>
      </c>
      <c r="G1163" s="21">
        <v>-25737.97</v>
      </c>
      <c r="H1163" s="21">
        <v>0</v>
      </c>
      <c r="I1163" s="21">
        <v>0</v>
      </c>
      <c r="J1163" s="21">
        <v>0</v>
      </c>
      <c r="K1163" s="21">
        <v>514.76</v>
      </c>
      <c r="L1163" s="21">
        <v>-25223.21</v>
      </c>
    </row>
    <row r="1164" spans="1:12" ht="30" x14ac:dyDescent="0.25">
      <c r="A1164" s="10">
        <v>1159</v>
      </c>
      <c r="B1164" t="s">
        <v>550</v>
      </c>
      <c r="C1164" t="s">
        <v>13</v>
      </c>
      <c r="D1164" t="s">
        <v>314</v>
      </c>
      <c r="E1164" s="52" t="s">
        <v>315</v>
      </c>
      <c r="F1164" t="s">
        <v>551</v>
      </c>
      <c r="G1164" s="21">
        <v>0</v>
      </c>
      <c r="H1164" s="21">
        <v>0</v>
      </c>
      <c r="I1164" s="21">
        <v>0</v>
      </c>
      <c r="J1164" s="21">
        <v>-2782.57</v>
      </c>
      <c r="K1164" s="21">
        <v>0</v>
      </c>
      <c r="L1164" s="21">
        <v>-2782.57</v>
      </c>
    </row>
    <row r="1165" spans="1:12" ht="30" x14ac:dyDescent="0.25">
      <c r="A1165" s="10">
        <v>1160</v>
      </c>
      <c r="B1165" t="s">
        <v>550</v>
      </c>
      <c r="C1165" t="s">
        <v>13</v>
      </c>
      <c r="D1165" t="s">
        <v>314</v>
      </c>
      <c r="E1165" s="52" t="s">
        <v>315</v>
      </c>
      <c r="F1165" t="s">
        <v>551</v>
      </c>
      <c r="G1165" s="21">
        <v>0</v>
      </c>
      <c r="H1165" s="21">
        <v>0</v>
      </c>
      <c r="I1165" s="21">
        <v>0</v>
      </c>
      <c r="J1165" s="21">
        <v>-8044.26</v>
      </c>
      <c r="K1165" s="21">
        <v>0</v>
      </c>
      <c r="L1165" s="21">
        <v>-8044.26</v>
      </c>
    </row>
    <row r="1166" spans="1:12" ht="30" x14ac:dyDescent="0.25">
      <c r="A1166" s="10">
        <v>1161</v>
      </c>
      <c r="B1166" t="s">
        <v>550</v>
      </c>
      <c r="C1166" t="s">
        <v>13</v>
      </c>
      <c r="D1166" t="s">
        <v>314</v>
      </c>
      <c r="E1166" s="52" t="s">
        <v>315</v>
      </c>
      <c r="F1166" t="s">
        <v>551</v>
      </c>
      <c r="G1166" s="21">
        <v>0</v>
      </c>
      <c r="H1166" s="21">
        <v>0</v>
      </c>
      <c r="I1166" s="21">
        <v>0</v>
      </c>
      <c r="J1166" s="21">
        <v>-10.56</v>
      </c>
      <c r="K1166" s="21">
        <v>0</v>
      </c>
      <c r="L1166" s="21">
        <v>-10.56</v>
      </c>
    </row>
    <row r="1167" spans="1:12" ht="30" x14ac:dyDescent="0.25">
      <c r="A1167" s="10">
        <v>1162</v>
      </c>
      <c r="B1167" t="s">
        <v>550</v>
      </c>
      <c r="C1167" t="s">
        <v>13</v>
      </c>
      <c r="D1167" t="s">
        <v>314</v>
      </c>
      <c r="E1167" s="52" t="s">
        <v>315</v>
      </c>
      <c r="F1167" t="s">
        <v>551</v>
      </c>
      <c r="G1167" s="21">
        <v>0</v>
      </c>
      <c r="H1167" s="21">
        <v>0</v>
      </c>
      <c r="I1167" s="21">
        <v>0</v>
      </c>
      <c r="J1167" s="21">
        <v>-4763.26</v>
      </c>
      <c r="K1167" s="21">
        <v>0</v>
      </c>
      <c r="L1167" s="21">
        <v>-4763.26</v>
      </c>
    </row>
    <row r="1168" spans="1:12" ht="30" x14ac:dyDescent="0.25">
      <c r="A1168" s="10">
        <v>1163</v>
      </c>
      <c r="B1168" t="s">
        <v>550</v>
      </c>
      <c r="C1168" t="s">
        <v>13</v>
      </c>
      <c r="D1168" t="s">
        <v>314</v>
      </c>
      <c r="E1168" s="52" t="s">
        <v>315</v>
      </c>
      <c r="F1168" t="s">
        <v>551</v>
      </c>
      <c r="G1168" s="21">
        <v>0</v>
      </c>
      <c r="H1168" s="21">
        <v>0</v>
      </c>
      <c r="I1168" s="21">
        <v>0</v>
      </c>
      <c r="J1168" s="21">
        <v>-3123.05</v>
      </c>
      <c r="K1168" s="21">
        <v>0</v>
      </c>
      <c r="L1168" s="21">
        <v>-3123.05</v>
      </c>
    </row>
    <row r="1169" spans="1:12" ht="30" x14ac:dyDescent="0.25">
      <c r="A1169" s="10">
        <v>1164</v>
      </c>
      <c r="B1169" t="s">
        <v>550</v>
      </c>
      <c r="C1169" t="s">
        <v>13</v>
      </c>
      <c r="D1169" t="s">
        <v>314</v>
      </c>
      <c r="E1169" s="52" t="s">
        <v>315</v>
      </c>
      <c r="F1169" t="s">
        <v>551</v>
      </c>
      <c r="G1169" s="21">
        <v>0</v>
      </c>
      <c r="H1169" s="21">
        <v>0</v>
      </c>
      <c r="I1169" s="21">
        <v>0</v>
      </c>
      <c r="J1169" s="21">
        <v>-5560.4</v>
      </c>
      <c r="K1169" s="21">
        <v>0</v>
      </c>
      <c r="L1169" s="21">
        <v>-5560.4</v>
      </c>
    </row>
    <row r="1170" spans="1:12" ht="30" x14ac:dyDescent="0.25">
      <c r="A1170" s="10">
        <v>1165</v>
      </c>
      <c r="B1170" t="s">
        <v>550</v>
      </c>
      <c r="C1170" t="s">
        <v>13</v>
      </c>
      <c r="D1170" t="s">
        <v>314</v>
      </c>
      <c r="E1170" s="52" t="s">
        <v>315</v>
      </c>
      <c r="F1170" t="s">
        <v>551</v>
      </c>
      <c r="G1170" s="21">
        <v>0</v>
      </c>
      <c r="H1170" s="21">
        <v>0</v>
      </c>
      <c r="I1170" s="21">
        <v>0</v>
      </c>
      <c r="J1170" s="21">
        <v>-5873.89</v>
      </c>
      <c r="K1170" s="21">
        <v>0</v>
      </c>
      <c r="L1170" s="21">
        <v>-5873.89</v>
      </c>
    </row>
    <row r="1171" spans="1:12" ht="30" x14ac:dyDescent="0.25">
      <c r="A1171" s="10">
        <v>1166</v>
      </c>
      <c r="B1171" t="s">
        <v>550</v>
      </c>
      <c r="C1171" t="s">
        <v>17</v>
      </c>
      <c r="D1171" t="s">
        <v>314</v>
      </c>
      <c r="E1171" s="52" t="s">
        <v>315</v>
      </c>
      <c r="F1171" t="s">
        <v>551</v>
      </c>
      <c r="G1171" s="21">
        <v>-79861.649999999994</v>
      </c>
      <c r="H1171" s="21">
        <v>0</v>
      </c>
      <c r="I1171" s="21">
        <v>0</v>
      </c>
      <c r="J1171" s="21">
        <v>0</v>
      </c>
      <c r="K1171" s="21">
        <v>1597.23</v>
      </c>
      <c r="L1171" s="21">
        <v>-78264.42</v>
      </c>
    </row>
    <row r="1172" spans="1:12" ht="30" x14ac:dyDescent="0.25">
      <c r="A1172" s="10">
        <v>1167</v>
      </c>
      <c r="B1172" t="s">
        <v>550</v>
      </c>
      <c r="C1172" t="s">
        <v>17</v>
      </c>
      <c r="D1172" t="s">
        <v>314</v>
      </c>
      <c r="E1172" s="52" t="s">
        <v>315</v>
      </c>
      <c r="F1172" t="s">
        <v>551</v>
      </c>
      <c r="G1172" s="21">
        <v>-416355.19</v>
      </c>
      <c r="H1172" s="21">
        <v>0</v>
      </c>
      <c r="I1172" s="21">
        <v>0</v>
      </c>
      <c r="J1172" s="21">
        <v>0</v>
      </c>
      <c r="K1172" s="21">
        <v>8327.1</v>
      </c>
      <c r="L1172" s="21">
        <v>-408028.09</v>
      </c>
    </row>
    <row r="1173" spans="1:12" ht="30" x14ac:dyDescent="0.25">
      <c r="A1173" s="10">
        <v>1168</v>
      </c>
      <c r="B1173" t="s">
        <v>550</v>
      </c>
      <c r="C1173" t="s">
        <v>17</v>
      </c>
      <c r="D1173" t="s">
        <v>314</v>
      </c>
      <c r="E1173" s="52" t="s">
        <v>315</v>
      </c>
      <c r="F1173" t="s">
        <v>551</v>
      </c>
      <c r="G1173" s="21">
        <v>-23188.12</v>
      </c>
      <c r="H1173" s="21">
        <v>0</v>
      </c>
      <c r="I1173" s="21">
        <v>0</v>
      </c>
      <c r="J1173" s="21">
        <v>0</v>
      </c>
      <c r="K1173" s="21">
        <v>463.76</v>
      </c>
      <c r="L1173" s="21">
        <v>-22724.36</v>
      </c>
    </row>
    <row r="1174" spans="1:12" ht="30" x14ac:dyDescent="0.25">
      <c r="A1174" s="10">
        <v>1169</v>
      </c>
      <c r="B1174" t="s">
        <v>550</v>
      </c>
      <c r="C1174" t="s">
        <v>17</v>
      </c>
      <c r="D1174" t="s">
        <v>314</v>
      </c>
      <c r="E1174" s="52" t="s">
        <v>315</v>
      </c>
      <c r="F1174" t="s">
        <v>551</v>
      </c>
      <c r="G1174" s="21">
        <v>-67035.47</v>
      </c>
      <c r="H1174" s="21">
        <v>0</v>
      </c>
      <c r="I1174" s="21">
        <v>0</v>
      </c>
      <c r="J1174" s="21">
        <v>0</v>
      </c>
      <c r="K1174" s="21">
        <v>1340.71</v>
      </c>
      <c r="L1174" s="21">
        <v>-65694.759999999995</v>
      </c>
    </row>
    <row r="1175" spans="1:12" ht="30" x14ac:dyDescent="0.25">
      <c r="A1175" s="10">
        <v>1170</v>
      </c>
      <c r="B1175" t="s">
        <v>550</v>
      </c>
      <c r="C1175" t="s">
        <v>17</v>
      </c>
      <c r="D1175" t="s">
        <v>314</v>
      </c>
      <c r="E1175" s="52" t="s">
        <v>315</v>
      </c>
      <c r="F1175" t="s">
        <v>551</v>
      </c>
      <c r="G1175" s="21">
        <v>-87.99</v>
      </c>
      <c r="H1175" s="21">
        <v>0</v>
      </c>
      <c r="I1175" s="21">
        <v>0</v>
      </c>
      <c r="J1175" s="21">
        <v>0</v>
      </c>
      <c r="K1175" s="21">
        <v>1.76</v>
      </c>
      <c r="L1175" s="21">
        <v>-86.23</v>
      </c>
    </row>
    <row r="1176" spans="1:12" ht="30" x14ac:dyDescent="0.25">
      <c r="A1176" s="10">
        <v>1171</v>
      </c>
      <c r="B1176" t="s">
        <v>550</v>
      </c>
      <c r="C1176" t="s">
        <v>17</v>
      </c>
      <c r="D1176" t="s">
        <v>314</v>
      </c>
      <c r="E1176" s="52" t="s">
        <v>315</v>
      </c>
      <c r="F1176" t="s">
        <v>551</v>
      </c>
      <c r="G1176" s="21">
        <v>-39693.81</v>
      </c>
      <c r="H1176" s="21">
        <v>0</v>
      </c>
      <c r="I1176" s="21">
        <v>0</v>
      </c>
      <c r="J1176" s="21">
        <v>0</v>
      </c>
      <c r="K1176" s="21">
        <v>793.88</v>
      </c>
      <c r="L1176" s="21">
        <v>-38899.93</v>
      </c>
    </row>
    <row r="1177" spans="1:12" ht="30" x14ac:dyDescent="0.25">
      <c r="A1177" s="10">
        <v>1172</v>
      </c>
      <c r="B1177" t="s">
        <v>550</v>
      </c>
      <c r="C1177" t="s">
        <v>17</v>
      </c>
      <c r="D1177" t="s">
        <v>314</v>
      </c>
      <c r="E1177" s="52" t="s">
        <v>315</v>
      </c>
      <c r="F1177" t="s">
        <v>551</v>
      </c>
      <c r="G1177" s="21">
        <v>-26025.45</v>
      </c>
      <c r="H1177" s="21">
        <v>0</v>
      </c>
      <c r="I1177" s="21">
        <v>0</v>
      </c>
      <c r="J1177" s="21">
        <v>0</v>
      </c>
      <c r="K1177" s="21">
        <v>520.51</v>
      </c>
      <c r="L1177" s="21">
        <v>-25504.94</v>
      </c>
    </row>
    <row r="1178" spans="1:12" ht="30" x14ac:dyDescent="0.25">
      <c r="A1178" s="10">
        <v>1173</v>
      </c>
      <c r="B1178" t="s">
        <v>550</v>
      </c>
      <c r="C1178" t="s">
        <v>17</v>
      </c>
      <c r="D1178" t="s">
        <v>314</v>
      </c>
      <c r="E1178" s="52" t="s">
        <v>315</v>
      </c>
      <c r="F1178" t="s">
        <v>551</v>
      </c>
      <c r="G1178" s="21">
        <v>-46336.7</v>
      </c>
      <c r="H1178" s="21">
        <v>0</v>
      </c>
      <c r="I1178" s="21">
        <v>0</v>
      </c>
      <c r="J1178" s="21">
        <v>0</v>
      </c>
      <c r="K1178" s="21">
        <v>926.73</v>
      </c>
      <c r="L1178" s="21">
        <v>-45409.97</v>
      </c>
    </row>
    <row r="1179" spans="1:12" ht="30" x14ac:dyDescent="0.25">
      <c r="A1179" s="10">
        <v>1174</v>
      </c>
      <c r="B1179" t="s">
        <v>550</v>
      </c>
      <c r="C1179" t="s">
        <v>17</v>
      </c>
      <c r="D1179" t="s">
        <v>314</v>
      </c>
      <c r="E1179" s="52" t="s">
        <v>315</v>
      </c>
      <c r="F1179" t="s">
        <v>551</v>
      </c>
      <c r="G1179" s="21">
        <v>-48949.06</v>
      </c>
      <c r="H1179" s="21">
        <v>0</v>
      </c>
      <c r="I1179" s="21">
        <v>0</v>
      </c>
      <c r="J1179" s="21">
        <v>0</v>
      </c>
      <c r="K1179" s="21">
        <v>978.98</v>
      </c>
      <c r="L1179" s="21">
        <v>-47970.080000000002</v>
      </c>
    </row>
    <row r="1180" spans="1:12" ht="30" x14ac:dyDescent="0.25">
      <c r="A1180" s="10">
        <v>1175</v>
      </c>
      <c r="B1180" t="s">
        <v>550</v>
      </c>
      <c r="C1180" t="s">
        <v>13</v>
      </c>
      <c r="D1180" t="s">
        <v>314</v>
      </c>
      <c r="E1180" s="52" t="s">
        <v>315</v>
      </c>
      <c r="F1180" t="s">
        <v>551</v>
      </c>
      <c r="G1180" s="21">
        <v>0</v>
      </c>
      <c r="H1180" s="21">
        <v>0</v>
      </c>
      <c r="I1180" s="21">
        <v>0</v>
      </c>
      <c r="J1180" s="21">
        <v>-3088.56</v>
      </c>
      <c r="K1180" s="21">
        <v>0</v>
      </c>
      <c r="L1180" s="21">
        <v>-3088.56</v>
      </c>
    </row>
    <row r="1181" spans="1:12" ht="30" x14ac:dyDescent="0.25">
      <c r="A1181" s="10">
        <v>1176</v>
      </c>
      <c r="B1181" t="s">
        <v>550</v>
      </c>
      <c r="C1181" t="s">
        <v>13</v>
      </c>
      <c r="D1181" t="s">
        <v>314</v>
      </c>
      <c r="E1181" s="52" t="s">
        <v>315</v>
      </c>
      <c r="F1181" t="s">
        <v>551</v>
      </c>
      <c r="G1181" s="21">
        <v>0</v>
      </c>
      <c r="H1181" s="21">
        <v>0</v>
      </c>
      <c r="I1181" s="21">
        <v>0</v>
      </c>
      <c r="J1181" s="21">
        <v>-9583.4</v>
      </c>
      <c r="K1181" s="21">
        <v>0</v>
      </c>
      <c r="L1181" s="21">
        <v>-9583.4</v>
      </c>
    </row>
    <row r="1182" spans="1:12" ht="30" x14ac:dyDescent="0.25">
      <c r="A1182" s="10">
        <v>1177</v>
      </c>
      <c r="B1182" t="s">
        <v>550</v>
      </c>
      <c r="C1182" t="s">
        <v>13</v>
      </c>
      <c r="D1182" t="s">
        <v>314</v>
      </c>
      <c r="E1182" s="52" t="s">
        <v>315</v>
      </c>
      <c r="F1182" t="s">
        <v>551</v>
      </c>
      <c r="G1182" s="21">
        <v>0</v>
      </c>
      <c r="H1182" s="21">
        <v>0</v>
      </c>
      <c r="I1182" s="21">
        <v>0</v>
      </c>
      <c r="J1182" s="21">
        <v>-49962.62</v>
      </c>
      <c r="K1182" s="21">
        <v>0</v>
      </c>
      <c r="L1182" s="21">
        <v>-49962.62</v>
      </c>
    </row>
    <row r="1183" spans="1:12" ht="30" x14ac:dyDescent="0.25">
      <c r="A1183" s="10">
        <v>1178</v>
      </c>
      <c r="B1183" t="s">
        <v>550</v>
      </c>
      <c r="C1183" t="s">
        <v>17</v>
      </c>
      <c r="D1183" t="s">
        <v>314</v>
      </c>
      <c r="E1183" s="52" t="s">
        <v>315</v>
      </c>
      <c r="F1183" t="s">
        <v>552</v>
      </c>
      <c r="G1183" s="21">
        <v>-1.85</v>
      </c>
      <c r="H1183" s="21">
        <v>0</v>
      </c>
      <c r="I1183" s="21">
        <v>0</v>
      </c>
      <c r="J1183" s="21">
        <v>0</v>
      </c>
      <c r="K1183" s="21">
        <v>0.04</v>
      </c>
      <c r="L1183" s="21">
        <v>-1.81</v>
      </c>
    </row>
    <row r="1184" spans="1:12" ht="30" x14ac:dyDescent="0.25">
      <c r="A1184" s="10">
        <v>1179</v>
      </c>
      <c r="B1184" t="s">
        <v>550</v>
      </c>
      <c r="C1184" t="s">
        <v>13</v>
      </c>
      <c r="D1184" t="s">
        <v>314</v>
      </c>
      <c r="E1184" s="52" t="s">
        <v>315</v>
      </c>
      <c r="F1184" t="s">
        <v>552</v>
      </c>
      <c r="G1184" s="21">
        <v>0</v>
      </c>
      <c r="H1184" s="21">
        <v>0</v>
      </c>
      <c r="I1184" s="21">
        <v>0</v>
      </c>
      <c r="J1184" s="21">
        <v>-0.2</v>
      </c>
      <c r="K1184" s="21">
        <v>0</v>
      </c>
      <c r="L1184" s="21">
        <v>-0.2</v>
      </c>
    </row>
    <row r="1185" spans="1:12" ht="30" x14ac:dyDescent="0.25">
      <c r="A1185" s="10">
        <v>1180</v>
      </c>
      <c r="B1185" t="s">
        <v>550</v>
      </c>
      <c r="C1185" t="s">
        <v>13</v>
      </c>
      <c r="D1185" t="s">
        <v>314</v>
      </c>
      <c r="E1185" s="52" t="s">
        <v>315</v>
      </c>
      <c r="F1185" t="s">
        <v>552</v>
      </c>
      <c r="G1185" s="21">
        <v>0</v>
      </c>
      <c r="H1185" s="21">
        <v>0</v>
      </c>
      <c r="I1185" s="21">
        <v>0</v>
      </c>
      <c r="J1185" s="21">
        <v>-0.57999999999999996</v>
      </c>
      <c r="K1185" s="21">
        <v>0</v>
      </c>
      <c r="L1185" s="21">
        <v>-0.57999999999999996</v>
      </c>
    </row>
    <row r="1186" spans="1:12" ht="30" x14ac:dyDescent="0.25">
      <c r="A1186" s="10">
        <v>1181</v>
      </c>
      <c r="B1186" t="s">
        <v>550</v>
      </c>
      <c r="C1186" t="s">
        <v>13</v>
      </c>
      <c r="D1186" t="s">
        <v>314</v>
      </c>
      <c r="E1186" s="52" t="s">
        <v>315</v>
      </c>
      <c r="F1186" t="s">
        <v>552</v>
      </c>
      <c r="G1186" s="21">
        <v>0</v>
      </c>
      <c r="H1186" s="21">
        <v>0</v>
      </c>
      <c r="I1186" s="21">
        <v>0</v>
      </c>
      <c r="J1186" s="21">
        <v>0</v>
      </c>
      <c r="K1186" s="21">
        <v>0</v>
      </c>
      <c r="L1186" s="21">
        <v>0</v>
      </c>
    </row>
    <row r="1187" spans="1:12" ht="30" x14ac:dyDescent="0.25">
      <c r="A1187" s="10">
        <v>1182</v>
      </c>
      <c r="B1187" t="s">
        <v>550</v>
      </c>
      <c r="C1187" t="s">
        <v>13</v>
      </c>
      <c r="D1187" t="s">
        <v>314</v>
      </c>
      <c r="E1187" s="52" t="s">
        <v>315</v>
      </c>
      <c r="F1187" t="s">
        <v>552</v>
      </c>
      <c r="G1187" s="21">
        <v>0</v>
      </c>
      <c r="H1187" s="21">
        <v>0</v>
      </c>
      <c r="I1187" s="21">
        <v>0</v>
      </c>
      <c r="J1187" s="21">
        <v>-0.34</v>
      </c>
      <c r="K1187" s="21">
        <v>0</v>
      </c>
      <c r="L1187" s="21">
        <v>-0.34</v>
      </c>
    </row>
    <row r="1188" spans="1:12" ht="30" x14ac:dyDescent="0.25">
      <c r="A1188" s="10">
        <v>1183</v>
      </c>
      <c r="B1188" t="s">
        <v>550</v>
      </c>
      <c r="C1188" t="s">
        <v>13</v>
      </c>
      <c r="D1188" t="s">
        <v>314</v>
      </c>
      <c r="E1188" s="52" t="s">
        <v>315</v>
      </c>
      <c r="F1188" t="s">
        <v>552</v>
      </c>
      <c r="G1188" s="21">
        <v>0</v>
      </c>
      <c r="H1188" s="21">
        <v>0</v>
      </c>
      <c r="I1188" s="21">
        <v>0</v>
      </c>
      <c r="J1188" s="21">
        <v>-0.22</v>
      </c>
      <c r="K1188" s="21">
        <v>0</v>
      </c>
      <c r="L1188" s="21">
        <v>-0.22</v>
      </c>
    </row>
    <row r="1189" spans="1:12" ht="30" x14ac:dyDescent="0.25">
      <c r="A1189" s="10">
        <v>1184</v>
      </c>
      <c r="B1189" t="s">
        <v>550</v>
      </c>
      <c r="C1189" t="s">
        <v>13</v>
      </c>
      <c r="D1189" t="s">
        <v>314</v>
      </c>
      <c r="E1189" s="52" t="s">
        <v>315</v>
      </c>
      <c r="F1189" t="s">
        <v>552</v>
      </c>
      <c r="G1189" s="21">
        <v>0</v>
      </c>
      <c r="H1189" s="21">
        <v>0</v>
      </c>
      <c r="I1189" s="21">
        <v>0</v>
      </c>
      <c r="J1189" s="21">
        <v>-0.4</v>
      </c>
      <c r="K1189" s="21">
        <v>0</v>
      </c>
      <c r="L1189" s="21">
        <v>-0.4</v>
      </c>
    </row>
    <row r="1190" spans="1:12" ht="30" x14ac:dyDescent="0.25">
      <c r="A1190" s="10">
        <v>1185</v>
      </c>
      <c r="B1190" t="s">
        <v>550</v>
      </c>
      <c r="C1190" t="s">
        <v>13</v>
      </c>
      <c r="D1190" t="s">
        <v>314</v>
      </c>
      <c r="E1190" s="52" t="s">
        <v>315</v>
      </c>
      <c r="F1190" t="s">
        <v>552</v>
      </c>
      <c r="G1190" s="21">
        <v>0</v>
      </c>
      <c r="H1190" s="21">
        <v>0</v>
      </c>
      <c r="I1190" s="21">
        <v>0</v>
      </c>
      <c r="J1190" s="21">
        <v>-0.42</v>
      </c>
      <c r="K1190" s="21">
        <v>0</v>
      </c>
      <c r="L1190" s="21">
        <v>-0.42</v>
      </c>
    </row>
    <row r="1191" spans="1:12" ht="30" x14ac:dyDescent="0.25">
      <c r="A1191" s="10">
        <v>1186</v>
      </c>
      <c r="B1191" t="s">
        <v>550</v>
      </c>
      <c r="C1191" t="s">
        <v>17</v>
      </c>
      <c r="D1191" t="s">
        <v>314</v>
      </c>
      <c r="E1191" s="52" t="s">
        <v>315</v>
      </c>
      <c r="F1191" t="s">
        <v>552</v>
      </c>
      <c r="G1191" s="21">
        <v>-5.74</v>
      </c>
      <c r="H1191" s="21">
        <v>0</v>
      </c>
      <c r="I1191" s="21">
        <v>0</v>
      </c>
      <c r="J1191" s="21">
        <v>0</v>
      </c>
      <c r="K1191" s="21">
        <v>0.11</v>
      </c>
      <c r="L1191" s="21">
        <v>-5.63</v>
      </c>
    </row>
    <row r="1192" spans="1:12" ht="30" x14ac:dyDescent="0.25">
      <c r="A1192" s="10">
        <v>1187</v>
      </c>
      <c r="B1192" t="s">
        <v>550</v>
      </c>
      <c r="C1192" t="s">
        <v>17</v>
      </c>
      <c r="D1192" t="s">
        <v>314</v>
      </c>
      <c r="E1192" s="52" t="s">
        <v>315</v>
      </c>
      <c r="F1192" t="s">
        <v>552</v>
      </c>
      <c r="G1192" s="21">
        <v>-29.95</v>
      </c>
      <c r="H1192" s="21">
        <v>0</v>
      </c>
      <c r="I1192" s="21">
        <v>0</v>
      </c>
      <c r="J1192" s="21">
        <v>0</v>
      </c>
      <c r="K1192" s="21">
        <v>0.6</v>
      </c>
      <c r="L1192" s="21">
        <v>-29.35</v>
      </c>
    </row>
    <row r="1193" spans="1:12" ht="30" x14ac:dyDescent="0.25">
      <c r="A1193" s="10">
        <v>1188</v>
      </c>
      <c r="B1193" t="s">
        <v>550</v>
      </c>
      <c r="C1193" t="s">
        <v>17</v>
      </c>
      <c r="D1193" t="s">
        <v>314</v>
      </c>
      <c r="E1193" s="52" t="s">
        <v>315</v>
      </c>
      <c r="F1193" t="s">
        <v>552</v>
      </c>
      <c r="G1193" s="21">
        <v>-1.67</v>
      </c>
      <c r="H1193" s="21">
        <v>0</v>
      </c>
      <c r="I1193" s="21">
        <v>0</v>
      </c>
      <c r="J1193" s="21">
        <v>0</v>
      </c>
      <c r="K1193" s="21">
        <v>0.03</v>
      </c>
      <c r="L1193" s="21">
        <v>-1.64</v>
      </c>
    </row>
    <row r="1194" spans="1:12" ht="30" x14ac:dyDescent="0.25">
      <c r="A1194" s="10">
        <v>1189</v>
      </c>
      <c r="B1194" t="s">
        <v>550</v>
      </c>
      <c r="C1194" t="s">
        <v>17</v>
      </c>
      <c r="D1194" t="s">
        <v>314</v>
      </c>
      <c r="E1194" s="52" t="s">
        <v>315</v>
      </c>
      <c r="F1194" t="s">
        <v>552</v>
      </c>
      <c r="G1194" s="21">
        <v>-4.82</v>
      </c>
      <c r="H1194" s="21">
        <v>0</v>
      </c>
      <c r="I1194" s="21">
        <v>0</v>
      </c>
      <c r="J1194" s="21">
        <v>0</v>
      </c>
      <c r="K1194" s="21">
        <v>0.1</v>
      </c>
      <c r="L1194" s="21">
        <v>-4.72</v>
      </c>
    </row>
    <row r="1195" spans="1:12" ht="30" x14ac:dyDescent="0.25">
      <c r="A1195" s="10">
        <v>1190</v>
      </c>
      <c r="B1195" t="s">
        <v>550</v>
      </c>
      <c r="C1195" t="s">
        <v>17</v>
      </c>
      <c r="D1195" t="s">
        <v>314</v>
      </c>
      <c r="E1195" s="52" t="s">
        <v>315</v>
      </c>
      <c r="F1195" t="s">
        <v>552</v>
      </c>
      <c r="G1195" s="21">
        <v>-0.01</v>
      </c>
      <c r="H1195" s="21">
        <v>0</v>
      </c>
      <c r="I1195" s="21">
        <v>0</v>
      </c>
      <c r="J1195" s="21">
        <v>0</v>
      </c>
      <c r="K1195" s="21">
        <v>0</v>
      </c>
      <c r="L1195" s="21">
        <v>-0.01</v>
      </c>
    </row>
    <row r="1196" spans="1:12" ht="30" x14ac:dyDescent="0.25">
      <c r="A1196" s="10">
        <v>1191</v>
      </c>
      <c r="B1196" t="s">
        <v>550</v>
      </c>
      <c r="C1196" t="s">
        <v>17</v>
      </c>
      <c r="D1196" t="s">
        <v>314</v>
      </c>
      <c r="E1196" s="52" t="s">
        <v>315</v>
      </c>
      <c r="F1196" t="s">
        <v>552</v>
      </c>
      <c r="G1196" s="21">
        <v>-2.86</v>
      </c>
      <c r="H1196" s="21">
        <v>0</v>
      </c>
      <c r="I1196" s="21">
        <v>0</v>
      </c>
      <c r="J1196" s="21">
        <v>0</v>
      </c>
      <c r="K1196" s="21">
        <v>0.06</v>
      </c>
      <c r="L1196" s="21">
        <v>-2.8</v>
      </c>
    </row>
    <row r="1197" spans="1:12" ht="30" x14ac:dyDescent="0.25">
      <c r="A1197" s="10">
        <v>1192</v>
      </c>
      <c r="B1197" t="s">
        <v>550</v>
      </c>
      <c r="C1197" t="s">
        <v>17</v>
      </c>
      <c r="D1197" t="s">
        <v>314</v>
      </c>
      <c r="E1197" s="52" t="s">
        <v>315</v>
      </c>
      <c r="F1197" t="s">
        <v>552</v>
      </c>
      <c r="G1197" s="21">
        <v>-1.87</v>
      </c>
      <c r="H1197" s="21">
        <v>0</v>
      </c>
      <c r="I1197" s="21">
        <v>0</v>
      </c>
      <c r="J1197" s="21">
        <v>0</v>
      </c>
      <c r="K1197" s="21">
        <v>0.04</v>
      </c>
      <c r="L1197" s="21">
        <v>-1.83</v>
      </c>
    </row>
    <row r="1198" spans="1:12" ht="30" x14ac:dyDescent="0.25">
      <c r="A1198" s="10">
        <v>1193</v>
      </c>
      <c r="B1198" t="s">
        <v>550</v>
      </c>
      <c r="C1198" t="s">
        <v>17</v>
      </c>
      <c r="D1198" t="s">
        <v>314</v>
      </c>
      <c r="E1198" s="52" t="s">
        <v>315</v>
      </c>
      <c r="F1198" t="s">
        <v>552</v>
      </c>
      <c r="G1198" s="21">
        <v>-3.33</v>
      </c>
      <c r="H1198" s="21">
        <v>0</v>
      </c>
      <c r="I1198" s="21">
        <v>0</v>
      </c>
      <c r="J1198" s="21">
        <v>0</v>
      </c>
      <c r="K1198" s="21">
        <v>7.0000000000000007E-2</v>
      </c>
      <c r="L1198" s="21">
        <v>-3.26</v>
      </c>
    </row>
    <row r="1199" spans="1:12" ht="30" x14ac:dyDescent="0.25">
      <c r="A1199" s="10">
        <v>1194</v>
      </c>
      <c r="B1199" t="s">
        <v>550</v>
      </c>
      <c r="C1199" t="s">
        <v>17</v>
      </c>
      <c r="D1199" t="s">
        <v>314</v>
      </c>
      <c r="E1199" s="52" t="s">
        <v>315</v>
      </c>
      <c r="F1199" t="s">
        <v>552</v>
      </c>
      <c r="G1199" s="21">
        <v>-3.52</v>
      </c>
      <c r="H1199" s="21">
        <v>0</v>
      </c>
      <c r="I1199" s="21">
        <v>0</v>
      </c>
      <c r="J1199" s="21">
        <v>0</v>
      </c>
      <c r="K1199" s="21">
        <v>7.0000000000000007E-2</v>
      </c>
      <c r="L1199" s="21">
        <v>-3.45</v>
      </c>
    </row>
    <row r="1200" spans="1:12" ht="30" x14ac:dyDescent="0.25">
      <c r="A1200" s="10">
        <v>1195</v>
      </c>
      <c r="B1200" t="s">
        <v>550</v>
      </c>
      <c r="C1200" t="s">
        <v>13</v>
      </c>
      <c r="D1200" t="s">
        <v>314</v>
      </c>
      <c r="E1200" s="52" t="s">
        <v>315</v>
      </c>
      <c r="F1200" t="s">
        <v>552</v>
      </c>
      <c r="G1200" s="21">
        <v>0</v>
      </c>
      <c r="H1200" s="21">
        <v>0</v>
      </c>
      <c r="I1200" s="21">
        <v>0</v>
      </c>
      <c r="J1200" s="21">
        <v>-0.22</v>
      </c>
      <c r="K1200" s="21">
        <v>0</v>
      </c>
      <c r="L1200" s="21">
        <v>-0.22</v>
      </c>
    </row>
    <row r="1201" spans="1:12" ht="30" x14ac:dyDescent="0.25">
      <c r="A1201" s="10">
        <v>1196</v>
      </c>
      <c r="B1201" t="s">
        <v>550</v>
      </c>
      <c r="C1201" t="s">
        <v>13</v>
      </c>
      <c r="D1201" t="s">
        <v>314</v>
      </c>
      <c r="E1201" s="52" t="s">
        <v>315</v>
      </c>
      <c r="F1201" t="s">
        <v>552</v>
      </c>
      <c r="G1201" s="21">
        <v>0</v>
      </c>
      <c r="H1201" s="21">
        <v>0</v>
      </c>
      <c r="I1201" s="21">
        <v>0</v>
      </c>
      <c r="J1201" s="21">
        <v>-0.69</v>
      </c>
      <c r="K1201" s="21">
        <v>0</v>
      </c>
      <c r="L1201" s="21">
        <v>-0.69</v>
      </c>
    </row>
    <row r="1202" spans="1:12" ht="30" x14ac:dyDescent="0.25">
      <c r="A1202" s="10">
        <v>1197</v>
      </c>
      <c r="B1202" t="s">
        <v>550</v>
      </c>
      <c r="C1202" t="s">
        <v>13</v>
      </c>
      <c r="D1202" t="s">
        <v>314</v>
      </c>
      <c r="E1202" s="52" t="s">
        <v>315</v>
      </c>
      <c r="F1202" t="s">
        <v>552</v>
      </c>
      <c r="G1202" s="21">
        <v>0</v>
      </c>
      <c r="H1202" s="21">
        <v>0</v>
      </c>
      <c r="I1202" s="21">
        <v>0</v>
      </c>
      <c r="J1202" s="21">
        <v>-3.59</v>
      </c>
      <c r="K1202" s="21">
        <v>0</v>
      </c>
      <c r="L1202" s="21">
        <v>-3.59</v>
      </c>
    </row>
    <row r="1203" spans="1:12" ht="30" x14ac:dyDescent="0.25">
      <c r="A1203" s="10">
        <v>1198</v>
      </c>
      <c r="B1203" t="s">
        <v>18</v>
      </c>
      <c r="C1203" t="s">
        <v>17</v>
      </c>
      <c r="D1203" t="s">
        <v>316</v>
      </c>
      <c r="E1203" s="52" t="s">
        <v>317</v>
      </c>
      <c r="F1203" t="s">
        <v>19</v>
      </c>
      <c r="G1203" s="21">
        <v>-0.77</v>
      </c>
      <c r="H1203" s="21">
        <v>0</v>
      </c>
      <c r="I1203" s="21">
        <v>0</v>
      </c>
      <c r="J1203" s="21">
        <v>0</v>
      </c>
      <c r="K1203" s="21">
        <v>0.68</v>
      </c>
      <c r="L1203" s="21">
        <v>-0.09</v>
      </c>
    </row>
    <row r="1204" spans="1:12" ht="30" x14ac:dyDescent="0.25">
      <c r="A1204" s="10">
        <v>1199</v>
      </c>
      <c r="B1204" t="s">
        <v>550</v>
      </c>
      <c r="C1204" t="s">
        <v>17</v>
      </c>
      <c r="D1204" t="s">
        <v>316</v>
      </c>
      <c r="E1204" s="52" t="s">
        <v>317</v>
      </c>
      <c r="F1204" t="s">
        <v>551</v>
      </c>
      <c r="G1204" s="21">
        <v>-66736.33</v>
      </c>
      <c r="H1204" s="21">
        <v>0</v>
      </c>
      <c r="I1204" s="21">
        <v>0</v>
      </c>
      <c r="J1204" s="21">
        <v>0</v>
      </c>
      <c r="K1204" s="21">
        <v>1334.73</v>
      </c>
      <c r="L1204" s="21">
        <v>-65401.599999999999</v>
      </c>
    </row>
    <row r="1205" spans="1:12" ht="30" x14ac:dyDescent="0.25">
      <c r="A1205" s="10">
        <v>1200</v>
      </c>
      <c r="B1205" t="s">
        <v>550</v>
      </c>
      <c r="C1205" t="s">
        <v>13</v>
      </c>
      <c r="D1205" t="s">
        <v>316</v>
      </c>
      <c r="E1205" s="52" t="s">
        <v>317</v>
      </c>
      <c r="F1205" t="s">
        <v>551</v>
      </c>
      <c r="G1205" s="21">
        <v>0</v>
      </c>
      <c r="H1205" s="21">
        <v>0</v>
      </c>
      <c r="I1205" s="21">
        <v>0</v>
      </c>
      <c r="J1205" s="21">
        <v>-8008.36</v>
      </c>
      <c r="K1205" s="21">
        <v>0</v>
      </c>
      <c r="L1205" s="21">
        <v>-8008.36</v>
      </c>
    </row>
    <row r="1206" spans="1:12" ht="30" x14ac:dyDescent="0.25">
      <c r="A1206" s="10">
        <v>1201</v>
      </c>
      <c r="B1206" t="s">
        <v>550</v>
      </c>
      <c r="C1206" t="s">
        <v>17</v>
      </c>
      <c r="D1206" t="s">
        <v>316</v>
      </c>
      <c r="E1206" s="52" t="s">
        <v>317</v>
      </c>
      <c r="F1206" t="s">
        <v>552</v>
      </c>
      <c r="G1206" s="21">
        <v>-4.8</v>
      </c>
      <c r="H1206" s="21">
        <v>0</v>
      </c>
      <c r="I1206" s="21">
        <v>0</v>
      </c>
      <c r="J1206" s="21">
        <v>0</v>
      </c>
      <c r="K1206" s="21">
        <v>0.1</v>
      </c>
      <c r="L1206" s="21">
        <v>-4.7</v>
      </c>
    </row>
    <row r="1207" spans="1:12" ht="30" x14ac:dyDescent="0.25">
      <c r="A1207" s="10">
        <v>1202</v>
      </c>
      <c r="B1207" t="s">
        <v>550</v>
      </c>
      <c r="C1207" t="s">
        <v>13</v>
      </c>
      <c r="D1207" t="s">
        <v>316</v>
      </c>
      <c r="E1207" s="52" t="s">
        <v>317</v>
      </c>
      <c r="F1207" t="s">
        <v>552</v>
      </c>
      <c r="G1207" s="21">
        <v>0</v>
      </c>
      <c r="H1207" s="21">
        <v>0</v>
      </c>
      <c r="I1207" s="21">
        <v>0</v>
      </c>
      <c r="J1207" s="21">
        <v>-0.57999999999999996</v>
      </c>
      <c r="K1207" s="21">
        <v>0</v>
      </c>
      <c r="L1207" s="21">
        <v>-0.57999999999999996</v>
      </c>
    </row>
    <row r="1208" spans="1:12" x14ac:dyDescent="0.25">
      <c r="A1208" s="10">
        <v>1203</v>
      </c>
      <c r="B1208" t="s">
        <v>18</v>
      </c>
      <c r="C1208" t="s">
        <v>17</v>
      </c>
      <c r="D1208" t="s">
        <v>318</v>
      </c>
      <c r="E1208" s="52" t="s">
        <v>297</v>
      </c>
      <c r="F1208" t="s">
        <v>19</v>
      </c>
      <c r="G1208" s="21">
        <v>-14.65</v>
      </c>
      <c r="H1208" s="21">
        <v>0</v>
      </c>
      <c r="I1208" s="21">
        <v>0</v>
      </c>
      <c r="J1208" s="21">
        <v>0</v>
      </c>
      <c r="K1208" s="21">
        <v>13</v>
      </c>
      <c r="L1208" s="21">
        <v>-1.65</v>
      </c>
    </row>
    <row r="1209" spans="1:12" x14ac:dyDescent="0.25">
      <c r="A1209" s="10">
        <v>1204</v>
      </c>
      <c r="B1209" t="s">
        <v>550</v>
      </c>
      <c r="C1209" t="s">
        <v>17</v>
      </c>
      <c r="D1209" t="s">
        <v>318</v>
      </c>
      <c r="E1209" s="52" t="s">
        <v>297</v>
      </c>
      <c r="F1209" t="s">
        <v>551</v>
      </c>
      <c r="G1209" s="21">
        <v>-1081561.07</v>
      </c>
      <c r="H1209" s="21">
        <v>0</v>
      </c>
      <c r="I1209" s="21">
        <v>0</v>
      </c>
      <c r="J1209" s="21">
        <v>0</v>
      </c>
      <c r="K1209" s="21">
        <v>21631.22</v>
      </c>
      <c r="L1209" s="21">
        <v>-1059929.8500000001</v>
      </c>
    </row>
    <row r="1210" spans="1:12" x14ac:dyDescent="0.25">
      <c r="A1210" s="10">
        <v>1205</v>
      </c>
      <c r="B1210" t="s">
        <v>550</v>
      </c>
      <c r="C1210" t="s">
        <v>13</v>
      </c>
      <c r="D1210" t="s">
        <v>318</v>
      </c>
      <c r="E1210" s="52" t="s">
        <v>297</v>
      </c>
      <c r="F1210" t="s">
        <v>551</v>
      </c>
      <c r="G1210" s="21">
        <v>0</v>
      </c>
      <c r="H1210" s="21">
        <v>0</v>
      </c>
      <c r="I1210" s="21">
        <v>0</v>
      </c>
      <c r="J1210" s="21">
        <v>-129787.33</v>
      </c>
      <c r="K1210" s="21">
        <v>0</v>
      </c>
      <c r="L1210" s="21">
        <v>-129787.33</v>
      </c>
    </row>
    <row r="1211" spans="1:12" x14ac:dyDescent="0.25">
      <c r="A1211" s="10">
        <v>1206</v>
      </c>
      <c r="B1211" t="s">
        <v>550</v>
      </c>
      <c r="C1211" t="s">
        <v>17</v>
      </c>
      <c r="D1211" t="s">
        <v>318</v>
      </c>
      <c r="E1211" s="52" t="s">
        <v>297</v>
      </c>
      <c r="F1211" t="s">
        <v>552</v>
      </c>
      <c r="G1211" s="21">
        <v>-77.790000000000006</v>
      </c>
      <c r="H1211" s="21">
        <v>0</v>
      </c>
      <c r="I1211" s="21">
        <v>0</v>
      </c>
      <c r="J1211" s="21">
        <v>0</v>
      </c>
      <c r="K1211" s="21">
        <v>1.56</v>
      </c>
      <c r="L1211" s="21">
        <v>-76.23</v>
      </c>
    </row>
    <row r="1212" spans="1:12" x14ac:dyDescent="0.25">
      <c r="A1212" s="10">
        <v>1207</v>
      </c>
      <c r="B1212" t="s">
        <v>550</v>
      </c>
      <c r="C1212" t="s">
        <v>13</v>
      </c>
      <c r="D1212" t="s">
        <v>318</v>
      </c>
      <c r="E1212" s="52" t="s">
        <v>297</v>
      </c>
      <c r="F1212" t="s">
        <v>552</v>
      </c>
      <c r="G1212" s="21">
        <v>0</v>
      </c>
      <c r="H1212" s="21">
        <v>0</v>
      </c>
      <c r="I1212" s="21">
        <v>0</v>
      </c>
      <c r="J1212" s="21">
        <v>-9.33</v>
      </c>
      <c r="K1212" s="21">
        <v>0</v>
      </c>
      <c r="L1212" s="21">
        <v>-9.33</v>
      </c>
    </row>
    <row r="1213" spans="1:12" ht="30" x14ac:dyDescent="0.25">
      <c r="A1213" s="10">
        <v>1208</v>
      </c>
      <c r="B1213" t="s">
        <v>550</v>
      </c>
      <c r="C1213" t="s">
        <v>17</v>
      </c>
      <c r="D1213" t="s">
        <v>319</v>
      </c>
      <c r="E1213" s="52" t="s">
        <v>315</v>
      </c>
      <c r="F1213" t="s">
        <v>551</v>
      </c>
      <c r="G1213" s="21">
        <v>-607.97</v>
      </c>
      <c r="H1213" s="21">
        <v>0</v>
      </c>
      <c r="I1213" s="21">
        <v>0</v>
      </c>
      <c r="J1213" s="21">
        <v>0</v>
      </c>
      <c r="K1213" s="21">
        <v>12.16</v>
      </c>
      <c r="L1213" s="21">
        <v>-595.80999999999995</v>
      </c>
    </row>
    <row r="1214" spans="1:12" ht="30" x14ac:dyDescent="0.25">
      <c r="A1214" s="10">
        <v>1209</v>
      </c>
      <c r="B1214" t="s">
        <v>550</v>
      </c>
      <c r="C1214" t="s">
        <v>13</v>
      </c>
      <c r="D1214" t="s">
        <v>319</v>
      </c>
      <c r="E1214" s="52" t="s">
        <v>315</v>
      </c>
      <c r="F1214" t="s">
        <v>551</v>
      </c>
      <c r="G1214" s="21">
        <v>0</v>
      </c>
      <c r="H1214" s="21">
        <v>0</v>
      </c>
      <c r="I1214" s="21">
        <v>0</v>
      </c>
      <c r="J1214" s="21">
        <v>-72.959999999999994</v>
      </c>
      <c r="K1214" s="21">
        <v>0</v>
      </c>
      <c r="L1214" s="21">
        <v>-72.959999999999994</v>
      </c>
    </row>
    <row r="1215" spans="1:12" ht="30" x14ac:dyDescent="0.25">
      <c r="A1215" s="10">
        <v>1210</v>
      </c>
      <c r="B1215" t="s">
        <v>550</v>
      </c>
      <c r="C1215" t="s">
        <v>17</v>
      </c>
      <c r="D1215" t="s">
        <v>319</v>
      </c>
      <c r="E1215" s="52" t="s">
        <v>315</v>
      </c>
      <c r="F1215" t="s">
        <v>552</v>
      </c>
      <c r="G1215" s="21">
        <v>-0.04</v>
      </c>
      <c r="H1215" s="21">
        <v>0</v>
      </c>
      <c r="I1215" s="21">
        <v>0</v>
      </c>
      <c r="J1215" s="21">
        <v>0</v>
      </c>
      <c r="K1215" s="21">
        <v>0</v>
      </c>
      <c r="L1215" s="21">
        <v>-0.04</v>
      </c>
    </row>
    <row r="1216" spans="1:12" ht="30" x14ac:dyDescent="0.25">
      <c r="A1216" s="10">
        <v>1211</v>
      </c>
      <c r="B1216" t="s">
        <v>550</v>
      </c>
      <c r="C1216" t="s">
        <v>13</v>
      </c>
      <c r="D1216" t="s">
        <v>319</v>
      </c>
      <c r="E1216" s="52" t="s">
        <v>315</v>
      </c>
      <c r="F1216" t="s">
        <v>552</v>
      </c>
      <c r="G1216" s="21">
        <v>0</v>
      </c>
      <c r="H1216" s="21">
        <v>0</v>
      </c>
      <c r="I1216" s="21">
        <v>0</v>
      </c>
      <c r="J1216" s="21">
        <v>0</v>
      </c>
      <c r="K1216" s="21">
        <v>0</v>
      </c>
      <c r="L1216" s="21">
        <v>0</v>
      </c>
    </row>
    <row r="1217" spans="1:12" ht="30" x14ac:dyDescent="0.25">
      <c r="A1217" s="10">
        <v>1212</v>
      </c>
      <c r="B1217" t="s">
        <v>18</v>
      </c>
      <c r="C1217" t="s">
        <v>17</v>
      </c>
      <c r="D1217" t="s">
        <v>320</v>
      </c>
      <c r="E1217" s="52" t="s">
        <v>321</v>
      </c>
      <c r="F1217" t="s">
        <v>19</v>
      </c>
      <c r="G1217" s="21">
        <v>-1.06</v>
      </c>
      <c r="H1217" s="21">
        <v>0</v>
      </c>
      <c r="I1217" s="21">
        <v>0</v>
      </c>
      <c r="J1217" s="21">
        <v>0</v>
      </c>
      <c r="K1217" s="21">
        <v>0.94</v>
      </c>
      <c r="L1217" s="21">
        <v>-0.12</v>
      </c>
    </row>
    <row r="1218" spans="1:12" ht="30" x14ac:dyDescent="0.25">
      <c r="A1218" s="10">
        <v>1213</v>
      </c>
      <c r="B1218" t="s">
        <v>550</v>
      </c>
      <c r="C1218" t="s">
        <v>17</v>
      </c>
      <c r="D1218" t="s">
        <v>320</v>
      </c>
      <c r="E1218" s="52" t="s">
        <v>321</v>
      </c>
      <c r="F1218" t="s">
        <v>551</v>
      </c>
      <c r="G1218" s="21">
        <v>-46027.64</v>
      </c>
      <c r="H1218" s="21">
        <v>0</v>
      </c>
      <c r="I1218" s="21">
        <v>0</v>
      </c>
      <c r="J1218" s="21">
        <v>0</v>
      </c>
      <c r="K1218" s="21">
        <v>920.55</v>
      </c>
      <c r="L1218" s="21">
        <v>-45107.09</v>
      </c>
    </row>
    <row r="1219" spans="1:12" ht="30" x14ac:dyDescent="0.25">
      <c r="A1219" s="10">
        <v>1214</v>
      </c>
      <c r="B1219" t="s">
        <v>550</v>
      </c>
      <c r="C1219" t="s">
        <v>13</v>
      </c>
      <c r="D1219" t="s">
        <v>320</v>
      </c>
      <c r="E1219" s="52" t="s">
        <v>321</v>
      </c>
      <c r="F1219" t="s">
        <v>551</v>
      </c>
      <c r="G1219" s="21">
        <v>0</v>
      </c>
      <c r="H1219" s="21">
        <v>0</v>
      </c>
      <c r="I1219" s="21">
        <v>0</v>
      </c>
      <c r="J1219" s="21">
        <v>-5523.32</v>
      </c>
      <c r="K1219" s="21">
        <v>0</v>
      </c>
      <c r="L1219" s="21">
        <v>-5523.32</v>
      </c>
    </row>
    <row r="1220" spans="1:12" ht="30" x14ac:dyDescent="0.25">
      <c r="A1220" s="10">
        <v>1215</v>
      </c>
      <c r="B1220" t="s">
        <v>550</v>
      </c>
      <c r="C1220" t="s">
        <v>17</v>
      </c>
      <c r="D1220" t="s">
        <v>320</v>
      </c>
      <c r="E1220" s="52" t="s">
        <v>321</v>
      </c>
      <c r="F1220" t="s">
        <v>552</v>
      </c>
      <c r="G1220" s="21">
        <v>-3.31</v>
      </c>
      <c r="H1220" s="21">
        <v>0</v>
      </c>
      <c r="I1220" s="21">
        <v>0</v>
      </c>
      <c r="J1220" s="21">
        <v>0</v>
      </c>
      <c r="K1220" s="21">
        <v>7.0000000000000007E-2</v>
      </c>
      <c r="L1220" s="21">
        <v>-3.24</v>
      </c>
    </row>
    <row r="1221" spans="1:12" ht="30" x14ac:dyDescent="0.25">
      <c r="A1221" s="10">
        <v>1216</v>
      </c>
      <c r="B1221" t="s">
        <v>550</v>
      </c>
      <c r="C1221" t="s">
        <v>13</v>
      </c>
      <c r="D1221" t="s">
        <v>320</v>
      </c>
      <c r="E1221" s="52" t="s">
        <v>321</v>
      </c>
      <c r="F1221" t="s">
        <v>552</v>
      </c>
      <c r="G1221" s="21">
        <v>0</v>
      </c>
      <c r="H1221" s="21">
        <v>0</v>
      </c>
      <c r="I1221" s="21">
        <v>0</v>
      </c>
      <c r="J1221" s="21">
        <v>-0.4</v>
      </c>
      <c r="K1221" s="21">
        <v>0</v>
      </c>
      <c r="L1221" s="21">
        <v>-0.4</v>
      </c>
    </row>
    <row r="1222" spans="1:12" ht="30" x14ac:dyDescent="0.25">
      <c r="A1222" s="10">
        <v>1217</v>
      </c>
      <c r="B1222" t="s">
        <v>550</v>
      </c>
      <c r="C1222" t="s">
        <v>17</v>
      </c>
      <c r="D1222" t="s">
        <v>322</v>
      </c>
      <c r="E1222" s="52" t="s">
        <v>323</v>
      </c>
      <c r="F1222" t="s">
        <v>551</v>
      </c>
      <c r="G1222" s="21">
        <v>-61376.09</v>
      </c>
      <c r="H1222" s="21">
        <v>0</v>
      </c>
      <c r="I1222" s="21">
        <v>0</v>
      </c>
      <c r="J1222" s="21">
        <v>0</v>
      </c>
      <c r="K1222" s="21">
        <v>1227.52</v>
      </c>
      <c r="L1222" s="21">
        <v>-60148.57</v>
      </c>
    </row>
    <row r="1223" spans="1:12" ht="30" x14ac:dyDescent="0.25">
      <c r="A1223" s="10">
        <v>1218</v>
      </c>
      <c r="B1223" t="s">
        <v>550</v>
      </c>
      <c r="C1223" t="s">
        <v>13</v>
      </c>
      <c r="D1223" t="s">
        <v>322</v>
      </c>
      <c r="E1223" s="52" t="s">
        <v>323</v>
      </c>
      <c r="F1223" t="s">
        <v>551</v>
      </c>
      <c r="G1223" s="21">
        <v>0</v>
      </c>
      <c r="H1223" s="21">
        <v>0</v>
      </c>
      <c r="I1223" s="21">
        <v>0</v>
      </c>
      <c r="J1223" s="21">
        <v>-7365.13</v>
      </c>
      <c r="K1223" s="21">
        <v>0</v>
      </c>
      <c r="L1223" s="21">
        <v>-7365.13</v>
      </c>
    </row>
    <row r="1224" spans="1:12" ht="30" x14ac:dyDescent="0.25">
      <c r="A1224" s="10">
        <v>1219</v>
      </c>
      <c r="B1224" t="s">
        <v>550</v>
      </c>
      <c r="C1224" t="s">
        <v>17</v>
      </c>
      <c r="D1224" t="s">
        <v>322</v>
      </c>
      <c r="E1224" s="52" t="s">
        <v>323</v>
      </c>
      <c r="F1224" t="s">
        <v>552</v>
      </c>
      <c r="G1224" s="21">
        <v>-4.41</v>
      </c>
      <c r="H1224" s="21">
        <v>0</v>
      </c>
      <c r="I1224" s="21">
        <v>0</v>
      </c>
      <c r="J1224" s="21">
        <v>0</v>
      </c>
      <c r="K1224" s="21">
        <v>0.09</v>
      </c>
      <c r="L1224" s="21">
        <v>-4.32</v>
      </c>
    </row>
    <row r="1225" spans="1:12" ht="30" x14ac:dyDescent="0.25">
      <c r="A1225" s="10">
        <v>1220</v>
      </c>
      <c r="B1225" t="s">
        <v>550</v>
      </c>
      <c r="C1225" t="s">
        <v>13</v>
      </c>
      <c r="D1225" t="s">
        <v>322</v>
      </c>
      <c r="E1225" s="52" t="s">
        <v>323</v>
      </c>
      <c r="F1225" t="s">
        <v>552</v>
      </c>
      <c r="G1225" s="21">
        <v>0</v>
      </c>
      <c r="H1225" s="21">
        <v>0</v>
      </c>
      <c r="I1225" s="21">
        <v>0</v>
      </c>
      <c r="J1225" s="21">
        <v>-0.53</v>
      </c>
      <c r="K1225" s="21">
        <v>0</v>
      </c>
      <c r="L1225" s="21">
        <v>-0.53</v>
      </c>
    </row>
    <row r="1226" spans="1:12" ht="30" x14ac:dyDescent="0.25">
      <c r="A1226" s="10">
        <v>1221</v>
      </c>
      <c r="B1226" t="s">
        <v>566</v>
      </c>
      <c r="C1226" t="s">
        <v>17</v>
      </c>
      <c r="D1226" t="s">
        <v>324</v>
      </c>
      <c r="E1226" s="52" t="s">
        <v>325</v>
      </c>
      <c r="F1226" t="s">
        <v>567</v>
      </c>
      <c r="G1226" s="21">
        <v>-1.2</v>
      </c>
      <c r="H1226" s="21">
        <v>0</v>
      </c>
      <c r="I1226" s="21">
        <v>0</v>
      </c>
      <c r="J1226" s="21">
        <v>0</v>
      </c>
      <c r="K1226" s="21">
        <v>0.02</v>
      </c>
      <c r="L1226" s="21">
        <v>-1.18</v>
      </c>
    </row>
    <row r="1227" spans="1:12" ht="30" x14ac:dyDescent="0.25">
      <c r="A1227" s="10">
        <v>1222</v>
      </c>
      <c r="B1227" t="s">
        <v>566</v>
      </c>
      <c r="C1227" t="s">
        <v>13</v>
      </c>
      <c r="D1227" t="s">
        <v>324</v>
      </c>
      <c r="E1227" s="52" t="s">
        <v>325</v>
      </c>
      <c r="F1227" t="s">
        <v>567</v>
      </c>
      <c r="G1227" s="21">
        <v>0</v>
      </c>
      <c r="H1227" s="21">
        <v>0</v>
      </c>
      <c r="I1227" s="21">
        <v>0</v>
      </c>
      <c r="J1227" s="21">
        <v>-0.14000000000000001</v>
      </c>
      <c r="K1227" s="21">
        <v>0</v>
      </c>
      <c r="L1227" s="21">
        <v>-0.14000000000000001</v>
      </c>
    </row>
    <row r="1228" spans="1:12" ht="30" x14ac:dyDescent="0.25">
      <c r="A1228" s="10">
        <v>1223</v>
      </c>
      <c r="B1228" t="s">
        <v>550</v>
      </c>
      <c r="C1228" t="s">
        <v>17</v>
      </c>
      <c r="D1228" t="s">
        <v>324</v>
      </c>
      <c r="E1228" s="52" t="s">
        <v>325</v>
      </c>
      <c r="F1228" t="s">
        <v>551</v>
      </c>
      <c r="G1228" s="21">
        <v>-55309.75</v>
      </c>
      <c r="H1228" s="21">
        <v>0</v>
      </c>
      <c r="I1228" s="21">
        <v>0</v>
      </c>
      <c r="J1228" s="21">
        <v>0</v>
      </c>
      <c r="K1228" s="21">
        <v>1106.2</v>
      </c>
      <c r="L1228" s="21">
        <v>-54203.55</v>
      </c>
    </row>
    <row r="1229" spans="1:12" ht="30" x14ac:dyDescent="0.25">
      <c r="A1229" s="10">
        <v>1224</v>
      </c>
      <c r="B1229" t="s">
        <v>550</v>
      </c>
      <c r="C1229" t="s">
        <v>13</v>
      </c>
      <c r="D1229" t="s">
        <v>324</v>
      </c>
      <c r="E1229" s="52" t="s">
        <v>325</v>
      </c>
      <c r="F1229" t="s">
        <v>551</v>
      </c>
      <c r="G1229" s="21">
        <v>0</v>
      </c>
      <c r="H1229" s="21">
        <v>0</v>
      </c>
      <c r="I1229" s="21">
        <v>0</v>
      </c>
      <c r="J1229" s="21">
        <v>-6637.17</v>
      </c>
      <c r="K1229" s="21">
        <v>0</v>
      </c>
      <c r="L1229" s="21">
        <v>-6637.17</v>
      </c>
    </row>
    <row r="1230" spans="1:12" ht="30" x14ac:dyDescent="0.25">
      <c r="A1230" s="10">
        <v>1225</v>
      </c>
      <c r="B1230" t="s">
        <v>550</v>
      </c>
      <c r="C1230" t="s">
        <v>17</v>
      </c>
      <c r="D1230" t="s">
        <v>324</v>
      </c>
      <c r="E1230" s="52" t="s">
        <v>325</v>
      </c>
      <c r="F1230" t="s">
        <v>552</v>
      </c>
      <c r="G1230" s="21">
        <v>-3.98</v>
      </c>
      <c r="H1230" s="21">
        <v>0</v>
      </c>
      <c r="I1230" s="21">
        <v>0</v>
      </c>
      <c r="J1230" s="21">
        <v>0</v>
      </c>
      <c r="K1230" s="21">
        <v>0.08</v>
      </c>
      <c r="L1230" s="21">
        <v>-3.9</v>
      </c>
    </row>
    <row r="1231" spans="1:12" ht="30" x14ac:dyDescent="0.25">
      <c r="A1231" s="10">
        <v>1226</v>
      </c>
      <c r="B1231" t="s">
        <v>550</v>
      </c>
      <c r="C1231" t="s">
        <v>13</v>
      </c>
      <c r="D1231" t="s">
        <v>324</v>
      </c>
      <c r="E1231" s="52" t="s">
        <v>325</v>
      </c>
      <c r="F1231" t="s">
        <v>552</v>
      </c>
      <c r="G1231" s="21">
        <v>0</v>
      </c>
      <c r="H1231" s="21">
        <v>0</v>
      </c>
      <c r="I1231" s="21">
        <v>0</v>
      </c>
      <c r="J1231" s="21">
        <v>-0.48</v>
      </c>
      <c r="K1231" s="21">
        <v>0</v>
      </c>
      <c r="L1231" s="21">
        <v>-0.48</v>
      </c>
    </row>
    <row r="1232" spans="1:12" ht="30" x14ac:dyDescent="0.25">
      <c r="A1232" s="10">
        <v>1227</v>
      </c>
      <c r="B1232" t="s">
        <v>18</v>
      </c>
      <c r="C1232" t="s">
        <v>17</v>
      </c>
      <c r="D1232" t="s">
        <v>326</v>
      </c>
      <c r="E1232" s="52" t="s">
        <v>327</v>
      </c>
      <c r="F1232" t="s">
        <v>19</v>
      </c>
      <c r="G1232" s="21">
        <v>0</v>
      </c>
      <c r="H1232" s="21">
        <v>0</v>
      </c>
      <c r="I1232" s="21">
        <v>-0.61</v>
      </c>
      <c r="J1232" s="21">
        <v>0</v>
      </c>
      <c r="K1232" s="21">
        <v>7.0000000000000007E-2</v>
      </c>
      <c r="L1232" s="21">
        <v>-0.54</v>
      </c>
    </row>
    <row r="1233" spans="1:12" ht="30" x14ac:dyDescent="0.25">
      <c r="A1233" s="10">
        <v>1228</v>
      </c>
      <c r="B1233" t="s">
        <v>18</v>
      </c>
      <c r="C1233" t="s">
        <v>17</v>
      </c>
      <c r="D1233" t="s">
        <v>326</v>
      </c>
      <c r="E1233" s="52" t="s">
        <v>327</v>
      </c>
      <c r="F1233" t="s">
        <v>19</v>
      </c>
      <c r="G1233" s="21">
        <v>0</v>
      </c>
      <c r="H1233" s="21">
        <v>0</v>
      </c>
      <c r="I1233" s="21">
        <v>-0.1</v>
      </c>
      <c r="J1233" s="21">
        <v>0</v>
      </c>
      <c r="K1233" s="21">
        <v>0.01</v>
      </c>
      <c r="L1233" s="21">
        <v>-0.09</v>
      </c>
    </row>
    <row r="1234" spans="1:12" ht="30" x14ac:dyDescent="0.25">
      <c r="A1234" s="10">
        <v>1229</v>
      </c>
      <c r="B1234" t="s">
        <v>550</v>
      </c>
      <c r="C1234" t="s">
        <v>17</v>
      </c>
      <c r="D1234" t="s">
        <v>326</v>
      </c>
      <c r="E1234" s="52" t="s">
        <v>327</v>
      </c>
      <c r="F1234" t="s">
        <v>551</v>
      </c>
      <c r="G1234" s="21">
        <v>0</v>
      </c>
      <c r="H1234" s="21">
        <v>0</v>
      </c>
      <c r="I1234" s="21">
        <v>-1638.63</v>
      </c>
      <c r="J1234" s="21">
        <v>0</v>
      </c>
      <c r="K1234" s="21">
        <v>32.770000000000003</v>
      </c>
      <c r="L1234" s="21">
        <v>-1605.86</v>
      </c>
    </row>
    <row r="1235" spans="1:12" ht="30" x14ac:dyDescent="0.25">
      <c r="A1235" s="10">
        <v>1230</v>
      </c>
      <c r="B1235" t="s">
        <v>550</v>
      </c>
      <c r="C1235" t="s">
        <v>17</v>
      </c>
      <c r="D1235" t="s">
        <v>326</v>
      </c>
      <c r="E1235" s="52" t="s">
        <v>327</v>
      </c>
      <c r="F1235" t="s">
        <v>551</v>
      </c>
      <c r="G1235" s="21">
        <v>0</v>
      </c>
      <c r="H1235" s="21">
        <v>0</v>
      </c>
      <c r="I1235" s="21">
        <v>-207.24</v>
      </c>
      <c r="J1235" s="21">
        <v>0</v>
      </c>
      <c r="K1235" s="21">
        <v>4.1399999999999997</v>
      </c>
      <c r="L1235" s="21">
        <v>-203.1</v>
      </c>
    </row>
    <row r="1236" spans="1:12" ht="30" x14ac:dyDescent="0.25">
      <c r="A1236" s="10">
        <v>1231</v>
      </c>
      <c r="B1236" t="s">
        <v>550</v>
      </c>
      <c r="C1236" t="s">
        <v>17</v>
      </c>
      <c r="D1236" t="s">
        <v>326</v>
      </c>
      <c r="E1236" s="52" t="s">
        <v>327</v>
      </c>
      <c r="F1236" t="s">
        <v>552</v>
      </c>
      <c r="G1236" s="21">
        <v>0</v>
      </c>
      <c r="H1236" s="21">
        <v>0</v>
      </c>
      <c r="I1236" s="21">
        <v>-0.12</v>
      </c>
      <c r="J1236" s="21">
        <v>0</v>
      </c>
      <c r="K1236" s="21">
        <v>0</v>
      </c>
      <c r="L1236" s="21">
        <v>-0.12</v>
      </c>
    </row>
    <row r="1237" spans="1:12" ht="30" x14ac:dyDescent="0.25">
      <c r="A1237" s="10">
        <v>1232</v>
      </c>
      <c r="B1237" t="s">
        <v>550</v>
      </c>
      <c r="C1237" t="s">
        <v>17</v>
      </c>
      <c r="D1237" t="s">
        <v>326</v>
      </c>
      <c r="E1237" s="52" t="s">
        <v>327</v>
      </c>
      <c r="F1237" t="s">
        <v>552</v>
      </c>
      <c r="G1237" s="21">
        <v>0</v>
      </c>
      <c r="H1237" s="21">
        <v>0</v>
      </c>
      <c r="I1237" s="21">
        <v>-0.01</v>
      </c>
      <c r="J1237" s="21">
        <v>0</v>
      </c>
      <c r="K1237" s="21">
        <v>0</v>
      </c>
      <c r="L1237" s="21">
        <v>-0.01</v>
      </c>
    </row>
    <row r="1238" spans="1:12" ht="30" x14ac:dyDescent="0.25">
      <c r="A1238" s="10">
        <v>1233</v>
      </c>
      <c r="B1238" t="s">
        <v>555</v>
      </c>
      <c r="C1238" t="s">
        <v>17</v>
      </c>
      <c r="D1238" t="s">
        <v>328</v>
      </c>
      <c r="E1238" s="52" t="s">
        <v>329</v>
      </c>
      <c r="F1238" t="s">
        <v>556</v>
      </c>
      <c r="G1238" s="21">
        <v>-50.33</v>
      </c>
      <c r="H1238" s="21">
        <v>0</v>
      </c>
      <c r="I1238" s="21">
        <v>0</v>
      </c>
      <c r="J1238" s="21">
        <v>0</v>
      </c>
      <c r="K1238" s="21">
        <v>1.01</v>
      </c>
      <c r="L1238" s="21">
        <v>-49.32</v>
      </c>
    </row>
    <row r="1239" spans="1:12" ht="30" x14ac:dyDescent="0.25">
      <c r="A1239" s="10">
        <v>1234</v>
      </c>
      <c r="B1239" t="s">
        <v>555</v>
      </c>
      <c r="C1239" t="s">
        <v>13</v>
      </c>
      <c r="D1239" t="s">
        <v>328</v>
      </c>
      <c r="E1239" s="52" t="s">
        <v>329</v>
      </c>
      <c r="F1239" t="s">
        <v>556</v>
      </c>
      <c r="G1239" s="21">
        <v>0</v>
      </c>
      <c r="H1239" s="21">
        <v>0</v>
      </c>
      <c r="I1239" s="21">
        <v>0</v>
      </c>
      <c r="J1239" s="21">
        <v>-6.04</v>
      </c>
      <c r="K1239" s="21">
        <v>0</v>
      </c>
      <c r="L1239" s="21">
        <v>-6.04</v>
      </c>
    </row>
    <row r="1240" spans="1:12" ht="30" x14ac:dyDescent="0.25">
      <c r="A1240" s="10">
        <v>1235</v>
      </c>
      <c r="B1240" t="s">
        <v>557</v>
      </c>
      <c r="C1240" t="s">
        <v>17</v>
      </c>
      <c r="D1240" t="s">
        <v>328</v>
      </c>
      <c r="E1240" s="52" t="s">
        <v>329</v>
      </c>
      <c r="F1240" t="s">
        <v>558</v>
      </c>
      <c r="G1240" s="21">
        <v>-35.22</v>
      </c>
      <c r="H1240" s="21">
        <v>0</v>
      </c>
      <c r="I1240" s="21">
        <v>0</v>
      </c>
      <c r="J1240" s="21">
        <v>0</v>
      </c>
      <c r="K1240" s="21">
        <v>0.7</v>
      </c>
      <c r="L1240" s="21">
        <v>-34.520000000000003</v>
      </c>
    </row>
    <row r="1241" spans="1:12" ht="30" x14ac:dyDescent="0.25">
      <c r="A1241" s="10">
        <v>1236</v>
      </c>
      <c r="B1241" t="s">
        <v>557</v>
      </c>
      <c r="C1241" t="s">
        <v>13</v>
      </c>
      <c r="D1241" t="s">
        <v>328</v>
      </c>
      <c r="E1241" s="52" t="s">
        <v>329</v>
      </c>
      <c r="F1241" t="s">
        <v>558</v>
      </c>
      <c r="G1241" s="21">
        <v>0</v>
      </c>
      <c r="H1241" s="21">
        <v>0</v>
      </c>
      <c r="I1241" s="21">
        <v>0</v>
      </c>
      <c r="J1241" s="21">
        <v>-4.2300000000000004</v>
      </c>
      <c r="K1241" s="21">
        <v>0</v>
      </c>
      <c r="L1241" s="21">
        <v>-4.2300000000000004</v>
      </c>
    </row>
    <row r="1242" spans="1:12" ht="30" x14ac:dyDescent="0.25">
      <c r="A1242" s="10">
        <v>1237</v>
      </c>
      <c r="B1242" t="s">
        <v>18</v>
      </c>
      <c r="C1242" t="s">
        <v>17</v>
      </c>
      <c r="D1242" t="s">
        <v>328</v>
      </c>
      <c r="E1242" s="52" t="s">
        <v>329</v>
      </c>
      <c r="F1242" t="s">
        <v>19</v>
      </c>
      <c r="G1242" s="21">
        <v>-1.08</v>
      </c>
      <c r="H1242" s="21">
        <v>0</v>
      </c>
      <c r="I1242" s="21">
        <v>0</v>
      </c>
      <c r="J1242" s="21">
        <v>0</v>
      </c>
      <c r="K1242" s="21">
        <v>0.96</v>
      </c>
      <c r="L1242" s="21">
        <v>-0.12</v>
      </c>
    </row>
    <row r="1243" spans="1:12" ht="30" x14ac:dyDescent="0.25">
      <c r="A1243" s="10">
        <v>1238</v>
      </c>
      <c r="B1243" t="s">
        <v>18</v>
      </c>
      <c r="C1243" t="s">
        <v>17</v>
      </c>
      <c r="D1243" t="s">
        <v>328</v>
      </c>
      <c r="E1243" s="52" t="s">
        <v>329</v>
      </c>
      <c r="F1243" t="s">
        <v>19</v>
      </c>
      <c r="G1243" s="21">
        <v>-0.47</v>
      </c>
      <c r="H1243" s="21">
        <v>0</v>
      </c>
      <c r="I1243" s="21">
        <v>0</v>
      </c>
      <c r="J1243" s="21">
        <v>0</v>
      </c>
      <c r="K1243" s="21">
        <v>0.41</v>
      </c>
      <c r="L1243" s="21">
        <v>-0.06</v>
      </c>
    </row>
    <row r="1244" spans="1:12" ht="30" x14ac:dyDescent="0.25">
      <c r="A1244" s="10">
        <v>1239</v>
      </c>
      <c r="B1244" t="s">
        <v>550</v>
      </c>
      <c r="C1244" t="s">
        <v>17</v>
      </c>
      <c r="D1244" t="s">
        <v>328</v>
      </c>
      <c r="E1244" s="52" t="s">
        <v>329</v>
      </c>
      <c r="F1244" t="s">
        <v>551</v>
      </c>
      <c r="G1244" s="21">
        <v>-22473.33</v>
      </c>
      <c r="H1244" s="21">
        <v>0</v>
      </c>
      <c r="I1244" s="21">
        <v>0</v>
      </c>
      <c r="J1244" s="21">
        <v>0</v>
      </c>
      <c r="K1244" s="21">
        <v>449.47</v>
      </c>
      <c r="L1244" s="21">
        <v>-22023.86</v>
      </c>
    </row>
    <row r="1245" spans="1:12" ht="30" x14ac:dyDescent="0.25">
      <c r="A1245" s="10">
        <v>1240</v>
      </c>
      <c r="B1245" t="s">
        <v>550</v>
      </c>
      <c r="C1245" t="s">
        <v>17</v>
      </c>
      <c r="D1245" t="s">
        <v>328</v>
      </c>
      <c r="E1245" s="52" t="s">
        <v>329</v>
      </c>
      <c r="F1245" t="s">
        <v>551</v>
      </c>
      <c r="G1245" s="21">
        <v>-9734.6200000000008</v>
      </c>
      <c r="H1245" s="21">
        <v>0</v>
      </c>
      <c r="I1245" s="21">
        <v>0</v>
      </c>
      <c r="J1245" s="21">
        <v>0</v>
      </c>
      <c r="K1245" s="21">
        <v>194.69</v>
      </c>
      <c r="L1245" s="21">
        <v>-9539.93</v>
      </c>
    </row>
    <row r="1246" spans="1:12" ht="30" x14ac:dyDescent="0.25">
      <c r="A1246" s="10">
        <v>1241</v>
      </c>
      <c r="B1246" t="s">
        <v>550</v>
      </c>
      <c r="C1246" t="s">
        <v>13</v>
      </c>
      <c r="D1246" t="s">
        <v>328</v>
      </c>
      <c r="E1246" s="52" t="s">
        <v>329</v>
      </c>
      <c r="F1246" t="s">
        <v>551</v>
      </c>
      <c r="G1246" s="21">
        <v>0</v>
      </c>
      <c r="H1246" s="21">
        <v>0</v>
      </c>
      <c r="I1246" s="21">
        <v>0</v>
      </c>
      <c r="J1246" s="21">
        <v>-2696.8</v>
      </c>
      <c r="K1246" s="21">
        <v>0</v>
      </c>
      <c r="L1246" s="21">
        <v>-2696.8</v>
      </c>
    </row>
    <row r="1247" spans="1:12" ht="30" x14ac:dyDescent="0.25">
      <c r="A1247" s="10">
        <v>1242</v>
      </c>
      <c r="B1247" t="s">
        <v>550</v>
      </c>
      <c r="C1247" t="s">
        <v>13</v>
      </c>
      <c r="D1247" t="s">
        <v>328</v>
      </c>
      <c r="E1247" s="52" t="s">
        <v>329</v>
      </c>
      <c r="F1247" t="s">
        <v>551</v>
      </c>
      <c r="G1247" s="21">
        <v>0</v>
      </c>
      <c r="H1247" s="21">
        <v>0</v>
      </c>
      <c r="I1247" s="21">
        <v>0</v>
      </c>
      <c r="J1247" s="21">
        <v>-1168.1500000000001</v>
      </c>
      <c r="K1247" s="21">
        <v>0</v>
      </c>
      <c r="L1247" s="21">
        <v>-1168.1500000000001</v>
      </c>
    </row>
    <row r="1248" spans="1:12" ht="30" x14ac:dyDescent="0.25">
      <c r="A1248" s="10">
        <v>1243</v>
      </c>
      <c r="B1248" t="s">
        <v>550</v>
      </c>
      <c r="C1248" t="s">
        <v>17</v>
      </c>
      <c r="D1248" t="s">
        <v>328</v>
      </c>
      <c r="E1248" s="52" t="s">
        <v>329</v>
      </c>
      <c r="F1248" t="s">
        <v>552</v>
      </c>
      <c r="G1248" s="21">
        <v>-1.62</v>
      </c>
      <c r="H1248" s="21">
        <v>0</v>
      </c>
      <c r="I1248" s="21">
        <v>0</v>
      </c>
      <c r="J1248" s="21">
        <v>0</v>
      </c>
      <c r="K1248" s="21">
        <v>0.03</v>
      </c>
      <c r="L1248" s="21">
        <v>-1.59</v>
      </c>
    </row>
    <row r="1249" spans="1:12" ht="30" x14ac:dyDescent="0.25">
      <c r="A1249" s="10">
        <v>1244</v>
      </c>
      <c r="B1249" t="s">
        <v>550</v>
      </c>
      <c r="C1249" t="s">
        <v>17</v>
      </c>
      <c r="D1249" t="s">
        <v>328</v>
      </c>
      <c r="E1249" s="52" t="s">
        <v>329</v>
      </c>
      <c r="F1249" t="s">
        <v>552</v>
      </c>
      <c r="G1249" s="21">
        <v>-0.7</v>
      </c>
      <c r="H1249" s="21">
        <v>0</v>
      </c>
      <c r="I1249" s="21">
        <v>0</v>
      </c>
      <c r="J1249" s="21">
        <v>0</v>
      </c>
      <c r="K1249" s="21">
        <v>0.01</v>
      </c>
      <c r="L1249" s="21">
        <v>-0.69</v>
      </c>
    </row>
    <row r="1250" spans="1:12" ht="30" x14ac:dyDescent="0.25">
      <c r="A1250" s="10">
        <v>1245</v>
      </c>
      <c r="B1250" t="s">
        <v>550</v>
      </c>
      <c r="C1250" t="s">
        <v>13</v>
      </c>
      <c r="D1250" t="s">
        <v>328</v>
      </c>
      <c r="E1250" s="52" t="s">
        <v>329</v>
      </c>
      <c r="F1250" t="s">
        <v>552</v>
      </c>
      <c r="G1250" s="21">
        <v>0</v>
      </c>
      <c r="H1250" s="21">
        <v>0</v>
      </c>
      <c r="I1250" s="21">
        <v>0</v>
      </c>
      <c r="J1250" s="21">
        <v>-0.19</v>
      </c>
      <c r="K1250" s="21">
        <v>0</v>
      </c>
      <c r="L1250" s="21">
        <v>-0.19</v>
      </c>
    </row>
    <row r="1251" spans="1:12" ht="30" x14ac:dyDescent="0.25">
      <c r="A1251" s="10">
        <v>1246</v>
      </c>
      <c r="B1251" t="s">
        <v>550</v>
      </c>
      <c r="C1251" t="s">
        <v>13</v>
      </c>
      <c r="D1251" t="s">
        <v>328</v>
      </c>
      <c r="E1251" s="52" t="s">
        <v>329</v>
      </c>
      <c r="F1251" t="s">
        <v>552</v>
      </c>
      <c r="G1251" s="21">
        <v>0</v>
      </c>
      <c r="H1251" s="21">
        <v>0</v>
      </c>
      <c r="I1251" s="21">
        <v>0</v>
      </c>
      <c r="J1251" s="21">
        <v>-0.08</v>
      </c>
      <c r="K1251" s="21">
        <v>0</v>
      </c>
      <c r="L1251" s="21">
        <v>-0.08</v>
      </c>
    </row>
    <row r="1252" spans="1:12" ht="30" x14ac:dyDescent="0.25">
      <c r="A1252" s="10">
        <v>1247</v>
      </c>
      <c r="B1252" t="s">
        <v>18</v>
      </c>
      <c r="C1252" t="s">
        <v>17</v>
      </c>
      <c r="D1252" t="s">
        <v>330</v>
      </c>
      <c r="E1252" s="52" t="s">
        <v>331</v>
      </c>
      <c r="F1252" t="s">
        <v>19</v>
      </c>
      <c r="G1252" s="21">
        <v>0</v>
      </c>
      <c r="H1252" s="21">
        <v>0</v>
      </c>
      <c r="I1252" s="21">
        <v>0</v>
      </c>
      <c r="J1252" s="21">
        <v>0</v>
      </c>
      <c r="K1252" s="21">
        <v>0</v>
      </c>
      <c r="L1252" s="21">
        <v>0</v>
      </c>
    </row>
    <row r="1253" spans="1:12" ht="30" x14ac:dyDescent="0.25">
      <c r="A1253" s="10">
        <v>1248</v>
      </c>
      <c r="B1253" t="s">
        <v>550</v>
      </c>
      <c r="C1253" t="s">
        <v>17</v>
      </c>
      <c r="D1253" t="s">
        <v>330</v>
      </c>
      <c r="E1253" s="52" t="s">
        <v>331</v>
      </c>
      <c r="F1253" t="s">
        <v>551</v>
      </c>
      <c r="G1253" s="21">
        <v>-949.62</v>
      </c>
      <c r="H1253" s="21">
        <v>0</v>
      </c>
      <c r="I1253" s="21">
        <v>0</v>
      </c>
      <c r="J1253" s="21">
        <v>0</v>
      </c>
      <c r="K1253" s="21">
        <v>18.989999999999998</v>
      </c>
      <c r="L1253" s="21">
        <v>-930.63</v>
      </c>
    </row>
    <row r="1254" spans="1:12" ht="30" x14ac:dyDescent="0.25">
      <c r="A1254" s="10">
        <v>1249</v>
      </c>
      <c r="B1254" t="s">
        <v>550</v>
      </c>
      <c r="C1254" t="s">
        <v>13</v>
      </c>
      <c r="D1254" t="s">
        <v>330</v>
      </c>
      <c r="E1254" s="52" t="s">
        <v>331</v>
      </c>
      <c r="F1254" t="s">
        <v>551</v>
      </c>
      <c r="G1254" s="21">
        <v>0</v>
      </c>
      <c r="H1254" s="21">
        <v>0</v>
      </c>
      <c r="I1254" s="21">
        <v>0</v>
      </c>
      <c r="J1254" s="21">
        <v>-113.95</v>
      </c>
      <c r="K1254" s="21">
        <v>0</v>
      </c>
      <c r="L1254" s="21">
        <v>-113.95</v>
      </c>
    </row>
    <row r="1255" spans="1:12" ht="30" x14ac:dyDescent="0.25">
      <c r="A1255" s="10">
        <v>1250</v>
      </c>
      <c r="B1255" t="s">
        <v>550</v>
      </c>
      <c r="C1255" t="s">
        <v>17</v>
      </c>
      <c r="D1255" t="s">
        <v>330</v>
      </c>
      <c r="E1255" s="52" t="s">
        <v>331</v>
      </c>
      <c r="F1255" t="s">
        <v>552</v>
      </c>
      <c r="G1255" s="21">
        <v>-7.0000000000000007E-2</v>
      </c>
      <c r="H1255" s="21">
        <v>0</v>
      </c>
      <c r="I1255" s="21">
        <v>0</v>
      </c>
      <c r="J1255" s="21">
        <v>0</v>
      </c>
      <c r="K1255" s="21">
        <v>0</v>
      </c>
      <c r="L1255" s="21">
        <v>-7.0000000000000007E-2</v>
      </c>
    </row>
    <row r="1256" spans="1:12" ht="30" x14ac:dyDescent="0.25">
      <c r="A1256" s="10">
        <v>1251</v>
      </c>
      <c r="B1256" t="s">
        <v>550</v>
      </c>
      <c r="C1256" t="s">
        <v>13</v>
      </c>
      <c r="D1256" t="s">
        <v>330</v>
      </c>
      <c r="E1256" s="52" t="s">
        <v>331</v>
      </c>
      <c r="F1256" t="s">
        <v>552</v>
      </c>
      <c r="G1256" s="21">
        <v>0</v>
      </c>
      <c r="H1256" s="21">
        <v>0</v>
      </c>
      <c r="I1256" s="21">
        <v>0</v>
      </c>
      <c r="J1256" s="21">
        <v>-0.01</v>
      </c>
      <c r="K1256" s="21">
        <v>0</v>
      </c>
      <c r="L1256" s="21">
        <v>-0.01</v>
      </c>
    </row>
    <row r="1257" spans="1:12" ht="60" x14ac:dyDescent="0.25">
      <c r="A1257" s="10">
        <v>1252</v>
      </c>
      <c r="B1257" t="s">
        <v>29</v>
      </c>
      <c r="C1257" t="s">
        <v>13</v>
      </c>
      <c r="D1257" t="s">
        <v>332</v>
      </c>
      <c r="E1257" s="52" t="s">
        <v>333</v>
      </c>
      <c r="F1257" t="s">
        <v>30</v>
      </c>
      <c r="G1257" s="21">
        <v>0</v>
      </c>
      <c r="H1257" s="21">
        <v>0</v>
      </c>
      <c r="I1257" s="21">
        <v>0</v>
      </c>
      <c r="J1257" s="21">
        <v>-0.03</v>
      </c>
      <c r="K1257" s="21">
        <v>0</v>
      </c>
      <c r="L1257" s="21">
        <v>-0.03</v>
      </c>
    </row>
    <row r="1258" spans="1:12" ht="60" x14ac:dyDescent="0.25">
      <c r="A1258" s="10">
        <v>1253</v>
      </c>
      <c r="B1258" t="s">
        <v>18</v>
      </c>
      <c r="C1258" t="s">
        <v>17</v>
      </c>
      <c r="D1258" t="s">
        <v>332</v>
      </c>
      <c r="E1258" s="52" t="s">
        <v>333</v>
      </c>
      <c r="F1258" t="s">
        <v>19</v>
      </c>
      <c r="G1258" s="21">
        <v>-0.78</v>
      </c>
      <c r="H1258" s="21">
        <v>0</v>
      </c>
      <c r="I1258" s="21">
        <v>0</v>
      </c>
      <c r="J1258" s="21">
        <v>0</v>
      </c>
      <c r="K1258" s="21">
        <v>0.69</v>
      </c>
      <c r="L1258" s="21">
        <v>-0.09</v>
      </c>
    </row>
    <row r="1259" spans="1:12" ht="60" x14ac:dyDescent="0.25">
      <c r="A1259" s="10">
        <v>1254</v>
      </c>
      <c r="B1259" t="s">
        <v>550</v>
      </c>
      <c r="C1259" t="s">
        <v>17</v>
      </c>
      <c r="D1259" t="s">
        <v>332</v>
      </c>
      <c r="E1259" s="52" t="s">
        <v>333</v>
      </c>
      <c r="F1259" t="s">
        <v>551</v>
      </c>
      <c r="G1259" s="21">
        <v>-6174.14</v>
      </c>
      <c r="H1259" s="21">
        <v>0</v>
      </c>
      <c r="I1259" s="21">
        <v>0</v>
      </c>
      <c r="J1259" s="21">
        <v>0</v>
      </c>
      <c r="K1259" s="21">
        <v>123.48</v>
      </c>
      <c r="L1259" s="21">
        <v>-6050.66</v>
      </c>
    </row>
    <row r="1260" spans="1:12" ht="60" x14ac:dyDescent="0.25">
      <c r="A1260" s="10">
        <v>1255</v>
      </c>
      <c r="B1260" t="s">
        <v>550</v>
      </c>
      <c r="C1260" t="s">
        <v>13</v>
      </c>
      <c r="D1260" t="s">
        <v>332</v>
      </c>
      <c r="E1260" s="52" t="s">
        <v>333</v>
      </c>
      <c r="F1260" t="s">
        <v>551</v>
      </c>
      <c r="G1260" s="21">
        <v>0</v>
      </c>
      <c r="H1260" s="21">
        <v>0</v>
      </c>
      <c r="I1260" s="21">
        <v>0</v>
      </c>
      <c r="J1260" s="21">
        <v>-736.64</v>
      </c>
      <c r="K1260" s="21">
        <v>0</v>
      </c>
      <c r="L1260" s="21">
        <v>-736.64</v>
      </c>
    </row>
    <row r="1261" spans="1:12" ht="60" x14ac:dyDescent="0.25">
      <c r="A1261" s="10">
        <v>1256</v>
      </c>
      <c r="B1261" t="s">
        <v>550</v>
      </c>
      <c r="C1261" t="s">
        <v>17</v>
      </c>
      <c r="D1261" t="s">
        <v>332</v>
      </c>
      <c r="E1261" s="52" t="s">
        <v>333</v>
      </c>
      <c r="F1261" t="s">
        <v>552</v>
      </c>
      <c r="G1261" s="21">
        <v>-0.44</v>
      </c>
      <c r="H1261" s="21">
        <v>0</v>
      </c>
      <c r="I1261" s="21">
        <v>0</v>
      </c>
      <c r="J1261" s="21">
        <v>0</v>
      </c>
      <c r="K1261" s="21">
        <v>0.01</v>
      </c>
      <c r="L1261" s="21">
        <v>-0.43</v>
      </c>
    </row>
    <row r="1262" spans="1:12" ht="60" x14ac:dyDescent="0.25">
      <c r="A1262" s="10">
        <v>1257</v>
      </c>
      <c r="B1262" t="s">
        <v>550</v>
      </c>
      <c r="C1262" t="s">
        <v>13</v>
      </c>
      <c r="D1262" t="s">
        <v>332</v>
      </c>
      <c r="E1262" s="52" t="s">
        <v>333</v>
      </c>
      <c r="F1262" t="s">
        <v>552</v>
      </c>
      <c r="G1262" s="21">
        <v>0</v>
      </c>
      <c r="H1262" s="21">
        <v>0</v>
      </c>
      <c r="I1262" s="21">
        <v>0</v>
      </c>
      <c r="J1262" s="21">
        <v>-0.05</v>
      </c>
      <c r="K1262" s="21">
        <v>0</v>
      </c>
      <c r="L1262" s="21">
        <v>-0.05</v>
      </c>
    </row>
    <row r="1263" spans="1:12" ht="30" x14ac:dyDescent="0.25">
      <c r="A1263" s="10">
        <v>1258</v>
      </c>
      <c r="B1263" t="s">
        <v>550</v>
      </c>
      <c r="C1263" t="s">
        <v>17</v>
      </c>
      <c r="D1263" t="s">
        <v>619</v>
      </c>
      <c r="E1263" s="52" t="s">
        <v>335</v>
      </c>
      <c r="F1263" t="s">
        <v>551</v>
      </c>
      <c r="G1263" s="21">
        <v>0</v>
      </c>
      <c r="H1263" s="21">
        <v>0</v>
      </c>
      <c r="I1263" s="21">
        <v>-5.38</v>
      </c>
      <c r="J1263" s="21">
        <v>0</v>
      </c>
      <c r="K1263" s="21">
        <v>0.11</v>
      </c>
      <c r="L1263" s="21">
        <v>-5.27</v>
      </c>
    </row>
    <row r="1264" spans="1:12" ht="30" x14ac:dyDescent="0.25">
      <c r="A1264" s="10">
        <v>1259</v>
      </c>
      <c r="B1264" t="s">
        <v>550</v>
      </c>
      <c r="C1264" t="s">
        <v>17</v>
      </c>
      <c r="D1264" t="s">
        <v>619</v>
      </c>
      <c r="E1264" s="52" t="s">
        <v>335</v>
      </c>
      <c r="F1264" t="s">
        <v>551</v>
      </c>
      <c r="G1264" s="21">
        <v>0</v>
      </c>
      <c r="H1264" s="21">
        <v>0</v>
      </c>
      <c r="I1264" s="21">
        <v>-77.040000000000006</v>
      </c>
      <c r="J1264" s="21">
        <v>0</v>
      </c>
      <c r="K1264" s="21">
        <v>1.54</v>
      </c>
      <c r="L1264" s="21">
        <v>-75.5</v>
      </c>
    </row>
    <row r="1265" spans="1:12" ht="30" x14ac:dyDescent="0.25">
      <c r="A1265" s="10">
        <v>1260</v>
      </c>
      <c r="B1265" t="s">
        <v>550</v>
      </c>
      <c r="C1265" t="s">
        <v>17</v>
      </c>
      <c r="D1265" t="s">
        <v>619</v>
      </c>
      <c r="E1265" s="52" t="s">
        <v>335</v>
      </c>
      <c r="F1265" t="s">
        <v>552</v>
      </c>
      <c r="G1265" s="21">
        <v>0</v>
      </c>
      <c r="H1265" s="21">
        <v>0</v>
      </c>
      <c r="I1265" s="21">
        <v>-0.01</v>
      </c>
      <c r="J1265" s="21">
        <v>0</v>
      </c>
      <c r="K1265" s="21">
        <v>0</v>
      </c>
      <c r="L1265" s="21">
        <v>-0.01</v>
      </c>
    </row>
    <row r="1266" spans="1:12" ht="30" x14ac:dyDescent="0.25">
      <c r="A1266" s="10">
        <v>1261</v>
      </c>
      <c r="B1266" t="s">
        <v>18</v>
      </c>
      <c r="C1266" t="s">
        <v>17</v>
      </c>
      <c r="D1266" t="s">
        <v>336</v>
      </c>
      <c r="E1266" s="52" t="s">
        <v>337</v>
      </c>
      <c r="F1266" t="s">
        <v>19</v>
      </c>
      <c r="G1266" s="21">
        <v>-1.06</v>
      </c>
      <c r="H1266" s="21">
        <v>0</v>
      </c>
      <c r="I1266" s="21">
        <v>0</v>
      </c>
      <c r="J1266" s="21">
        <v>0</v>
      </c>
      <c r="K1266" s="21">
        <v>0</v>
      </c>
      <c r="L1266" s="21">
        <v>-1.06</v>
      </c>
    </row>
    <row r="1267" spans="1:12" ht="30" x14ac:dyDescent="0.25">
      <c r="A1267" s="10">
        <v>1262</v>
      </c>
      <c r="B1267" t="s">
        <v>550</v>
      </c>
      <c r="C1267" t="s">
        <v>17</v>
      </c>
      <c r="D1267" t="s">
        <v>336</v>
      </c>
      <c r="E1267" s="52" t="s">
        <v>337</v>
      </c>
      <c r="F1267" t="s">
        <v>551</v>
      </c>
      <c r="G1267" s="21">
        <v>-3595.94</v>
      </c>
      <c r="H1267" s="21">
        <v>0</v>
      </c>
      <c r="I1267" s="21">
        <v>0</v>
      </c>
      <c r="J1267" s="21">
        <v>0</v>
      </c>
      <c r="K1267" s="21">
        <v>0</v>
      </c>
      <c r="L1267" s="21">
        <v>-3595.94</v>
      </c>
    </row>
    <row r="1268" spans="1:12" ht="30" x14ac:dyDescent="0.25">
      <c r="A1268" s="10">
        <v>1263</v>
      </c>
      <c r="B1268" t="s">
        <v>550</v>
      </c>
      <c r="C1268" t="s">
        <v>13</v>
      </c>
      <c r="D1268" t="s">
        <v>336</v>
      </c>
      <c r="E1268" s="52" t="s">
        <v>337</v>
      </c>
      <c r="F1268" t="s">
        <v>551</v>
      </c>
      <c r="G1268" s="21">
        <v>0</v>
      </c>
      <c r="H1268" s="21">
        <v>0</v>
      </c>
      <c r="I1268" s="21">
        <v>0</v>
      </c>
      <c r="J1268" s="21">
        <v>-431.51</v>
      </c>
      <c r="K1268" s="21">
        <v>0</v>
      </c>
      <c r="L1268" s="21">
        <v>-431.51</v>
      </c>
    </row>
    <row r="1269" spans="1:12" ht="30" x14ac:dyDescent="0.25">
      <c r="A1269" s="10">
        <v>1264</v>
      </c>
      <c r="B1269" t="s">
        <v>550</v>
      </c>
      <c r="C1269" t="s">
        <v>17</v>
      </c>
      <c r="D1269" t="s">
        <v>336</v>
      </c>
      <c r="E1269" s="52" t="s">
        <v>337</v>
      </c>
      <c r="F1269" t="s">
        <v>552</v>
      </c>
      <c r="G1269" s="21">
        <v>-0.26</v>
      </c>
      <c r="H1269" s="21">
        <v>0</v>
      </c>
      <c r="I1269" s="21">
        <v>0</v>
      </c>
      <c r="J1269" s="21">
        <v>0</v>
      </c>
      <c r="K1269" s="21">
        <v>0</v>
      </c>
      <c r="L1269" s="21">
        <v>-0.26</v>
      </c>
    </row>
    <row r="1270" spans="1:12" ht="30" x14ac:dyDescent="0.25">
      <c r="A1270" s="10">
        <v>1265</v>
      </c>
      <c r="B1270" t="s">
        <v>550</v>
      </c>
      <c r="C1270" t="s">
        <v>13</v>
      </c>
      <c r="D1270" t="s">
        <v>336</v>
      </c>
      <c r="E1270" s="52" t="s">
        <v>337</v>
      </c>
      <c r="F1270" t="s">
        <v>552</v>
      </c>
      <c r="G1270" s="21">
        <v>0</v>
      </c>
      <c r="H1270" s="21">
        <v>0</v>
      </c>
      <c r="I1270" s="21">
        <v>0</v>
      </c>
      <c r="J1270" s="21">
        <v>-0.03</v>
      </c>
      <c r="K1270" s="21">
        <v>0</v>
      </c>
      <c r="L1270" s="21">
        <v>-0.03</v>
      </c>
    </row>
    <row r="1271" spans="1:12" ht="30" x14ac:dyDescent="0.25">
      <c r="A1271" s="10">
        <v>1266</v>
      </c>
      <c r="B1271" t="s">
        <v>12</v>
      </c>
      <c r="C1271" t="s">
        <v>17</v>
      </c>
      <c r="D1271" t="s">
        <v>338</v>
      </c>
      <c r="E1271" s="52" t="s">
        <v>339</v>
      </c>
      <c r="F1271" t="s">
        <v>16</v>
      </c>
      <c r="G1271" s="21">
        <v>0</v>
      </c>
      <c r="H1271" s="21">
        <v>0</v>
      </c>
      <c r="I1271" s="21">
        <v>-2.75</v>
      </c>
      <c r="J1271" s="21">
        <v>0</v>
      </c>
      <c r="K1271" s="21">
        <v>0.06</v>
      </c>
      <c r="L1271" s="21">
        <v>-2.69</v>
      </c>
    </row>
    <row r="1272" spans="1:12" ht="30" x14ac:dyDescent="0.25">
      <c r="A1272" s="10">
        <v>1267</v>
      </c>
      <c r="B1272" t="s">
        <v>33</v>
      </c>
      <c r="C1272" t="s">
        <v>17</v>
      </c>
      <c r="D1272" t="s">
        <v>338</v>
      </c>
      <c r="E1272" s="52" t="s">
        <v>339</v>
      </c>
      <c r="F1272" t="s">
        <v>34</v>
      </c>
      <c r="G1272" s="21">
        <v>0</v>
      </c>
      <c r="H1272" s="21">
        <v>0</v>
      </c>
      <c r="I1272" s="21">
        <v>-73.010000000000005</v>
      </c>
      <c r="J1272" s="21">
        <v>0</v>
      </c>
      <c r="K1272" s="21">
        <v>1.46</v>
      </c>
      <c r="L1272" s="21">
        <v>-71.55</v>
      </c>
    </row>
    <row r="1273" spans="1:12" ht="30" x14ac:dyDescent="0.25">
      <c r="A1273" s="10">
        <v>1268</v>
      </c>
      <c r="B1273" t="s">
        <v>33</v>
      </c>
      <c r="C1273" t="s">
        <v>49</v>
      </c>
      <c r="D1273" t="s">
        <v>338</v>
      </c>
      <c r="E1273" s="52" t="s">
        <v>339</v>
      </c>
      <c r="F1273" t="s">
        <v>34</v>
      </c>
      <c r="G1273" s="21">
        <v>0</v>
      </c>
      <c r="H1273" s="21">
        <v>0</v>
      </c>
      <c r="I1273" s="21">
        <v>-0.13</v>
      </c>
      <c r="J1273" s="21">
        <v>0</v>
      </c>
      <c r="K1273" s="21">
        <v>0</v>
      </c>
      <c r="L1273" s="21">
        <v>-0.13</v>
      </c>
    </row>
    <row r="1274" spans="1:12" ht="30" x14ac:dyDescent="0.25">
      <c r="A1274" s="10">
        <v>1269</v>
      </c>
      <c r="B1274" t="s">
        <v>557</v>
      </c>
      <c r="C1274" t="s">
        <v>17</v>
      </c>
      <c r="D1274" t="s">
        <v>338</v>
      </c>
      <c r="E1274" s="52" t="s">
        <v>339</v>
      </c>
      <c r="F1274" t="s">
        <v>558</v>
      </c>
      <c r="G1274" s="21">
        <v>0</v>
      </c>
      <c r="H1274" s="21">
        <v>0</v>
      </c>
      <c r="I1274" s="21">
        <v>-2.8</v>
      </c>
      <c r="J1274" s="21">
        <v>0</v>
      </c>
      <c r="K1274" s="21">
        <v>0.06</v>
      </c>
      <c r="L1274" s="21">
        <v>-2.74</v>
      </c>
    </row>
    <row r="1275" spans="1:12" ht="30" x14ac:dyDescent="0.25">
      <c r="A1275" s="10">
        <v>1270</v>
      </c>
      <c r="B1275" t="s">
        <v>559</v>
      </c>
      <c r="C1275" t="s">
        <v>17</v>
      </c>
      <c r="D1275" t="s">
        <v>338</v>
      </c>
      <c r="E1275" s="52" t="s">
        <v>339</v>
      </c>
      <c r="F1275" t="s">
        <v>560</v>
      </c>
      <c r="G1275" s="21">
        <v>0</v>
      </c>
      <c r="H1275" s="21">
        <v>0</v>
      </c>
      <c r="I1275" s="21">
        <v>-0.01</v>
      </c>
      <c r="J1275" s="21">
        <v>0</v>
      </c>
      <c r="K1275" s="21">
        <v>0</v>
      </c>
      <c r="L1275" s="21">
        <v>-0.01</v>
      </c>
    </row>
    <row r="1276" spans="1:12" ht="30" x14ac:dyDescent="0.25">
      <c r="A1276" s="10">
        <v>1271</v>
      </c>
      <c r="B1276" t="s">
        <v>18</v>
      </c>
      <c r="C1276" t="s">
        <v>17</v>
      </c>
      <c r="D1276" t="s">
        <v>338</v>
      </c>
      <c r="E1276" s="52" t="s">
        <v>339</v>
      </c>
      <c r="F1276" t="s">
        <v>19</v>
      </c>
      <c r="G1276" s="21">
        <v>0</v>
      </c>
      <c r="H1276" s="21">
        <v>0</v>
      </c>
      <c r="I1276" s="21">
        <v>-0.16</v>
      </c>
      <c r="J1276" s="21">
        <v>0</v>
      </c>
      <c r="K1276" s="21">
        <v>0.02</v>
      </c>
      <c r="L1276" s="21">
        <v>-0.14000000000000001</v>
      </c>
    </row>
    <row r="1277" spans="1:12" ht="30" x14ac:dyDescent="0.25">
      <c r="A1277" s="10">
        <v>1272</v>
      </c>
      <c r="B1277" t="s">
        <v>20</v>
      </c>
      <c r="C1277" t="s">
        <v>17</v>
      </c>
      <c r="D1277" t="s">
        <v>338</v>
      </c>
      <c r="E1277" s="52" t="s">
        <v>339</v>
      </c>
      <c r="F1277" t="s">
        <v>21</v>
      </c>
      <c r="G1277" s="21">
        <v>0</v>
      </c>
      <c r="H1277" s="21">
        <v>0</v>
      </c>
      <c r="I1277" s="21">
        <v>0</v>
      </c>
      <c r="J1277" s="21">
        <v>0</v>
      </c>
      <c r="K1277" s="21">
        <v>0</v>
      </c>
      <c r="L1277" s="21">
        <v>0</v>
      </c>
    </row>
    <row r="1278" spans="1:12" ht="30" x14ac:dyDescent="0.25">
      <c r="A1278" s="10">
        <v>1273</v>
      </c>
      <c r="B1278" t="s">
        <v>20</v>
      </c>
      <c r="C1278" t="s">
        <v>17</v>
      </c>
      <c r="D1278" t="s">
        <v>338</v>
      </c>
      <c r="E1278" s="52" t="s">
        <v>339</v>
      </c>
      <c r="F1278" t="s">
        <v>21</v>
      </c>
      <c r="G1278" s="21">
        <v>0</v>
      </c>
      <c r="H1278" s="21">
        <v>0</v>
      </c>
      <c r="I1278" s="21">
        <v>0</v>
      </c>
      <c r="J1278" s="21">
        <v>0</v>
      </c>
      <c r="K1278" s="21">
        <v>0</v>
      </c>
      <c r="L1278" s="21">
        <v>0</v>
      </c>
    </row>
    <row r="1279" spans="1:12" ht="30" x14ac:dyDescent="0.25">
      <c r="A1279" s="10">
        <v>1274</v>
      </c>
      <c r="B1279" t="s">
        <v>550</v>
      </c>
      <c r="C1279" t="s">
        <v>17</v>
      </c>
      <c r="D1279" t="s">
        <v>338</v>
      </c>
      <c r="E1279" s="52" t="s">
        <v>339</v>
      </c>
      <c r="F1279" t="s">
        <v>551</v>
      </c>
      <c r="G1279" s="21">
        <v>0</v>
      </c>
      <c r="H1279" s="21">
        <v>0</v>
      </c>
      <c r="I1279" s="21">
        <v>-19.87</v>
      </c>
      <c r="J1279" s="21">
        <v>0</v>
      </c>
      <c r="K1279" s="21">
        <v>0.4</v>
      </c>
      <c r="L1279" s="21">
        <v>-19.47</v>
      </c>
    </row>
    <row r="1280" spans="1:12" ht="30" x14ac:dyDescent="0.25">
      <c r="A1280" s="10">
        <v>1275</v>
      </c>
      <c r="B1280" t="s">
        <v>550</v>
      </c>
      <c r="C1280" t="s">
        <v>17</v>
      </c>
      <c r="D1280" t="s">
        <v>338</v>
      </c>
      <c r="E1280" s="52" t="s">
        <v>339</v>
      </c>
      <c r="F1280" t="s">
        <v>551</v>
      </c>
      <c r="G1280" s="21">
        <v>0</v>
      </c>
      <c r="H1280" s="21">
        <v>0</v>
      </c>
      <c r="I1280" s="21">
        <v>-337.58</v>
      </c>
      <c r="J1280" s="21">
        <v>0</v>
      </c>
      <c r="K1280" s="21">
        <v>6.75</v>
      </c>
      <c r="L1280" s="21">
        <v>-330.83</v>
      </c>
    </row>
    <row r="1281" spans="1:12" ht="30" x14ac:dyDescent="0.25">
      <c r="A1281" s="10">
        <v>1276</v>
      </c>
      <c r="B1281" t="s">
        <v>550</v>
      </c>
      <c r="C1281" t="s">
        <v>17</v>
      </c>
      <c r="D1281" t="s">
        <v>338</v>
      </c>
      <c r="E1281" s="52" t="s">
        <v>339</v>
      </c>
      <c r="F1281" t="s">
        <v>552</v>
      </c>
      <c r="G1281" s="21">
        <v>0</v>
      </c>
      <c r="H1281" s="21">
        <v>0</v>
      </c>
      <c r="I1281" s="21">
        <v>-0.02</v>
      </c>
      <c r="J1281" s="21">
        <v>0</v>
      </c>
      <c r="K1281" s="21">
        <v>0</v>
      </c>
      <c r="L1281" s="21">
        <v>-0.02</v>
      </c>
    </row>
    <row r="1282" spans="1:12" ht="30" x14ac:dyDescent="0.25">
      <c r="A1282" s="10">
        <v>1277</v>
      </c>
      <c r="B1282" t="s">
        <v>12</v>
      </c>
      <c r="C1282" t="s">
        <v>17</v>
      </c>
      <c r="D1282" t="s">
        <v>340</v>
      </c>
      <c r="E1282" s="52" t="s">
        <v>339</v>
      </c>
      <c r="F1282" t="s">
        <v>16</v>
      </c>
      <c r="G1282" s="21">
        <v>0</v>
      </c>
      <c r="H1282" s="21">
        <v>0</v>
      </c>
      <c r="I1282" s="21">
        <v>-1.77</v>
      </c>
      <c r="J1282" s="21">
        <v>0</v>
      </c>
      <c r="K1282" s="21">
        <v>0.04</v>
      </c>
      <c r="L1282" s="21">
        <v>-1.73</v>
      </c>
    </row>
    <row r="1283" spans="1:12" ht="30" x14ac:dyDescent="0.25">
      <c r="A1283" s="10">
        <v>1278</v>
      </c>
      <c r="B1283" t="s">
        <v>555</v>
      </c>
      <c r="C1283" t="s">
        <v>17</v>
      </c>
      <c r="D1283" t="s">
        <v>340</v>
      </c>
      <c r="E1283" s="52" t="s">
        <v>339</v>
      </c>
      <c r="F1283" t="s">
        <v>556</v>
      </c>
      <c r="G1283" s="21">
        <v>0</v>
      </c>
      <c r="H1283" s="21">
        <v>0</v>
      </c>
      <c r="I1283" s="21">
        <v>-2.93</v>
      </c>
      <c r="J1283" s="21">
        <v>0</v>
      </c>
      <c r="K1283" s="21">
        <v>0.06</v>
      </c>
      <c r="L1283" s="21">
        <v>-2.87</v>
      </c>
    </row>
    <row r="1284" spans="1:12" ht="30" x14ac:dyDescent="0.25">
      <c r="A1284" s="10">
        <v>1279</v>
      </c>
      <c r="B1284" t="s">
        <v>33</v>
      </c>
      <c r="C1284" t="s">
        <v>17</v>
      </c>
      <c r="D1284" t="s">
        <v>340</v>
      </c>
      <c r="E1284" s="52" t="s">
        <v>339</v>
      </c>
      <c r="F1284" t="s">
        <v>34</v>
      </c>
      <c r="G1284" s="21">
        <v>0</v>
      </c>
      <c r="H1284" s="21">
        <v>0</v>
      </c>
      <c r="I1284" s="21">
        <v>-71.13</v>
      </c>
      <c r="J1284" s="21">
        <v>0</v>
      </c>
      <c r="K1284" s="21">
        <v>1.42</v>
      </c>
      <c r="L1284" s="21">
        <v>-69.709999999999994</v>
      </c>
    </row>
    <row r="1285" spans="1:12" ht="30" x14ac:dyDescent="0.25">
      <c r="A1285" s="10">
        <v>1280</v>
      </c>
      <c r="B1285" t="s">
        <v>33</v>
      </c>
      <c r="C1285" t="s">
        <v>49</v>
      </c>
      <c r="D1285" t="s">
        <v>340</v>
      </c>
      <c r="E1285" s="52" t="s">
        <v>339</v>
      </c>
      <c r="F1285" t="s">
        <v>34</v>
      </c>
      <c r="G1285" s="21">
        <v>0</v>
      </c>
      <c r="H1285" s="21">
        <v>0</v>
      </c>
      <c r="I1285" s="21">
        <v>-0.13</v>
      </c>
      <c r="J1285" s="21">
        <v>0</v>
      </c>
      <c r="K1285" s="21">
        <v>0</v>
      </c>
      <c r="L1285" s="21">
        <v>-0.13</v>
      </c>
    </row>
    <row r="1286" spans="1:12" ht="30" x14ac:dyDescent="0.25">
      <c r="A1286" s="10">
        <v>1281</v>
      </c>
      <c r="B1286" t="s">
        <v>557</v>
      </c>
      <c r="C1286" t="s">
        <v>17</v>
      </c>
      <c r="D1286" t="s">
        <v>340</v>
      </c>
      <c r="E1286" s="52" t="s">
        <v>339</v>
      </c>
      <c r="F1286" t="s">
        <v>558</v>
      </c>
      <c r="G1286" s="21">
        <v>0</v>
      </c>
      <c r="H1286" s="21">
        <v>0</v>
      </c>
      <c r="I1286" s="21">
        <v>-2.65</v>
      </c>
      <c r="J1286" s="21">
        <v>0</v>
      </c>
      <c r="K1286" s="21">
        <v>0.05</v>
      </c>
      <c r="L1286" s="21">
        <v>-2.6</v>
      </c>
    </row>
    <row r="1287" spans="1:12" ht="30" x14ac:dyDescent="0.25">
      <c r="A1287" s="10">
        <v>1282</v>
      </c>
      <c r="B1287" t="s">
        <v>559</v>
      </c>
      <c r="C1287" t="s">
        <v>17</v>
      </c>
      <c r="D1287" t="s">
        <v>340</v>
      </c>
      <c r="E1287" s="52" t="s">
        <v>339</v>
      </c>
      <c r="F1287" t="s">
        <v>560</v>
      </c>
      <c r="G1287" s="21">
        <v>0</v>
      </c>
      <c r="H1287" s="21">
        <v>0</v>
      </c>
      <c r="I1287" s="21">
        <v>-0.01</v>
      </c>
      <c r="J1287" s="21">
        <v>0</v>
      </c>
      <c r="K1287" s="21">
        <v>0</v>
      </c>
      <c r="L1287" s="21">
        <v>-0.01</v>
      </c>
    </row>
    <row r="1288" spans="1:12" ht="30" x14ac:dyDescent="0.25">
      <c r="A1288" s="10">
        <v>1283</v>
      </c>
      <c r="B1288" t="s">
        <v>18</v>
      </c>
      <c r="C1288" t="s">
        <v>17</v>
      </c>
      <c r="D1288" t="s">
        <v>340</v>
      </c>
      <c r="E1288" s="52" t="s">
        <v>339</v>
      </c>
      <c r="F1288" t="s">
        <v>19</v>
      </c>
      <c r="G1288" s="21">
        <v>0</v>
      </c>
      <c r="H1288" s="21">
        <v>0</v>
      </c>
      <c r="I1288" s="21">
        <v>-0.16</v>
      </c>
      <c r="J1288" s="21">
        <v>0</v>
      </c>
      <c r="K1288" s="21">
        <v>0.02</v>
      </c>
      <c r="L1288" s="21">
        <v>-0.14000000000000001</v>
      </c>
    </row>
    <row r="1289" spans="1:12" ht="30" x14ac:dyDescent="0.25">
      <c r="A1289" s="10">
        <v>1284</v>
      </c>
      <c r="B1289" t="s">
        <v>20</v>
      </c>
      <c r="C1289" t="s">
        <v>17</v>
      </c>
      <c r="D1289" t="s">
        <v>340</v>
      </c>
      <c r="E1289" s="52" t="s">
        <v>339</v>
      </c>
      <c r="F1289" t="s">
        <v>21</v>
      </c>
      <c r="G1289" s="21">
        <v>0</v>
      </c>
      <c r="H1289" s="21">
        <v>0</v>
      </c>
      <c r="I1289" s="21">
        <v>0</v>
      </c>
      <c r="J1289" s="21">
        <v>0</v>
      </c>
      <c r="K1289" s="21">
        <v>0</v>
      </c>
      <c r="L1289" s="21">
        <v>0</v>
      </c>
    </row>
    <row r="1290" spans="1:12" ht="30" x14ac:dyDescent="0.25">
      <c r="A1290" s="10">
        <v>1285</v>
      </c>
      <c r="B1290" t="s">
        <v>20</v>
      </c>
      <c r="C1290" t="s">
        <v>17</v>
      </c>
      <c r="D1290" t="s">
        <v>340</v>
      </c>
      <c r="E1290" s="52" t="s">
        <v>339</v>
      </c>
      <c r="F1290" t="s">
        <v>21</v>
      </c>
      <c r="G1290" s="21">
        <v>0</v>
      </c>
      <c r="H1290" s="21">
        <v>0</v>
      </c>
      <c r="I1290" s="21">
        <v>0</v>
      </c>
      <c r="J1290" s="21">
        <v>0</v>
      </c>
      <c r="K1290" s="21">
        <v>0</v>
      </c>
      <c r="L1290" s="21">
        <v>0</v>
      </c>
    </row>
    <row r="1291" spans="1:12" ht="30" x14ac:dyDescent="0.25">
      <c r="A1291" s="10">
        <v>1286</v>
      </c>
      <c r="B1291" t="s">
        <v>22</v>
      </c>
      <c r="C1291" t="s">
        <v>17</v>
      </c>
      <c r="D1291" t="s">
        <v>340</v>
      </c>
      <c r="E1291" s="52" t="s">
        <v>339</v>
      </c>
      <c r="F1291" t="s">
        <v>23</v>
      </c>
      <c r="G1291" s="21">
        <v>0</v>
      </c>
      <c r="H1291" s="21">
        <v>0</v>
      </c>
      <c r="I1291" s="21">
        <v>0</v>
      </c>
      <c r="J1291" s="21">
        <v>0</v>
      </c>
      <c r="K1291" s="21">
        <v>0</v>
      </c>
      <c r="L1291" s="21">
        <v>0</v>
      </c>
    </row>
    <row r="1292" spans="1:12" ht="30" x14ac:dyDescent="0.25">
      <c r="A1292" s="10">
        <v>1287</v>
      </c>
      <c r="B1292" t="s">
        <v>22</v>
      </c>
      <c r="C1292" t="s">
        <v>17</v>
      </c>
      <c r="D1292" t="s">
        <v>340</v>
      </c>
      <c r="E1292" s="52" t="s">
        <v>339</v>
      </c>
      <c r="F1292" t="s">
        <v>23</v>
      </c>
      <c r="G1292" s="21">
        <v>0</v>
      </c>
      <c r="H1292" s="21">
        <v>0</v>
      </c>
      <c r="I1292" s="21">
        <v>-0.11</v>
      </c>
      <c r="J1292" s="21">
        <v>0</v>
      </c>
      <c r="K1292" s="21">
        <v>0</v>
      </c>
      <c r="L1292" s="21">
        <v>-0.11</v>
      </c>
    </row>
    <row r="1293" spans="1:12" ht="30" x14ac:dyDescent="0.25">
      <c r="A1293" s="10">
        <v>1288</v>
      </c>
      <c r="B1293" t="s">
        <v>22</v>
      </c>
      <c r="C1293" t="s">
        <v>17</v>
      </c>
      <c r="D1293" t="s">
        <v>340</v>
      </c>
      <c r="E1293" s="52" t="s">
        <v>339</v>
      </c>
      <c r="F1293" t="s">
        <v>24</v>
      </c>
      <c r="G1293" s="21">
        <v>0</v>
      </c>
      <c r="H1293" s="21">
        <v>0</v>
      </c>
      <c r="I1293" s="21">
        <v>0</v>
      </c>
      <c r="J1293" s="21">
        <v>0</v>
      </c>
      <c r="K1293" s="21">
        <v>0</v>
      </c>
      <c r="L1293" s="21">
        <v>0</v>
      </c>
    </row>
    <row r="1294" spans="1:12" ht="30" x14ac:dyDescent="0.25">
      <c r="A1294" s="10">
        <v>1289</v>
      </c>
      <c r="B1294" t="s">
        <v>22</v>
      </c>
      <c r="C1294" t="s">
        <v>17</v>
      </c>
      <c r="D1294" t="s">
        <v>340</v>
      </c>
      <c r="E1294" s="52" t="s">
        <v>339</v>
      </c>
      <c r="F1294" t="s">
        <v>24</v>
      </c>
      <c r="G1294" s="21">
        <v>0</v>
      </c>
      <c r="H1294" s="21">
        <v>0</v>
      </c>
      <c r="I1294" s="21">
        <v>0</v>
      </c>
      <c r="J1294" s="21">
        <v>0</v>
      </c>
      <c r="K1294" s="21">
        <v>0</v>
      </c>
      <c r="L1294" s="21">
        <v>0</v>
      </c>
    </row>
    <row r="1295" spans="1:12" ht="30" x14ac:dyDescent="0.25">
      <c r="A1295" s="10">
        <v>1290</v>
      </c>
      <c r="B1295" t="s">
        <v>550</v>
      </c>
      <c r="C1295" t="s">
        <v>17</v>
      </c>
      <c r="D1295" t="s">
        <v>340</v>
      </c>
      <c r="E1295" s="52" t="s">
        <v>339</v>
      </c>
      <c r="F1295" t="s">
        <v>551</v>
      </c>
      <c r="G1295" s="21">
        <v>0</v>
      </c>
      <c r="H1295" s="21">
        <v>0</v>
      </c>
      <c r="I1295" s="21">
        <v>-28.96</v>
      </c>
      <c r="J1295" s="21">
        <v>0</v>
      </c>
      <c r="K1295" s="21">
        <v>0.57999999999999996</v>
      </c>
      <c r="L1295" s="21">
        <v>-28.38</v>
      </c>
    </row>
    <row r="1296" spans="1:12" ht="30" x14ac:dyDescent="0.25">
      <c r="A1296" s="10">
        <v>1291</v>
      </c>
      <c r="B1296" t="s">
        <v>550</v>
      </c>
      <c r="C1296" t="s">
        <v>17</v>
      </c>
      <c r="D1296" t="s">
        <v>340</v>
      </c>
      <c r="E1296" s="52" t="s">
        <v>339</v>
      </c>
      <c r="F1296" t="s">
        <v>551</v>
      </c>
      <c r="G1296" s="21">
        <v>0</v>
      </c>
      <c r="H1296" s="21">
        <v>0</v>
      </c>
      <c r="I1296" s="21">
        <v>-378.04</v>
      </c>
      <c r="J1296" s="21">
        <v>0</v>
      </c>
      <c r="K1296" s="21">
        <v>7.56</v>
      </c>
      <c r="L1296" s="21">
        <v>-370.48</v>
      </c>
    </row>
    <row r="1297" spans="1:12" ht="30" x14ac:dyDescent="0.25">
      <c r="A1297" s="10">
        <v>1292</v>
      </c>
      <c r="B1297" t="s">
        <v>550</v>
      </c>
      <c r="C1297" t="s">
        <v>17</v>
      </c>
      <c r="D1297" t="s">
        <v>340</v>
      </c>
      <c r="E1297" s="52" t="s">
        <v>339</v>
      </c>
      <c r="F1297" t="s">
        <v>552</v>
      </c>
      <c r="G1297" s="21">
        <v>0</v>
      </c>
      <c r="H1297" s="21">
        <v>0</v>
      </c>
      <c r="I1297" s="21">
        <v>-0.03</v>
      </c>
      <c r="J1297" s="21">
        <v>0</v>
      </c>
      <c r="K1297" s="21">
        <v>0</v>
      </c>
      <c r="L1297" s="21">
        <v>-0.03</v>
      </c>
    </row>
    <row r="1298" spans="1:12" ht="30" x14ac:dyDescent="0.25">
      <c r="A1298" s="10">
        <v>1293</v>
      </c>
      <c r="B1298" t="s">
        <v>18</v>
      </c>
      <c r="C1298" t="s">
        <v>17</v>
      </c>
      <c r="D1298" t="s">
        <v>341</v>
      </c>
      <c r="E1298" s="52" t="s">
        <v>342</v>
      </c>
      <c r="F1298" t="s">
        <v>19</v>
      </c>
      <c r="G1298" s="21">
        <v>0</v>
      </c>
      <c r="H1298" s="21">
        <v>0</v>
      </c>
      <c r="I1298" s="21">
        <v>-0.26</v>
      </c>
      <c r="J1298" s="21">
        <v>0</v>
      </c>
      <c r="K1298" s="21">
        <v>0.03</v>
      </c>
      <c r="L1298" s="21">
        <v>-0.23</v>
      </c>
    </row>
    <row r="1299" spans="1:12" ht="30" x14ac:dyDescent="0.25">
      <c r="A1299" s="10">
        <v>1294</v>
      </c>
      <c r="B1299" t="s">
        <v>550</v>
      </c>
      <c r="C1299" t="s">
        <v>17</v>
      </c>
      <c r="D1299" t="s">
        <v>620</v>
      </c>
      <c r="E1299" s="52" t="s">
        <v>342</v>
      </c>
      <c r="F1299" t="s">
        <v>551</v>
      </c>
      <c r="G1299" s="21">
        <v>0</v>
      </c>
      <c r="H1299" s="21">
        <v>0</v>
      </c>
      <c r="I1299" s="21">
        <v>-166.81</v>
      </c>
      <c r="J1299" s="21">
        <v>0</v>
      </c>
      <c r="K1299" s="21">
        <v>3.34</v>
      </c>
      <c r="L1299" s="21">
        <v>-163.47</v>
      </c>
    </row>
    <row r="1300" spans="1:12" ht="30" x14ac:dyDescent="0.25">
      <c r="A1300" s="10">
        <v>1295</v>
      </c>
      <c r="B1300" t="s">
        <v>550</v>
      </c>
      <c r="C1300" t="s">
        <v>17</v>
      </c>
      <c r="D1300" t="s">
        <v>620</v>
      </c>
      <c r="E1300" s="52" t="s">
        <v>342</v>
      </c>
      <c r="F1300" t="s">
        <v>551</v>
      </c>
      <c r="G1300" s="21">
        <v>0</v>
      </c>
      <c r="H1300" s="21">
        <v>0</v>
      </c>
      <c r="I1300" s="21">
        <v>-836.02</v>
      </c>
      <c r="J1300" s="21">
        <v>0</v>
      </c>
      <c r="K1300" s="21">
        <v>16.72</v>
      </c>
      <c r="L1300" s="21">
        <v>-819.3</v>
      </c>
    </row>
    <row r="1301" spans="1:12" ht="30" x14ac:dyDescent="0.25">
      <c r="A1301" s="10">
        <v>1296</v>
      </c>
      <c r="B1301" t="s">
        <v>550</v>
      </c>
      <c r="C1301" t="s">
        <v>17</v>
      </c>
      <c r="D1301" t="s">
        <v>620</v>
      </c>
      <c r="E1301" s="52" t="s">
        <v>342</v>
      </c>
      <c r="F1301" t="s">
        <v>552</v>
      </c>
      <c r="G1301" s="21">
        <v>0</v>
      </c>
      <c r="H1301" s="21">
        <v>0</v>
      </c>
      <c r="I1301" s="21">
        <v>-0.01</v>
      </c>
      <c r="J1301" s="21">
        <v>0</v>
      </c>
      <c r="K1301" s="21">
        <v>0</v>
      </c>
      <c r="L1301" s="21">
        <v>-0.01</v>
      </c>
    </row>
    <row r="1302" spans="1:12" ht="30" x14ac:dyDescent="0.25">
      <c r="A1302" s="10">
        <v>1297</v>
      </c>
      <c r="B1302" t="s">
        <v>550</v>
      </c>
      <c r="C1302" t="s">
        <v>17</v>
      </c>
      <c r="D1302" t="s">
        <v>620</v>
      </c>
      <c r="E1302" s="52" t="s">
        <v>342</v>
      </c>
      <c r="F1302" t="s">
        <v>552</v>
      </c>
      <c r="G1302" s="21">
        <v>0</v>
      </c>
      <c r="H1302" s="21">
        <v>0</v>
      </c>
      <c r="I1302" s="21">
        <v>-0.06</v>
      </c>
      <c r="J1302" s="21">
        <v>0</v>
      </c>
      <c r="K1302" s="21">
        <v>0</v>
      </c>
      <c r="L1302" s="21">
        <v>-0.06</v>
      </c>
    </row>
    <row r="1303" spans="1:12" ht="30" x14ac:dyDescent="0.25">
      <c r="A1303" s="10">
        <v>1298</v>
      </c>
      <c r="B1303" t="s">
        <v>555</v>
      </c>
      <c r="C1303" t="s">
        <v>17</v>
      </c>
      <c r="D1303" t="s">
        <v>343</v>
      </c>
      <c r="E1303" s="52" t="s">
        <v>344</v>
      </c>
      <c r="F1303" t="s">
        <v>556</v>
      </c>
      <c r="G1303" s="21">
        <v>0</v>
      </c>
      <c r="H1303" s="21">
        <v>0</v>
      </c>
      <c r="I1303" s="21">
        <v>-9.51</v>
      </c>
      <c r="J1303" s="21">
        <v>0</v>
      </c>
      <c r="K1303" s="21">
        <v>0</v>
      </c>
      <c r="L1303" s="21">
        <v>-9.51</v>
      </c>
    </row>
    <row r="1304" spans="1:12" ht="30" x14ac:dyDescent="0.25">
      <c r="A1304" s="10">
        <v>1299</v>
      </c>
      <c r="B1304" t="s">
        <v>557</v>
      </c>
      <c r="C1304" t="s">
        <v>17</v>
      </c>
      <c r="D1304" t="s">
        <v>343</v>
      </c>
      <c r="E1304" s="52" t="s">
        <v>344</v>
      </c>
      <c r="F1304" t="s">
        <v>558</v>
      </c>
      <c r="G1304" s="21">
        <v>0</v>
      </c>
      <c r="H1304" s="21">
        <v>0</v>
      </c>
      <c r="I1304" s="21">
        <v>-3.72</v>
      </c>
      <c r="J1304" s="21">
        <v>0</v>
      </c>
      <c r="K1304" s="21">
        <v>0</v>
      </c>
      <c r="L1304" s="21">
        <v>-3.72</v>
      </c>
    </row>
    <row r="1305" spans="1:12" ht="30" x14ac:dyDescent="0.25">
      <c r="A1305" s="10">
        <v>1300</v>
      </c>
      <c r="B1305" t="s">
        <v>18</v>
      </c>
      <c r="C1305" t="s">
        <v>17</v>
      </c>
      <c r="D1305" t="s">
        <v>343</v>
      </c>
      <c r="E1305" s="52" t="s">
        <v>344</v>
      </c>
      <c r="F1305" t="s">
        <v>19</v>
      </c>
      <c r="G1305" s="21">
        <v>0</v>
      </c>
      <c r="H1305" s="21">
        <v>0</v>
      </c>
      <c r="I1305" s="21">
        <v>-0.89</v>
      </c>
      <c r="J1305" s="21">
        <v>0</v>
      </c>
      <c r="K1305" s="21">
        <v>0</v>
      </c>
      <c r="L1305" s="21">
        <v>-0.89</v>
      </c>
    </row>
    <row r="1306" spans="1:12" ht="30" x14ac:dyDescent="0.25">
      <c r="A1306" s="10">
        <v>1301</v>
      </c>
      <c r="B1306" t="s">
        <v>550</v>
      </c>
      <c r="C1306" t="s">
        <v>17</v>
      </c>
      <c r="D1306" t="s">
        <v>343</v>
      </c>
      <c r="E1306" s="52" t="s">
        <v>344</v>
      </c>
      <c r="F1306" t="s">
        <v>551</v>
      </c>
      <c r="G1306" s="21">
        <v>0</v>
      </c>
      <c r="H1306" s="21">
        <v>0</v>
      </c>
      <c r="I1306" s="21">
        <v>-982.25</v>
      </c>
      <c r="J1306" s="21">
        <v>0</v>
      </c>
      <c r="K1306" s="21">
        <v>0</v>
      </c>
      <c r="L1306" s="21">
        <v>-982.25</v>
      </c>
    </row>
    <row r="1307" spans="1:12" ht="30" x14ac:dyDescent="0.25">
      <c r="A1307" s="10">
        <v>1302</v>
      </c>
      <c r="B1307" t="s">
        <v>550</v>
      </c>
      <c r="C1307" t="s">
        <v>17</v>
      </c>
      <c r="D1307" t="s">
        <v>343</v>
      </c>
      <c r="E1307" s="52" t="s">
        <v>344</v>
      </c>
      <c r="F1307" t="s">
        <v>552</v>
      </c>
      <c r="G1307" s="21">
        <v>0</v>
      </c>
      <c r="H1307" s="21">
        <v>0</v>
      </c>
      <c r="I1307" s="21">
        <v>-7.0000000000000007E-2</v>
      </c>
      <c r="J1307" s="21">
        <v>0</v>
      </c>
      <c r="K1307" s="21">
        <v>0</v>
      </c>
      <c r="L1307" s="21">
        <v>-7.0000000000000007E-2</v>
      </c>
    </row>
    <row r="1308" spans="1:12" ht="30" x14ac:dyDescent="0.25">
      <c r="A1308" s="10">
        <v>1303</v>
      </c>
      <c r="B1308" t="s">
        <v>555</v>
      </c>
      <c r="C1308" t="s">
        <v>17</v>
      </c>
      <c r="D1308" t="s">
        <v>345</v>
      </c>
      <c r="E1308" s="52" t="s">
        <v>346</v>
      </c>
      <c r="F1308" t="s">
        <v>556</v>
      </c>
      <c r="G1308" s="21">
        <v>-1701.59</v>
      </c>
      <c r="H1308" s="21">
        <v>0</v>
      </c>
      <c r="I1308" s="21">
        <v>0</v>
      </c>
      <c r="J1308" s="21">
        <v>0</v>
      </c>
      <c r="K1308" s="21">
        <v>34.03</v>
      </c>
      <c r="L1308" s="21">
        <v>-1667.56</v>
      </c>
    </row>
    <row r="1309" spans="1:12" ht="30" x14ac:dyDescent="0.25">
      <c r="A1309" s="10">
        <v>1304</v>
      </c>
      <c r="B1309" t="s">
        <v>555</v>
      </c>
      <c r="C1309" t="s">
        <v>13</v>
      </c>
      <c r="D1309" t="s">
        <v>345</v>
      </c>
      <c r="E1309" s="52" t="s">
        <v>346</v>
      </c>
      <c r="F1309" t="s">
        <v>556</v>
      </c>
      <c r="G1309" s="21">
        <v>0</v>
      </c>
      <c r="H1309" s="21">
        <v>0</v>
      </c>
      <c r="I1309" s="21">
        <v>0</v>
      </c>
      <c r="J1309" s="21">
        <v>-204.19</v>
      </c>
      <c r="K1309" s="21">
        <v>0</v>
      </c>
      <c r="L1309" s="21">
        <v>-204.19</v>
      </c>
    </row>
    <row r="1310" spans="1:12" ht="30" x14ac:dyDescent="0.25">
      <c r="A1310" s="10">
        <v>1305</v>
      </c>
      <c r="B1310" t="s">
        <v>557</v>
      </c>
      <c r="C1310" t="s">
        <v>17</v>
      </c>
      <c r="D1310" t="s">
        <v>345</v>
      </c>
      <c r="E1310" s="52" t="s">
        <v>346</v>
      </c>
      <c r="F1310" t="s">
        <v>558</v>
      </c>
      <c r="G1310" s="21">
        <v>-684.09</v>
      </c>
      <c r="H1310" s="21">
        <v>0</v>
      </c>
      <c r="I1310" s="21">
        <v>0</v>
      </c>
      <c r="J1310" s="21">
        <v>0</v>
      </c>
      <c r="K1310" s="21">
        <v>13.68</v>
      </c>
      <c r="L1310" s="21">
        <v>-670.41</v>
      </c>
    </row>
    <row r="1311" spans="1:12" ht="30" x14ac:dyDescent="0.25">
      <c r="A1311" s="10">
        <v>1306</v>
      </c>
      <c r="B1311" t="s">
        <v>557</v>
      </c>
      <c r="C1311" t="s">
        <v>13</v>
      </c>
      <c r="D1311" t="s">
        <v>345</v>
      </c>
      <c r="E1311" s="52" t="s">
        <v>346</v>
      </c>
      <c r="F1311" t="s">
        <v>558</v>
      </c>
      <c r="G1311" s="21">
        <v>0</v>
      </c>
      <c r="H1311" s="21">
        <v>0</v>
      </c>
      <c r="I1311" s="21">
        <v>0</v>
      </c>
      <c r="J1311" s="21">
        <v>-82.09</v>
      </c>
      <c r="K1311" s="21">
        <v>0</v>
      </c>
      <c r="L1311" s="21">
        <v>-82.09</v>
      </c>
    </row>
    <row r="1312" spans="1:12" ht="30" x14ac:dyDescent="0.25">
      <c r="A1312" s="10">
        <v>1307</v>
      </c>
      <c r="B1312" t="s">
        <v>18</v>
      </c>
      <c r="C1312" t="s">
        <v>17</v>
      </c>
      <c r="D1312" t="s">
        <v>345</v>
      </c>
      <c r="E1312" s="52" t="s">
        <v>346</v>
      </c>
      <c r="F1312" t="s">
        <v>19</v>
      </c>
      <c r="G1312" s="21">
        <v>-5.59</v>
      </c>
      <c r="H1312" s="21">
        <v>0</v>
      </c>
      <c r="I1312" s="21">
        <v>0</v>
      </c>
      <c r="J1312" s="21">
        <v>0</v>
      </c>
      <c r="K1312" s="21">
        <v>4.96</v>
      </c>
      <c r="L1312" s="21">
        <v>-0.63</v>
      </c>
    </row>
    <row r="1313" spans="1:12" ht="30" x14ac:dyDescent="0.25">
      <c r="A1313" s="10">
        <v>1308</v>
      </c>
      <c r="B1313" t="s">
        <v>550</v>
      </c>
      <c r="C1313" t="s">
        <v>17</v>
      </c>
      <c r="D1313" t="s">
        <v>345</v>
      </c>
      <c r="E1313" s="52" t="s">
        <v>346</v>
      </c>
      <c r="F1313" t="s">
        <v>551</v>
      </c>
      <c r="G1313" s="21">
        <v>-223051.19</v>
      </c>
      <c r="H1313" s="21">
        <v>0</v>
      </c>
      <c r="I1313" s="21">
        <v>0</v>
      </c>
      <c r="J1313" s="21">
        <v>0</v>
      </c>
      <c r="K1313" s="21">
        <v>4461.0200000000004</v>
      </c>
      <c r="L1313" s="21">
        <v>-218590.17</v>
      </c>
    </row>
    <row r="1314" spans="1:12" ht="30" x14ac:dyDescent="0.25">
      <c r="A1314" s="10">
        <v>1309</v>
      </c>
      <c r="B1314" t="s">
        <v>550</v>
      </c>
      <c r="C1314" t="s">
        <v>13</v>
      </c>
      <c r="D1314" t="s">
        <v>345</v>
      </c>
      <c r="E1314" s="52" t="s">
        <v>346</v>
      </c>
      <c r="F1314" t="s">
        <v>551</v>
      </c>
      <c r="G1314" s="21">
        <v>0</v>
      </c>
      <c r="H1314" s="21">
        <v>0</v>
      </c>
      <c r="I1314" s="21">
        <v>0</v>
      </c>
      <c r="J1314" s="21">
        <v>-26766.14</v>
      </c>
      <c r="K1314" s="21">
        <v>0</v>
      </c>
      <c r="L1314" s="21">
        <v>-26766.14</v>
      </c>
    </row>
    <row r="1315" spans="1:12" ht="30" x14ac:dyDescent="0.25">
      <c r="A1315" s="10">
        <v>1310</v>
      </c>
      <c r="B1315" t="s">
        <v>550</v>
      </c>
      <c r="C1315" t="s">
        <v>17</v>
      </c>
      <c r="D1315" t="s">
        <v>345</v>
      </c>
      <c r="E1315" s="52" t="s">
        <v>346</v>
      </c>
      <c r="F1315" t="s">
        <v>552</v>
      </c>
      <c r="G1315" s="21">
        <v>-16.04</v>
      </c>
      <c r="H1315" s="21">
        <v>0</v>
      </c>
      <c r="I1315" s="21">
        <v>0</v>
      </c>
      <c r="J1315" s="21">
        <v>0</v>
      </c>
      <c r="K1315" s="21">
        <v>0.32</v>
      </c>
      <c r="L1315" s="21">
        <v>-15.72</v>
      </c>
    </row>
    <row r="1316" spans="1:12" ht="30" x14ac:dyDescent="0.25">
      <c r="A1316" s="10">
        <v>1311</v>
      </c>
      <c r="B1316" t="s">
        <v>550</v>
      </c>
      <c r="C1316" t="s">
        <v>13</v>
      </c>
      <c r="D1316" t="s">
        <v>345</v>
      </c>
      <c r="E1316" s="52" t="s">
        <v>346</v>
      </c>
      <c r="F1316" t="s">
        <v>552</v>
      </c>
      <c r="G1316" s="21">
        <v>0</v>
      </c>
      <c r="H1316" s="21">
        <v>0</v>
      </c>
      <c r="I1316" s="21">
        <v>0</v>
      </c>
      <c r="J1316" s="21">
        <v>-1.92</v>
      </c>
      <c r="K1316" s="21">
        <v>0</v>
      </c>
      <c r="L1316" s="21">
        <v>-1.92</v>
      </c>
    </row>
    <row r="1317" spans="1:12" ht="30" x14ac:dyDescent="0.25">
      <c r="A1317" s="10">
        <v>1312</v>
      </c>
      <c r="B1317" t="s">
        <v>555</v>
      </c>
      <c r="C1317" t="s">
        <v>17</v>
      </c>
      <c r="D1317" t="s">
        <v>347</v>
      </c>
      <c r="E1317" s="52" t="s">
        <v>348</v>
      </c>
      <c r="F1317" t="s">
        <v>556</v>
      </c>
      <c r="G1317" s="21">
        <v>-1383.41</v>
      </c>
      <c r="H1317" s="21">
        <v>0</v>
      </c>
      <c r="I1317" s="21">
        <v>0</v>
      </c>
      <c r="J1317" s="21">
        <v>0</v>
      </c>
      <c r="K1317" s="21">
        <v>27.67</v>
      </c>
      <c r="L1317" s="21">
        <v>-1355.74</v>
      </c>
    </row>
    <row r="1318" spans="1:12" ht="30" x14ac:dyDescent="0.25">
      <c r="A1318" s="10">
        <v>1313</v>
      </c>
      <c r="B1318" t="s">
        <v>555</v>
      </c>
      <c r="C1318" t="s">
        <v>13</v>
      </c>
      <c r="D1318" t="s">
        <v>347</v>
      </c>
      <c r="E1318" s="52" t="s">
        <v>348</v>
      </c>
      <c r="F1318" t="s">
        <v>556</v>
      </c>
      <c r="G1318" s="21">
        <v>0</v>
      </c>
      <c r="H1318" s="21">
        <v>0</v>
      </c>
      <c r="I1318" s="21">
        <v>0</v>
      </c>
      <c r="J1318" s="21">
        <v>-57.19</v>
      </c>
      <c r="K1318" s="21">
        <v>0</v>
      </c>
      <c r="L1318" s="21">
        <v>-57.19</v>
      </c>
    </row>
    <row r="1319" spans="1:12" ht="30" x14ac:dyDescent="0.25">
      <c r="A1319" s="10">
        <v>1314</v>
      </c>
      <c r="B1319" t="s">
        <v>557</v>
      </c>
      <c r="C1319" t="s">
        <v>17</v>
      </c>
      <c r="D1319" t="s">
        <v>347</v>
      </c>
      <c r="E1319" s="52" t="s">
        <v>348</v>
      </c>
      <c r="F1319" t="s">
        <v>558</v>
      </c>
      <c r="G1319" s="21">
        <v>-1005.74</v>
      </c>
      <c r="H1319" s="21">
        <v>0</v>
      </c>
      <c r="I1319" s="21">
        <v>0</v>
      </c>
      <c r="J1319" s="21">
        <v>0</v>
      </c>
      <c r="K1319" s="21">
        <v>20.11</v>
      </c>
      <c r="L1319" s="21">
        <v>-985.63</v>
      </c>
    </row>
    <row r="1320" spans="1:12" ht="30" x14ac:dyDescent="0.25">
      <c r="A1320" s="10">
        <v>1315</v>
      </c>
      <c r="B1320" t="s">
        <v>557</v>
      </c>
      <c r="C1320" t="s">
        <v>13</v>
      </c>
      <c r="D1320" t="s">
        <v>347</v>
      </c>
      <c r="E1320" s="52" t="s">
        <v>348</v>
      </c>
      <c r="F1320" t="s">
        <v>558</v>
      </c>
      <c r="G1320" s="21">
        <v>0</v>
      </c>
      <c r="H1320" s="21">
        <v>0</v>
      </c>
      <c r="I1320" s="21">
        <v>0</v>
      </c>
      <c r="J1320" s="21">
        <v>-120.69</v>
      </c>
      <c r="K1320" s="21">
        <v>0</v>
      </c>
      <c r="L1320" s="21">
        <v>-120.69</v>
      </c>
    </row>
    <row r="1321" spans="1:12" ht="30" x14ac:dyDescent="0.25">
      <c r="A1321" s="10">
        <v>1316</v>
      </c>
      <c r="B1321" t="s">
        <v>37</v>
      </c>
      <c r="C1321" t="s">
        <v>13</v>
      </c>
      <c r="D1321" t="s">
        <v>347</v>
      </c>
      <c r="E1321" s="52" t="s">
        <v>348</v>
      </c>
      <c r="F1321" t="s">
        <v>38</v>
      </c>
      <c r="G1321" s="21">
        <v>0</v>
      </c>
      <c r="H1321" s="21">
        <v>0</v>
      </c>
      <c r="I1321" s="21">
        <v>0</v>
      </c>
      <c r="J1321" s="21">
        <v>-4.1100000000000003</v>
      </c>
      <c r="K1321" s="21">
        <v>0</v>
      </c>
      <c r="L1321" s="21">
        <v>-4.1100000000000003</v>
      </c>
    </row>
    <row r="1322" spans="1:12" ht="30" x14ac:dyDescent="0.25">
      <c r="A1322" s="10">
        <v>1317</v>
      </c>
      <c r="B1322" t="s">
        <v>18</v>
      </c>
      <c r="C1322" t="s">
        <v>17</v>
      </c>
      <c r="D1322" t="s">
        <v>347</v>
      </c>
      <c r="E1322" s="52" t="s">
        <v>348</v>
      </c>
      <c r="F1322" t="s">
        <v>19</v>
      </c>
      <c r="G1322" s="21">
        <v>-3.87</v>
      </c>
      <c r="H1322" s="21">
        <v>0</v>
      </c>
      <c r="I1322" s="21">
        <v>0</v>
      </c>
      <c r="J1322" s="21">
        <v>0</v>
      </c>
      <c r="K1322" s="21">
        <v>3.44</v>
      </c>
      <c r="L1322" s="21">
        <v>-0.43</v>
      </c>
    </row>
    <row r="1323" spans="1:12" ht="30" x14ac:dyDescent="0.25">
      <c r="A1323" s="10">
        <v>1318</v>
      </c>
      <c r="B1323" t="s">
        <v>550</v>
      </c>
      <c r="C1323" t="s">
        <v>17</v>
      </c>
      <c r="D1323" t="s">
        <v>347</v>
      </c>
      <c r="E1323" s="52" t="s">
        <v>348</v>
      </c>
      <c r="F1323" t="s">
        <v>551</v>
      </c>
      <c r="G1323" s="21">
        <v>-159653.57999999999</v>
      </c>
      <c r="H1323" s="21">
        <v>0</v>
      </c>
      <c r="I1323" s="21">
        <v>0</v>
      </c>
      <c r="J1323" s="21">
        <v>0</v>
      </c>
      <c r="K1323" s="21">
        <v>3193.07</v>
      </c>
      <c r="L1323" s="21">
        <v>-156460.51</v>
      </c>
    </row>
    <row r="1324" spans="1:12" ht="30" x14ac:dyDescent="0.25">
      <c r="A1324" s="10">
        <v>1319</v>
      </c>
      <c r="B1324" t="s">
        <v>550</v>
      </c>
      <c r="C1324" t="s">
        <v>13</v>
      </c>
      <c r="D1324" t="s">
        <v>347</v>
      </c>
      <c r="E1324" s="52" t="s">
        <v>348</v>
      </c>
      <c r="F1324" t="s">
        <v>551</v>
      </c>
      <c r="G1324" s="21">
        <v>0</v>
      </c>
      <c r="H1324" s="21">
        <v>0</v>
      </c>
      <c r="I1324" s="21">
        <v>0</v>
      </c>
      <c r="J1324" s="21">
        <v>-19158.43</v>
      </c>
      <c r="K1324" s="21">
        <v>0</v>
      </c>
      <c r="L1324" s="21">
        <v>-19158.43</v>
      </c>
    </row>
    <row r="1325" spans="1:12" ht="30" x14ac:dyDescent="0.25">
      <c r="A1325" s="10">
        <v>1320</v>
      </c>
      <c r="B1325" t="s">
        <v>550</v>
      </c>
      <c r="C1325" t="s">
        <v>17</v>
      </c>
      <c r="D1325" t="s">
        <v>347</v>
      </c>
      <c r="E1325" s="52" t="s">
        <v>348</v>
      </c>
      <c r="F1325" t="s">
        <v>552</v>
      </c>
      <c r="G1325" s="21">
        <v>-11.48</v>
      </c>
      <c r="H1325" s="21">
        <v>0</v>
      </c>
      <c r="I1325" s="21">
        <v>0</v>
      </c>
      <c r="J1325" s="21">
        <v>0</v>
      </c>
      <c r="K1325" s="21">
        <v>0.23</v>
      </c>
      <c r="L1325" s="21">
        <v>-11.25</v>
      </c>
    </row>
    <row r="1326" spans="1:12" ht="30" x14ac:dyDescent="0.25">
      <c r="A1326" s="10">
        <v>1321</v>
      </c>
      <c r="B1326" t="s">
        <v>550</v>
      </c>
      <c r="C1326" t="s">
        <v>13</v>
      </c>
      <c r="D1326" t="s">
        <v>347</v>
      </c>
      <c r="E1326" s="52" t="s">
        <v>348</v>
      </c>
      <c r="F1326" t="s">
        <v>552</v>
      </c>
      <c r="G1326" s="21">
        <v>0</v>
      </c>
      <c r="H1326" s="21">
        <v>0</v>
      </c>
      <c r="I1326" s="21">
        <v>0</v>
      </c>
      <c r="J1326" s="21">
        <v>-1.38</v>
      </c>
      <c r="K1326" s="21">
        <v>0</v>
      </c>
      <c r="L1326" s="21">
        <v>-1.38</v>
      </c>
    </row>
    <row r="1327" spans="1:12" ht="30" x14ac:dyDescent="0.25">
      <c r="A1327" s="10">
        <v>1322</v>
      </c>
      <c r="B1327" t="s">
        <v>555</v>
      </c>
      <c r="C1327" t="s">
        <v>17</v>
      </c>
      <c r="D1327" t="s">
        <v>349</v>
      </c>
      <c r="E1327" s="52" t="s">
        <v>350</v>
      </c>
      <c r="F1327" t="s">
        <v>556</v>
      </c>
      <c r="G1327" s="21">
        <v>-519.62</v>
      </c>
      <c r="H1327" s="21">
        <v>0</v>
      </c>
      <c r="I1327" s="21">
        <v>0</v>
      </c>
      <c r="J1327" s="21">
        <v>0</v>
      </c>
      <c r="K1327" s="21">
        <v>10.39</v>
      </c>
      <c r="L1327" s="21">
        <v>-509.23</v>
      </c>
    </row>
    <row r="1328" spans="1:12" ht="30" x14ac:dyDescent="0.25">
      <c r="A1328" s="10">
        <v>1323</v>
      </c>
      <c r="B1328" t="s">
        <v>555</v>
      </c>
      <c r="C1328" t="s">
        <v>13</v>
      </c>
      <c r="D1328" t="s">
        <v>349</v>
      </c>
      <c r="E1328" s="52" t="s">
        <v>350</v>
      </c>
      <c r="F1328" t="s">
        <v>556</v>
      </c>
      <c r="G1328" s="21">
        <v>0</v>
      </c>
      <c r="H1328" s="21">
        <v>0</v>
      </c>
      <c r="I1328" s="21">
        <v>0</v>
      </c>
      <c r="J1328" s="21">
        <v>-62.35</v>
      </c>
      <c r="K1328" s="21">
        <v>0</v>
      </c>
      <c r="L1328" s="21">
        <v>-62.35</v>
      </c>
    </row>
    <row r="1329" spans="1:12" ht="30" x14ac:dyDescent="0.25">
      <c r="A1329" s="10">
        <v>1324</v>
      </c>
      <c r="B1329" t="s">
        <v>557</v>
      </c>
      <c r="C1329" t="s">
        <v>17</v>
      </c>
      <c r="D1329" t="s">
        <v>349</v>
      </c>
      <c r="E1329" s="52" t="s">
        <v>350</v>
      </c>
      <c r="F1329" t="s">
        <v>558</v>
      </c>
      <c r="G1329" s="21">
        <v>-128.84</v>
      </c>
      <c r="H1329" s="21">
        <v>0</v>
      </c>
      <c r="I1329" s="21">
        <v>0</v>
      </c>
      <c r="J1329" s="21">
        <v>0</v>
      </c>
      <c r="K1329" s="21">
        <v>2.58</v>
      </c>
      <c r="L1329" s="21">
        <v>-126.26</v>
      </c>
    </row>
    <row r="1330" spans="1:12" ht="30" x14ac:dyDescent="0.25">
      <c r="A1330" s="10">
        <v>1325</v>
      </c>
      <c r="B1330" t="s">
        <v>557</v>
      </c>
      <c r="C1330" t="s">
        <v>13</v>
      </c>
      <c r="D1330" t="s">
        <v>349</v>
      </c>
      <c r="E1330" s="52" t="s">
        <v>350</v>
      </c>
      <c r="F1330" t="s">
        <v>558</v>
      </c>
      <c r="G1330" s="21">
        <v>0</v>
      </c>
      <c r="H1330" s="21">
        <v>0</v>
      </c>
      <c r="I1330" s="21">
        <v>0</v>
      </c>
      <c r="J1330" s="21">
        <v>-15.46</v>
      </c>
      <c r="K1330" s="21">
        <v>0</v>
      </c>
      <c r="L1330" s="21">
        <v>-15.46</v>
      </c>
    </row>
    <row r="1331" spans="1:12" ht="30" x14ac:dyDescent="0.25">
      <c r="A1331" s="10">
        <v>1326</v>
      </c>
      <c r="B1331" t="s">
        <v>37</v>
      </c>
      <c r="C1331" t="s">
        <v>17</v>
      </c>
      <c r="D1331" t="s">
        <v>349</v>
      </c>
      <c r="E1331" s="52" t="s">
        <v>350</v>
      </c>
      <c r="F1331" t="s">
        <v>38</v>
      </c>
      <c r="G1331" s="21">
        <v>-4.63</v>
      </c>
      <c r="H1331" s="21">
        <v>0</v>
      </c>
      <c r="I1331" s="21">
        <v>0</v>
      </c>
      <c r="J1331" s="21">
        <v>0</v>
      </c>
      <c r="K1331" s="21">
        <v>0.09</v>
      </c>
      <c r="L1331" s="21">
        <v>-4.54</v>
      </c>
    </row>
    <row r="1332" spans="1:12" ht="30" x14ac:dyDescent="0.25">
      <c r="A1332" s="10">
        <v>1327</v>
      </c>
      <c r="B1332" t="s">
        <v>37</v>
      </c>
      <c r="C1332" t="s">
        <v>49</v>
      </c>
      <c r="D1332" t="s">
        <v>349</v>
      </c>
      <c r="E1332" s="52" t="s">
        <v>350</v>
      </c>
      <c r="F1332" t="s">
        <v>38</v>
      </c>
      <c r="G1332" s="21">
        <v>-0.01</v>
      </c>
      <c r="H1332" s="21">
        <v>0</v>
      </c>
      <c r="I1332" s="21">
        <v>0</v>
      </c>
      <c r="J1332" s="21">
        <v>0</v>
      </c>
      <c r="K1332" s="21">
        <v>0</v>
      </c>
      <c r="L1332" s="21">
        <v>-0.01</v>
      </c>
    </row>
    <row r="1333" spans="1:12" ht="30" x14ac:dyDescent="0.25">
      <c r="A1333" s="10">
        <v>1328</v>
      </c>
      <c r="B1333" t="s">
        <v>37</v>
      </c>
      <c r="C1333" t="s">
        <v>13</v>
      </c>
      <c r="D1333" t="s">
        <v>349</v>
      </c>
      <c r="E1333" s="52" t="s">
        <v>350</v>
      </c>
      <c r="F1333" t="s">
        <v>38</v>
      </c>
      <c r="G1333" s="21">
        <v>0</v>
      </c>
      <c r="H1333" s="21">
        <v>0</v>
      </c>
      <c r="I1333" s="21">
        <v>0</v>
      </c>
      <c r="J1333" s="21">
        <v>-0.55000000000000004</v>
      </c>
      <c r="K1333" s="21">
        <v>0</v>
      </c>
      <c r="L1333" s="21">
        <v>-0.55000000000000004</v>
      </c>
    </row>
    <row r="1334" spans="1:12" ht="30" x14ac:dyDescent="0.25">
      <c r="A1334" s="10">
        <v>1329</v>
      </c>
      <c r="B1334" t="s">
        <v>29</v>
      </c>
      <c r="C1334" t="s">
        <v>17</v>
      </c>
      <c r="D1334" t="s">
        <v>349</v>
      </c>
      <c r="E1334" s="52" t="s">
        <v>350</v>
      </c>
      <c r="F1334" t="s">
        <v>30</v>
      </c>
      <c r="G1334" s="21">
        <v>-3.02</v>
      </c>
      <c r="H1334" s="21">
        <v>0</v>
      </c>
      <c r="I1334" s="21">
        <v>0</v>
      </c>
      <c r="J1334" s="21">
        <v>0</v>
      </c>
      <c r="K1334" s="21">
        <v>0.06</v>
      </c>
      <c r="L1334" s="21">
        <v>-2.96</v>
      </c>
    </row>
    <row r="1335" spans="1:12" ht="30" x14ac:dyDescent="0.25">
      <c r="A1335" s="10">
        <v>1330</v>
      </c>
      <c r="B1335" t="s">
        <v>29</v>
      </c>
      <c r="C1335" t="s">
        <v>13</v>
      </c>
      <c r="D1335" t="s">
        <v>349</v>
      </c>
      <c r="E1335" s="52" t="s">
        <v>350</v>
      </c>
      <c r="F1335" t="s">
        <v>30</v>
      </c>
      <c r="G1335" s="21">
        <v>0</v>
      </c>
      <c r="H1335" s="21">
        <v>0</v>
      </c>
      <c r="I1335" s="21">
        <v>0</v>
      </c>
      <c r="J1335" s="21">
        <v>-0.35</v>
      </c>
      <c r="K1335" s="21">
        <v>0</v>
      </c>
      <c r="L1335" s="21">
        <v>-0.35</v>
      </c>
    </row>
    <row r="1336" spans="1:12" ht="30" x14ac:dyDescent="0.25">
      <c r="A1336" s="10">
        <v>1331</v>
      </c>
      <c r="B1336" t="s">
        <v>18</v>
      </c>
      <c r="C1336" t="s">
        <v>17</v>
      </c>
      <c r="D1336" t="s">
        <v>349</v>
      </c>
      <c r="E1336" s="52" t="s">
        <v>350</v>
      </c>
      <c r="F1336" t="s">
        <v>19</v>
      </c>
      <c r="G1336" s="21">
        <v>-0.53</v>
      </c>
      <c r="H1336" s="21">
        <v>0</v>
      </c>
      <c r="I1336" s="21">
        <v>0</v>
      </c>
      <c r="J1336" s="21">
        <v>0</v>
      </c>
      <c r="K1336" s="21">
        <v>0.47</v>
      </c>
      <c r="L1336" s="21">
        <v>-0.06</v>
      </c>
    </row>
    <row r="1337" spans="1:12" ht="30" x14ac:dyDescent="0.25">
      <c r="A1337" s="10">
        <v>1332</v>
      </c>
      <c r="B1337" t="s">
        <v>550</v>
      </c>
      <c r="C1337" t="s">
        <v>17</v>
      </c>
      <c r="D1337" t="s">
        <v>349</v>
      </c>
      <c r="E1337" s="52" t="s">
        <v>350</v>
      </c>
      <c r="F1337" t="s">
        <v>551</v>
      </c>
      <c r="G1337" s="21">
        <v>-46626.31</v>
      </c>
      <c r="H1337" s="21">
        <v>0</v>
      </c>
      <c r="I1337" s="21">
        <v>0</v>
      </c>
      <c r="J1337" s="21">
        <v>0</v>
      </c>
      <c r="K1337" s="21">
        <v>932.53</v>
      </c>
      <c r="L1337" s="21">
        <v>-45693.78</v>
      </c>
    </row>
    <row r="1338" spans="1:12" ht="30" x14ac:dyDescent="0.25">
      <c r="A1338" s="10">
        <v>1333</v>
      </c>
      <c r="B1338" t="s">
        <v>550</v>
      </c>
      <c r="C1338" t="s">
        <v>13</v>
      </c>
      <c r="D1338" t="s">
        <v>349</v>
      </c>
      <c r="E1338" s="52" t="s">
        <v>350</v>
      </c>
      <c r="F1338" t="s">
        <v>551</v>
      </c>
      <c r="G1338" s="21">
        <v>0</v>
      </c>
      <c r="H1338" s="21">
        <v>0</v>
      </c>
      <c r="I1338" s="21">
        <v>0</v>
      </c>
      <c r="J1338" s="21">
        <v>-5595.16</v>
      </c>
      <c r="K1338" s="21">
        <v>0</v>
      </c>
      <c r="L1338" s="21">
        <v>-5595.16</v>
      </c>
    </row>
    <row r="1339" spans="1:12" ht="30" x14ac:dyDescent="0.25">
      <c r="A1339" s="10">
        <v>1334</v>
      </c>
      <c r="B1339" t="s">
        <v>550</v>
      </c>
      <c r="C1339" t="s">
        <v>17</v>
      </c>
      <c r="D1339" t="s">
        <v>349</v>
      </c>
      <c r="E1339" s="52" t="s">
        <v>350</v>
      </c>
      <c r="F1339" t="s">
        <v>552</v>
      </c>
      <c r="G1339" s="21">
        <v>-3.35</v>
      </c>
      <c r="H1339" s="21">
        <v>0</v>
      </c>
      <c r="I1339" s="21">
        <v>0</v>
      </c>
      <c r="J1339" s="21">
        <v>0</v>
      </c>
      <c r="K1339" s="21">
        <v>7.0000000000000007E-2</v>
      </c>
      <c r="L1339" s="21">
        <v>-3.28</v>
      </c>
    </row>
    <row r="1340" spans="1:12" ht="30" x14ac:dyDescent="0.25">
      <c r="A1340" s="10">
        <v>1335</v>
      </c>
      <c r="B1340" t="s">
        <v>550</v>
      </c>
      <c r="C1340" t="s">
        <v>13</v>
      </c>
      <c r="D1340" t="s">
        <v>349</v>
      </c>
      <c r="E1340" s="52" t="s">
        <v>350</v>
      </c>
      <c r="F1340" t="s">
        <v>552</v>
      </c>
      <c r="G1340" s="21">
        <v>0</v>
      </c>
      <c r="H1340" s="21">
        <v>0</v>
      </c>
      <c r="I1340" s="21">
        <v>0</v>
      </c>
      <c r="J1340" s="21">
        <v>-0.4</v>
      </c>
      <c r="K1340" s="21">
        <v>0</v>
      </c>
      <c r="L1340" s="21">
        <v>-0.4</v>
      </c>
    </row>
    <row r="1341" spans="1:12" ht="30" x14ac:dyDescent="0.25">
      <c r="A1341" s="10">
        <v>1336</v>
      </c>
      <c r="B1341" t="s">
        <v>555</v>
      </c>
      <c r="C1341" t="s">
        <v>17</v>
      </c>
      <c r="D1341" t="s">
        <v>351</v>
      </c>
      <c r="E1341" s="52" t="s">
        <v>352</v>
      </c>
      <c r="F1341" t="s">
        <v>556</v>
      </c>
      <c r="G1341" s="21">
        <v>-1936.2</v>
      </c>
      <c r="H1341" s="21">
        <v>0</v>
      </c>
      <c r="I1341" s="21">
        <v>0</v>
      </c>
      <c r="J1341" s="21">
        <v>0</v>
      </c>
      <c r="K1341" s="21">
        <v>38.72</v>
      </c>
      <c r="L1341" s="21">
        <v>-1897.48</v>
      </c>
    </row>
    <row r="1342" spans="1:12" ht="30" x14ac:dyDescent="0.25">
      <c r="A1342" s="10">
        <v>1337</v>
      </c>
      <c r="B1342" t="s">
        <v>555</v>
      </c>
      <c r="C1342" t="s">
        <v>13</v>
      </c>
      <c r="D1342" t="s">
        <v>351</v>
      </c>
      <c r="E1342" s="52" t="s">
        <v>352</v>
      </c>
      <c r="F1342" t="s">
        <v>556</v>
      </c>
      <c r="G1342" s="21">
        <v>0</v>
      </c>
      <c r="H1342" s="21">
        <v>0</v>
      </c>
      <c r="I1342" s="21">
        <v>0</v>
      </c>
      <c r="J1342" s="21">
        <v>-232.34</v>
      </c>
      <c r="K1342" s="21">
        <v>0</v>
      </c>
      <c r="L1342" s="21">
        <v>-232.34</v>
      </c>
    </row>
    <row r="1343" spans="1:12" ht="30" x14ac:dyDescent="0.25">
      <c r="A1343" s="10">
        <v>1338</v>
      </c>
      <c r="B1343" t="s">
        <v>557</v>
      </c>
      <c r="C1343" t="s">
        <v>17</v>
      </c>
      <c r="D1343" t="s">
        <v>351</v>
      </c>
      <c r="E1343" s="52" t="s">
        <v>352</v>
      </c>
      <c r="F1343" t="s">
        <v>558</v>
      </c>
      <c r="G1343" s="21">
        <v>-1287.9000000000001</v>
      </c>
      <c r="H1343" s="21">
        <v>0</v>
      </c>
      <c r="I1343" s="21">
        <v>0</v>
      </c>
      <c r="J1343" s="21">
        <v>0</v>
      </c>
      <c r="K1343" s="21">
        <v>25.76</v>
      </c>
      <c r="L1343" s="21">
        <v>-1262.1400000000001</v>
      </c>
    </row>
    <row r="1344" spans="1:12" ht="30" x14ac:dyDescent="0.25">
      <c r="A1344" s="10">
        <v>1339</v>
      </c>
      <c r="B1344" t="s">
        <v>557</v>
      </c>
      <c r="C1344" t="s">
        <v>13</v>
      </c>
      <c r="D1344" t="s">
        <v>351</v>
      </c>
      <c r="E1344" s="52" t="s">
        <v>352</v>
      </c>
      <c r="F1344" t="s">
        <v>558</v>
      </c>
      <c r="G1344" s="21">
        <v>0</v>
      </c>
      <c r="H1344" s="21">
        <v>0</v>
      </c>
      <c r="I1344" s="21">
        <v>0</v>
      </c>
      <c r="J1344" s="21">
        <v>-154.55000000000001</v>
      </c>
      <c r="K1344" s="21">
        <v>0</v>
      </c>
      <c r="L1344" s="21">
        <v>-154.55000000000001</v>
      </c>
    </row>
    <row r="1345" spans="1:12" ht="30" x14ac:dyDescent="0.25">
      <c r="A1345" s="10">
        <v>1340</v>
      </c>
      <c r="B1345" t="s">
        <v>18</v>
      </c>
      <c r="C1345" t="s">
        <v>17</v>
      </c>
      <c r="D1345" t="s">
        <v>351</v>
      </c>
      <c r="E1345" s="52" t="s">
        <v>352</v>
      </c>
      <c r="F1345" t="s">
        <v>19</v>
      </c>
      <c r="G1345" s="21">
        <v>-5.75</v>
      </c>
      <c r="H1345" s="21">
        <v>0</v>
      </c>
      <c r="I1345" s="21">
        <v>0</v>
      </c>
      <c r="J1345" s="21">
        <v>0</v>
      </c>
      <c r="K1345" s="21">
        <v>5.0999999999999996</v>
      </c>
      <c r="L1345" s="21">
        <v>-0.65</v>
      </c>
    </row>
    <row r="1346" spans="1:12" ht="30" x14ac:dyDescent="0.25">
      <c r="A1346" s="10">
        <v>1341</v>
      </c>
      <c r="B1346" t="s">
        <v>550</v>
      </c>
      <c r="C1346" t="s">
        <v>17</v>
      </c>
      <c r="D1346" t="s">
        <v>351</v>
      </c>
      <c r="E1346" s="52" t="s">
        <v>352</v>
      </c>
      <c r="F1346" t="s">
        <v>551</v>
      </c>
      <c r="G1346" s="21">
        <v>-123213.71</v>
      </c>
      <c r="H1346" s="21">
        <v>0</v>
      </c>
      <c r="I1346" s="21">
        <v>0</v>
      </c>
      <c r="J1346" s="21">
        <v>0</v>
      </c>
      <c r="K1346" s="21">
        <v>2464.27</v>
      </c>
      <c r="L1346" s="21">
        <v>-120749.44</v>
      </c>
    </row>
    <row r="1347" spans="1:12" ht="30" x14ac:dyDescent="0.25">
      <c r="A1347" s="10">
        <v>1342</v>
      </c>
      <c r="B1347" t="s">
        <v>550</v>
      </c>
      <c r="C1347" t="s">
        <v>13</v>
      </c>
      <c r="D1347" t="s">
        <v>351</v>
      </c>
      <c r="E1347" s="52" t="s">
        <v>352</v>
      </c>
      <c r="F1347" t="s">
        <v>551</v>
      </c>
      <c r="G1347" s="21">
        <v>0</v>
      </c>
      <c r="H1347" s="21">
        <v>0</v>
      </c>
      <c r="I1347" s="21">
        <v>0</v>
      </c>
      <c r="J1347" s="21">
        <v>-14785.65</v>
      </c>
      <c r="K1347" s="21">
        <v>0</v>
      </c>
      <c r="L1347" s="21">
        <v>-14785.65</v>
      </c>
    </row>
    <row r="1348" spans="1:12" ht="30" x14ac:dyDescent="0.25">
      <c r="A1348" s="10">
        <v>1343</v>
      </c>
      <c r="B1348" t="s">
        <v>550</v>
      </c>
      <c r="C1348" t="s">
        <v>17</v>
      </c>
      <c r="D1348" t="s">
        <v>351</v>
      </c>
      <c r="E1348" s="52" t="s">
        <v>352</v>
      </c>
      <c r="F1348" t="s">
        <v>552</v>
      </c>
      <c r="G1348" s="21">
        <v>-8.86</v>
      </c>
      <c r="H1348" s="21">
        <v>0</v>
      </c>
      <c r="I1348" s="21">
        <v>0</v>
      </c>
      <c r="J1348" s="21">
        <v>0</v>
      </c>
      <c r="K1348" s="21">
        <v>0.18</v>
      </c>
      <c r="L1348" s="21">
        <v>-8.68</v>
      </c>
    </row>
    <row r="1349" spans="1:12" ht="30" x14ac:dyDescent="0.25">
      <c r="A1349" s="10">
        <v>1344</v>
      </c>
      <c r="B1349" t="s">
        <v>550</v>
      </c>
      <c r="C1349" t="s">
        <v>13</v>
      </c>
      <c r="D1349" t="s">
        <v>351</v>
      </c>
      <c r="E1349" s="52" t="s">
        <v>352</v>
      </c>
      <c r="F1349" t="s">
        <v>552</v>
      </c>
      <c r="G1349" s="21">
        <v>0</v>
      </c>
      <c r="H1349" s="21">
        <v>0</v>
      </c>
      <c r="I1349" s="21">
        <v>0</v>
      </c>
      <c r="J1349" s="21">
        <v>-1.06</v>
      </c>
      <c r="K1349" s="21">
        <v>0</v>
      </c>
      <c r="L1349" s="21">
        <v>-1.06</v>
      </c>
    </row>
    <row r="1350" spans="1:12" ht="30" x14ac:dyDescent="0.25">
      <c r="A1350" s="10">
        <v>1345</v>
      </c>
      <c r="B1350" t="s">
        <v>555</v>
      </c>
      <c r="C1350" t="s">
        <v>17</v>
      </c>
      <c r="D1350" t="s">
        <v>353</v>
      </c>
      <c r="E1350" s="52" t="s">
        <v>354</v>
      </c>
      <c r="F1350" t="s">
        <v>556</v>
      </c>
      <c r="G1350" s="21">
        <v>-725.6</v>
      </c>
      <c r="H1350" s="21">
        <v>0</v>
      </c>
      <c r="I1350" s="21">
        <v>0</v>
      </c>
      <c r="J1350" s="21">
        <v>0</v>
      </c>
      <c r="K1350" s="21">
        <v>14.51</v>
      </c>
      <c r="L1350" s="21">
        <v>-711.09</v>
      </c>
    </row>
    <row r="1351" spans="1:12" ht="30" x14ac:dyDescent="0.25">
      <c r="A1351" s="10">
        <v>1346</v>
      </c>
      <c r="B1351" t="s">
        <v>555</v>
      </c>
      <c r="C1351" t="s">
        <v>13</v>
      </c>
      <c r="D1351" t="s">
        <v>353</v>
      </c>
      <c r="E1351" s="52" t="s">
        <v>354</v>
      </c>
      <c r="F1351" t="s">
        <v>556</v>
      </c>
      <c r="G1351" s="21">
        <v>0</v>
      </c>
      <c r="H1351" s="21">
        <v>0</v>
      </c>
      <c r="I1351" s="21">
        <v>0</v>
      </c>
      <c r="J1351" s="21">
        <v>-87.07</v>
      </c>
      <c r="K1351" s="21">
        <v>0</v>
      </c>
      <c r="L1351" s="21">
        <v>-87.07</v>
      </c>
    </row>
    <row r="1352" spans="1:12" ht="30" x14ac:dyDescent="0.25">
      <c r="A1352" s="10">
        <v>1347</v>
      </c>
      <c r="B1352" t="s">
        <v>557</v>
      </c>
      <c r="C1352" t="s">
        <v>17</v>
      </c>
      <c r="D1352" t="s">
        <v>353</v>
      </c>
      <c r="E1352" s="52" t="s">
        <v>354</v>
      </c>
      <c r="F1352" t="s">
        <v>558</v>
      </c>
      <c r="G1352" s="21">
        <v>-481.96</v>
      </c>
      <c r="H1352" s="21">
        <v>0</v>
      </c>
      <c r="I1352" s="21">
        <v>0</v>
      </c>
      <c r="J1352" s="21">
        <v>0</v>
      </c>
      <c r="K1352" s="21">
        <v>9.64</v>
      </c>
      <c r="L1352" s="21">
        <v>-472.32</v>
      </c>
    </row>
    <row r="1353" spans="1:12" ht="30" x14ac:dyDescent="0.25">
      <c r="A1353" s="10">
        <v>1348</v>
      </c>
      <c r="B1353" t="s">
        <v>557</v>
      </c>
      <c r="C1353" t="s">
        <v>13</v>
      </c>
      <c r="D1353" t="s">
        <v>353</v>
      </c>
      <c r="E1353" s="52" t="s">
        <v>354</v>
      </c>
      <c r="F1353" t="s">
        <v>558</v>
      </c>
      <c r="G1353" s="21">
        <v>0</v>
      </c>
      <c r="H1353" s="21">
        <v>0</v>
      </c>
      <c r="I1353" s="21">
        <v>0</v>
      </c>
      <c r="J1353" s="21">
        <v>-57.84</v>
      </c>
      <c r="K1353" s="21">
        <v>0</v>
      </c>
      <c r="L1353" s="21">
        <v>-57.84</v>
      </c>
    </row>
    <row r="1354" spans="1:12" ht="30" x14ac:dyDescent="0.25">
      <c r="A1354" s="10">
        <v>1349</v>
      </c>
      <c r="B1354" t="s">
        <v>550</v>
      </c>
      <c r="C1354" t="s">
        <v>17</v>
      </c>
      <c r="D1354" t="s">
        <v>353</v>
      </c>
      <c r="E1354" s="52" t="s">
        <v>354</v>
      </c>
      <c r="F1354" t="s">
        <v>551</v>
      </c>
      <c r="G1354" s="21">
        <v>-5387.71</v>
      </c>
      <c r="H1354" s="21">
        <v>0</v>
      </c>
      <c r="I1354" s="21">
        <v>0</v>
      </c>
      <c r="J1354" s="21">
        <v>0</v>
      </c>
      <c r="K1354" s="21">
        <v>107.75</v>
      </c>
      <c r="L1354" s="21">
        <v>-5279.96</v>
      </c>
    </row>
    <row r="1355" spans="1:12" ht="30" x14ac:dyDescent="0.25">
      <c r="A1355" s="10">
        <v>1350</v>
      </c>
      <c r="B1355" t="s">
        <v>550</v>
      </c>
      <c r="C1355" t="s">
        <v>13</v>
      </c>
      <c r="D1355" t="s">
        <v>353</v>
      </c>
      <c r="E1355" s="52" t="s">
        <v>354</v>
      </c>
      <c r="F1355" t="s">
        <v>551</v>
      </c>
      <c r="G1355" s="21">
        <v>0</v>
      </c>
      <c r="H1355" s="21">
        <v>0</v>
      </c>
      <c r="I1355" s="21">
        <v>0</v>
      </c>
      <c r="J1355" s="21">
        <v>-428.8</v>
      </c>
      <c r="K1355" s="21">
        <v>0</v>
      </c>
      <c r="L1355" s="21">
        <v>-428.8</v>
      </c>
    </row>
    <row r="1356" spans="1:12" ht="30" x14ac:dyDescent="0.25">
      <c r="A1356" s="10">
        <v>1351</v>
      </c>
      <c r="B1356" t="s">
        <v>550</v>
      </c>
      <c r="C1356" t="s">
        <v>17</v>
      </c>
      <c r="D1356" t="s">
        <v>353</v>
      </c>
      <c r="E1356" s="52" t="s">
        <v>354</v>
      </c>
      <c r="F1356" t="s">
        <v>552</v>
      </c>
      <c r="G1356" s="21">
        <v>-0.39</v>
      </c>
      <c r="H1356" s="21">
        <v>0</v>
      </c>
      <c r="I1356" s="21">
        <v>0</v>
      </c>
      <c r="J1356" s="21">
        <v>0</v>
      </c>
      <c r="K1356" s="21">
        <v>0.01</v>
      </c>
      <c r="L1356" s="21">
        <v>-0.38</v>
      </c>
    </row>
    <row r="1357" spans="1:12" ht="30" x14ac:dyDescent="0.25">
      <c r="A1357" s="10">
        <v>1352</v>
      </c>
      <c r="B1357" t="s">
        <v>550</v>
      </c>
      <c r="C1357" t="s">
        <v>13</v>
      </c>
      <c r="D1357" t="s">
        <v>353</v>
      </c>
      <c r="E1357" s="52" t="s">
        <v>354</v>
      </c>
      <c r="F1357" t="s">
        <v>552</v>
      </c>
      <c r="G1357" s="21">
        <v>0</v>
      </c>
      <c r="H1357" s="21">
        <v>0</v>
      </c>
      <c r="I1357" s="21">
        <v>0</v>
      </c>
      <c r="J1357" s="21">
        <v>-0.03</v>
      </c>
      <c r="K1357" s="21">
        <v>0</v>
      </c>
      <c r="L1357" s="21">
        <v>-0.03</v>
      </c>
    </row>
    <row r="1358" spans="1:12" ht="30" x14ac:dyDescent="0.25">
      <c r="A1358" s="10">
        <v>1353</v>
      </c>
      <c r="B1358" t="s">
        <v>18</v>
      </c>
      <c r="C1358" t="s">
        <v>17</v>
      </c>
      <c r="D1358" t="s">
        <v>355</v>
      </c>
      <c r="E1358" s="52" t="s">
        <v>356</v>
      </c>
      <c r="F1358" t="s">
        <v>19</v>
      </c>
      <c r="G1358" s="21">
        <v>0</v>
      </c>
      <c r="H1358" s="21">
        <v>0</v>
      </c>
      <c r="I1358" s="21">
        <v>-0.19</v>
      </c>
      <c r="J1358" s="21">
        <v>0</v>
      </c>
      <c r="K1358" s="21">
        <v>0.02</v>
      </c>
      <c r="L1358" s="21">
        <v>-0.17</v>
      </c>
    </row>
    <row r="1359" spans="1:12" ht="30" x14ac:dyDescent="0.25">
      <c r="A1359" s="10">
        <v>1354</v>
      </c>
      <c r="B1359" t="s">
        <v>12</v>
      </c>
      <c r="C1359" t="s">
        <v>17</v>
      </c>
      <c r="D1359" t="s">
        <v>621</v>
      </c>
      <c r="E1359" s="52" t="s">
        <v>356</v>
      </c>
      <c r="F1359" t="s">
        <v>16</v>
      </c>
      <c r="G1359" s="21">
        <v>0</v>
      </c>
      <c r="H1359" s="21">
        <v>0</v>
      </c>
      <c r="I1359" s="21">
        <v>-0.04</v>
      </c>
      <c r="J1359" s="21">
        <v>0</v>
      </c>
      <c r="K1359" s="21">
        <v>0</v>
      </c>
      <c r="L1359" s="21">
        <v>-0.04</v>
      </c>
    </row>
    <row r="1360" spans="1:12" ht="30" x14ac:dyDescent="0.25">
      <c r="A1360" s="10">
        <v>1355</v>
      </c>
      <c r="B1360" t="s">
        <v>18</v>
      </c>
      <c r="C1360" t="s">
        <v>17</v>
      </c>
      <c r="D1360" t="s">
        <v>621</v>
      </c>
      <c r="E1360" s="52" t="s">
        <v>356</v>
      </c>
      <c r="F1360" t="s">
        <v>19</v>
      </c>
      <c r="G1360" s="21">
        <v>0</v>
      </c>
      <c r="H1360" s="21">
        <v>0</v>
      </c>
      <c r="I1360" s="21">
        <v>-0.06</v>
      </c>
      <c r="J1360" s="21">
        <v>0</v>
      </c>
      <c r="K1360" s="21">
        <v>0</v>
      </c>
      <c r="L1360" s="21">
        <v>-0.06</v>
      </c>
    </row>
    <row r="1361" spans="1:12" ht="30" x14ac:dyDescent="0.25">
      <c r="A1361" s="10">
        <v>1356</v>
      </c>
      <c r="B1361" t="s">
        <v>20</v>
      </c>
      <c r="C1361" t="s">
        <v>17</v>
      </c>
      <c r="D1361" t="s">
        <v>621</v>
      </c>
      <c r="E1361" s="52" t="s">
        <v>356</v>
      </c>
      <c r="F1361" t="s">
        <v>21</v>
      </c>
      <c r="G1361" s="21">
        <v>0</v>
      </c>
      <c r="H1361" s="21">
        <v>0</v>
      </c>
      <c r="I1361" s="21">
        <v>-192.67</v>
      </c>
      <c r="J1361" s="21">
        <v>0</v>
      </c>
      <c r="K1361" s="21">
        <v>3.85</v>
      </c>
      <c r="L1361" s="21">
        <v>-188.82</v>
      </c>
    </row>
    <row r="1362" spans="1:12" ht="30" x14ac:dyDescent="0.25">
      <c r="A1362" s="10">
        <v>1357</v>
      </c>
      <c r="B1362" t="s">
        <v>20</v>
      </c>
      <c r="C1362" t="s">
        <v>49</v>
      </c>
      <c r="D1362" t="s">
        <v>621</v>
      </c>
      <c r="E1362" s="52" t="s">
        <v>356</v>
      </c>
      <c r="F1362" t="s">
        <v>21</v>
      </c>
      <c r="G1362" s="21">
        <v>0</v>
      </c>
      <c r="H1362" s="21">
        <v>0</v>
      </c>
      <c r="I1362" s="21">
        <v>-1.1299999999999999</v>
      </c>
      <c r="J1362" s="21">
        <v>0</v>
      </c>
      <c r="K1362" s="21">
        <v>0</v>
      </c>
      <c r="L1362" s="21">
        <v>-1.1299999999999999</v>
      </c>
    </row>
    <row r="1363" spans="1:12" ht="30" x14ac:dyDescent="0.25">
      <c r="A1363" s="10">
        <v>1358</v>
      </c>
      <c r="B1363" t="s">
        <v>22</v>
      </c>
      <c r="C1363" t="s">
        <v>17</v>
      </c>
      <c r="D1363" t="s">
        <v>621</v>
      </c>
      <c r="E1363" s="52" t="s">
        <v>356</v>
      </c>
      <c r="F1363" t="s">
        <v>23</v>
      </c>
      <c r="G1363" s="21">
        <v>0</v>
      </c>
      <c r="H1363" s="21">
        <v>0</v>
      </c>
      <c r="I1363" s="21">
        <v>-3.01</v>
      </c>
      <c r="J1363" s="21">
        <v>0</v>
      </c>
      <c r="K1363" s="21">
        <v>0.06</v>
      </c>
      <c r="L1363" s="21">
        <v>-2.95</v>
      </c>
    </row>
    <row r="1364" spans="1:12" ht="30" x14ac:dyDescent="0.25">
      <c r="A1364" s="10">
        <v>1359</v>
      </c>
      <c r="B1364" t="s">
        <v>22</v>
      </c>
      <c r="C1364" t="s">
        <v>17</v>
      </c>
      <c r="D1364" t="s">
        <v>621</v>
      </c>
      <c r="E1364" s="52" t="s">
        <v>356</v>
      </c>
      <c r="F1364" t="s">
        <v>23</v>
      </c>
      <c r="G1364" s="21">
        <v>0</v>
      </c>
      <c r="H1364" s="21">
        <v>0</v>
      </c>
      <c r="I1364" s="21">
        <v>-207.35</v>
      </c>
      <c r="J1364" s="21">
        <v>0</v>
      </c>
      <c r="K1364" s="21">
        <v>4.1500000000000004</v>
      </c>
      <c r="L1364" s="21">
        <v>-203.2</v>
      </c>
    </row>
    <row r="1365" spans="1:12" ht="30" x14ac:dyDescent="0.25">
      <c r="A1365" s="10">
        <v>1360</v>
      </c>
      <c r="B1365" t="s">
        <v>22</v>
      </c>
      <c r="C1365" t="s">
        <v>49</v>
      </c>
      <c r="D1365" t="s">
        <v>621</v>
      </c>
      <c r="E1365" s="52" t="s">
        <v>356</v>
      </c>
      <c r="F1365" t="s">
        <v>23</v>
      </c>
      <c r="G1365" s="21">
        <v>0</v>
      </c>
      <c r="H1365" s="21">
        <v>0</v>
      </c>
      <c r="I1365" s="21">
        <v>-0.25</v>
      </c>
      <c r="J1365" s="21">
        <v>0</v>
      </c>
      <c r="K1365" s="21">
        <v>0</v>
      </c>
      <c r="L1365" s="21">
        <v>-0.25</v>
      </c>
    </row>
    <row r="1366" spans="1:12" ht="30" x14ac:dyDescent="0.25">
      <c r="A1366" s="10">
        <v>1361</v>
      </c>
      <c r="B1366" t="s">
        <v>22</v>
      </c>
      <c r="C1366" t="s">
        <v>17</v>
      </c>
      <c r="D1366" t="s">
        <v>621</v>
      </c>
      <c r="E1366" s="52" t="s">
        <v>356</v>
      </c>
      <c r="F1366" t="s">
        <v>24</v>
      </c>
      <c r="G1366" s="21">
        <v>0</v>
      </c>
      <c r="H1366" s="21">
        <v>0</v>
      </c>
      <c r="I1366" s="21">
        <v>-0.01</v>
      </c>
      <c r="J1366" s="21">
        <v>0</v>
      </c>
      <c r="K1366" s="21">
        <v>0</v>
      </c>
      <c r="L1366" s="21">
        <v>-0.01</v>
      </c>
    </row>
    <row r="1367" spans="1:12" ht="30" x14ac:dyDescent="0.25">
      <c r="A1367" s="10">
        <v>1362</v>
      </c>
      <c r="B1367" t="s">
        <v>22</v>
      </c>
      <c r="C1367" t="s">
        <v>17</v>
      </c>
      <c r="D1367" t="s">
        <v>621</v>
      </c>
      <c r="E1367" s="52" t="s">
        <v>356</v>
      </c>
      <c r="F1367" t="s">
        <v>24</v>
      </c>
      <c r="G1367" s="21">
        <v>0</v>
      </c>
      <c r="H1367" s="21">
        <v>0</v>
      </c>
      <c r="I1367" s="21">
        <v>-0.4</v>
      </c>
      <c r="J1367" s="21">
        <v>0</v>
      </c>
      <c r="K1367" s="21">
        <v>0.01</v>
      </c>
      <c r="L1367" s="21">
        <v>-0.39</v>
      </c>
    </row>
    <row r="1368" spans="1:12" ht="30" x14ac:dyDescent="0.25">
      <c r="A1368" s="10">
        <v>1363</v>
      </c>
      <c r="B1368" t="s">
        <v>550</v>
      </c>
      <c r="C1368" t="s">
        <v>17</v>
      </c>
      <c r="D1368" t="s">
        <v>621</v>
      </c>
      <c r="E1368" s="52" t="s">
        <v>356</v>
      </c>
      <c r="F1368" t="s">
        <v>551</v>
      </c>
      <c r="G1368" s="21">
        <v>0</v>
      </c>
      <c r="H1368" s="21">
        <v>0</v>
      </c>
      <c r="I1368" s="21">
        <v>-70.66</v>
      </c>
      <c r="J1368" s="21">
        <v>0</v>
      </c>
      <c r="K1368" s="21">
        <v>1.41</v>
      </c>
      <c r="L1368" s="21">
        <v>-69.25</v>
      </c>
    </row>
    <row r="1369" spans="1:12" ht="30" x14ac:dyDescent="0.25">
      <c r="A1369" s="10">
        <v>1364</v>
      </c>
      <c r="B1369" t="s">
        <v>550</v>
      </c>
      <c r="C1369" t="s">
        <v>17</v>
      </c>
      <c r="D1369" t="s">
        <v>621</v>
      </c>
      <c r="E1369" s="52" t="s">
        <v>356</v>
      </c>
      <c r="F1369" t="s">
        <v>551</v>
      </c>
      <c r="G1369" s="21">
        <v>0</v>
      </c>
      <c r="H1369" s="21">
        <v>0</v>
      </c>
      <c r="I1369" s="21">
        <v>-539.29999999999995</v>
      </c>
      <c r="J1369" s="21">
        <v>0</v>
      </c>
      <c r="K1369" s="21">
        <v>10.79</v>
      </c>
      <c r="L1369" s="21">
        <v>-528.51</v>
      </c>
    </row>
    <row r="1370" spans="1:12" ht="30" x14ac:dyDescent="0.25">
      <c r="A1370" s="10">
        <v>1365</v>
      </c>
      <c r="B1370" t="s">
        <v>550</v>
      </c>
      <c r="C1370" t="s">
        <v>17</v>
      </c>
      <c r="D1370" t="s">
        <v>621</v>
      </c>
      <c r="E1370" s="52" t="s">
        <v>356</v>
      </c>
      <c r="F1370" t="s">
        <v>552</v>
      </c>
      <c r="G1370" s="21">
        <v>0</v>
      </c>
      <c r="H1370" s="21">
        <v>0</v>
      </c>
      <c r="I1370" s="21">
        <v>-0.01</v>
      </c>
      <c r="J1370" s="21">
        <v>0</v>
      </c>
      <c r="K1370" s="21">
        <v>0</v>
      </c>
      <c r="L1370" s="21">
        <v>-0.01</v>
      </c>
    </row>
    <row r="1371" spans="1:12" ht="30" x14ac:dyDescent="0.25">
      <c r="A1371" s="10">
        <v>1366</v>
      </c>
      <c r="B1371" t="s">
        <v>550</v>
      </c>
      <c r="C1371" t="s">
        <v>17</v>
      </c>
      <c r="D1371" t="s">
        <v>621</v>
      </c>
      <c r="E1371" s="52" t="s">
        <v>356</v>
      </c>
      <c r="F1371" t="s">
        <v>552</v>
      </c>
      <c r="G1371" s="21">
        <v>0</v>
      </c>
      <c r="H1371" s="21">
        <v>0</v>
      </c>
      <c r="I1371" s="21">
        <v>-0.04</v>
      </c>
      <c r="J1371" s="21">
        <v>0</v>
      </c>
      <c r="K1371" s="21">
        <v>0</v>
      </c>
      <c r="L1371" s="21">
        <v>-0.04</v>
      </c>
    </row>
    <row r="1372" spans="1:12" ht="30" x14ac:dyDescent="0.25">
      <c r="A1372" s="10">
        <v>1367</v>
      </c>
      <c r="B1372" t="s">
        <v>37</v>
      </c>
      <c r="C1372" t="s">
        <v>17</v>
      </c>
      <c r="D1372" t="s">
        <v>357</v>
      </c>
      <c r="E1372" s="52" t="s">
        <v>358</v>
      </c>
      <c r="F1372" t="s">
        <v>38</v>
      </c>
      <c r="G1372" s="21">
        <v>-0.01</v>
      </c>
      <c r="H1372" s="21">
        <v>0</v>
      </c>
      <c r="I1372" s="21">
        <v>0</v>
      </c>
      <c r="J1372" s="21">
        <v>0</v>
      </c>
      <c r="K1372" s="21">
        <v>0</v>
      </c>
      <c r="L1372" s="21">
        <v>-0.01</v>
      </c>
    </row>
    <row r="1373" spans="1:12" ht="30" x14ac:dyDescent="0.25">
      <c r="A1373" s="10">
        <v>1368</v>
      </c>
      <c r="B1373" t="s">
        <v>37</v>
      </c>
      <c r="C1373" t="s">
        <v>13</v>
      </c>
      <c r="D1373" t="s">
        <v>357</v>
      </c>
      <c r="E1373" s="52" t="s">
        <v>358</v>
      </c>
      <c r="F1373" t="s">
        <v>38</v>
      </c>
      <c r="G1373" s="21">
        <v>0</v>
      </c>
      <c r="H1373" s="21">
        <v>0</v>
      </c>
      <c r="I1373" s="21">
        <v>0</v>
      </c>
      <c r="J1373" s="21">
        <v>0</v>
      </c>
      <c r="K1373" s="21">
        <v>0</v>
      </c>
      <c r="L1373" s="21">
        <v>0</v>
      </c>
    </row>
    <row r="1374" spans="1:12" ht="30" x14ac:dyDescent="0.25">
      <c r="A1374" s="10">
        <v>1369</v>
      </c>
      <c r="B1374" t="s">
        <v>18</v>
      </c>
      <c r="C1374" t="s">
        <v>17</v>
      </c>
      <c r="D1374" t="s">
        <v>357</v>
      </c>
      <c r="E1374" s="52" t="s">
        <v>358</v>
      </c>
      <c r="F1374" t="s">
        <v>19</v>
      </c>
      <c r="G1374" s="21">
        <v>-0.02</v>
      </c>
      <c r="H1374" s="21">
        <v>0</v>
      </c>
      <c r="I1374" s="21">
        <v>0</v>
      </c>
      <c r="J1374" s="21">
        <v>0</v>
      </c>
      <c r="K1374" s="21">
        <v>0</v>
      </c>
      <c r="L1374" s="21">
        <v>-0.02</v>
      </c>
    </row>
    <row r="1375" spans="1:12" ht="45" x14ac:dyDescent="0.25">
      <c r="A1375" s="10">
        <v>1370</v>
      </c>
      <c r="B1375" t="s">
        <v>550</v>
      </c>
      <c r="C1375" t="s">
        <v>17</v>
      </c>
      <c r="D1375" t="s">
        <v>622</v>
      </c>
      <c r="E1375" s="52" t="s">
        <v>623</v>
      </c>
      <c r="F1375" t="s">
        <v>551</v>
      </c>
      <c r="G1375" s="21">
        <v>-41.81</v>
      </c>
      <c r="H1375" s="21">
        <v>0</v>
      </c>
      <c r="I1375" s="21">
        <v>0</v>
      </c>
      <c r="J1375" s="21">
        <v>0</v>
      </c>
      <c r="K1375" s="21">
        <v>0</v>
      </c>
      <c r="L1375" s="21">
        <v>-41.81</v>
      </c>
    </row>
    <row r="1376" spans="1:12" ht="45" x14ac:dyDescent="0.25">
      <c r="A1376" s="10">
        <v>1371</v>
      </c>
      <c r="B1376" t="s">
        <v>550</v>
      </c>
      <c r="C1376" t="s">
        <v>17</v>
      </c>
      <c r="D1376" t="s">
        <v>622</v>
      </c>
      <c r="E1376" s="52" t="s">
        <v>623</v>
      </c>
      <c r="F1376" t="s">
        <v>551</v>
      </c>
      <c r="G1376" s="21">
        <v>-648.79</v>
      </c>
      <c r="H1376" s="21">
        <v>0</v>
      </c>
      <c r="I1376" s="21">
        <v>0</v>
      </c>
      <c r="J1376" s="21">
        <v>0</v>
      </c>
      <c r="K1376" s="21">
        <v>0</v>
      </c>
      <c r="L1376" s="21">
        <v>-648.79</v>
      </c>
    </row>
    <row r="1377" spans="1:12" ht="45" x14ac:dyDescent="0.25">
      <c r="A1377" s="10">
        <v>1372</v>
      </c>
      <c r="B1377" t="s">
        <v>550</v>
      </c>
      <c r="C1377" t="s">
        <v>13</v>
      </c>
      <c r="D1377" t="s">
        <v>622</v>
      </c>
      <c r="E1377" s="52" t="s">
        <v>623</v>
      </c>
      <c r="F1377" t="s">
        <v>551</v>
      </c>
      <c r="G1377" s="21">
        <v>0</v>
      </c>
      <c r="H1377" s="21">
        <v>0</v>
      </c>
      <c r="I1377" s="21">
        <v>0</v>
      </c>
      <c r="J1377" s="21">
        <v>-5.0199999999999996</v>
      </c>
      <c r="K1377" s="21">
        <v>0</v>
      </c>
      <c r="L1377" s="21">
        <v>-5.0199999999999996</v>
      </c>
    </row>
    <row r="1378" spans="1:12" ht="45" x14ac:dyDescent="0.25">
      <c r="A1378" s="10">
        <v>1373</v>
      </c>
      <c r="B1378" t="s">
        <v>550</v>
      </c>
      <c r="C1378" t="s">
        <v>13</v>
      </c>
      <c r="D1378" t="s">
        <v>622</v>
      </c>
      <c r="E1378" s="52" t="s">
        <v>623</v>
      </c>
      <c r="F1378" t="s">
        <v>551</v>
      </c>
      <c r="G1378" s="21">
        <v>0</v>
      </c>
      <c r="H1378" s="21">
        <v>0</v>
      </c>
      <c r="I1378" s="21">
        <v>0</v>
      </c>
      <c r="J1378" s="21">
        <v>-77.849999999999994</v>
      </c>
      <c r="K1378" s="21">
        <v>0</v>
      </c>
      <c r="L1378" s="21">
        <v>-77.849999999999994</v>
      </c>
    </row>
    <row r="1379" spans="1:12" ht="45" x14ac:dyDescent="0.25">
      <c r="A1379" s="10">
        <v>1374</v>
      </c>
      <c r="B1379" t="s">
        <v>550</v>
      </c>
      <c r="C1379" t="s">
        <v>17</v>
      </c>
      <c r="D1379" t="s">
        <v>622</v>
      </c>
      <c r="E1379" s="52" t="s">
        <v>623</v>
      </c>
      <c r="F1379" t="s">
        <v>552</v>
      </c>
      <c r="G1379" s="21">
        <v>-0.05</v>
      </c>
      <c r="H1379" s="21">
        <v>0</v>
      </c>
      <c r="I1379" s="21">
        <v>0</v>
      </c>
      <c r="J1379" s="21">
        <v>0</v>
      </c>
      <c r="K1379" s="21">
        <v>0</v>
      </c>
      <c r="L1379" s="21">
        <v>-0.05</v>
      </c>
    </row>
    <row r="1380" spans="1:12" ht="45" x14ac:dyDescent="0.25">
      <c r="A1380" s="10">
        <v>1375</v>
      </c>
      <c r="B1380" t="s">
        <v>550</v>
      </c>
      <c r="C1380" t="s">
        <v>13</v>
      </c>
      <c r="D1380" t="s">
        <v>622</v>
      </c>
      <c r="E1380" s="52" t="s">
        <v>623</v>
      </c>
      <c r="F1380" t="s">
        <v>552</v>
      </c>
      <c r="G1380" s="21">
        <v>0</v>
      </c>
      <c r="H1380" s="21">
        <v>0</v>
      </c>
      <c r="I1380" s="21">
        <v>0</v>
      </c>
      <c r="J1380" s="21">
        <v>-0.01</v>
      </c>
      <c r="K1380" s="21">
        <v>0</v>
      </c>
      <c r="L1380" s="21">
        <v>-0.01</v>
      </c>
    </row>
    <row r="1381" spans="1:12" ht="30" x14ac:dyDescent="0.25">
      <c r="A1381" s="10">
        <v>1376</v>
      </c>
      <c r="B1381" t="s">
        <v>550</v>
      </c>
      <c r="C1381" t="s">
        <v>17</v>
      </c>
      <c r="D1381" t="s">
        <v>359</v>
      </c>
      <c r="E1381" s="52" t="s">
        <v>360</v>
      </c>
      <c r="F1381" t="s">
        <v>551</v>
      </c>
      <c r="G1381" s="21">
        <v>0</v>
      </c>
      <c r="H1381" s="21">
        <v>0</v>
      </c>
      <c r="I1381" s="21">
        <v>-2.0699999999999998</v>
      </c>
      <c r="J1381" s="21">
        <v>0</v>
      </c>
      <c r="K1381" s="21">
        <v>0.04</v>
      </c>
      <c r="L1381" s="21">
        <v>-2.0299999999999998</v>
      </c>
    </row>
    <row r="1382" spans="1:12" ht="30" x14ac:dyDescent="0.25">
      <c r="A1382" s="10">
        <v>1377</v>
      </c>
      <c r="B1382" t="s">
        <v>550</v>
      </c>
      <c r="C1382" t="s">
        <v>17</v>
      </c>
      <c r="D1382" t="s">
        <v>361</v>
      </c>
      <c r="E1382" s="52" t="s">
        <v>362</v>
      </c>
      <c r="F1382" t="s">
        <v>551</v>
      </c>
      <c r="G1382" s="21">
        <v>0</v>
      </c>
      <c r="H1382" s="21">
        <v>0</v>
      </c>
      <c r="I1382" s="21">
        <v>-2.96</v>
      </c>
      <c r="J1382" s="21">
        <v>0</v>
      </c>
      <c r="K1382" s="21">
        <v>0.06</v>
      </c>
      <c r="L1382" s="21">
        <v>-2.9</v>
      </c>
    </row>
    <row r="1383" spans="1:12" ht="30" x14ac:dyDescent="0.25">
      <c r="A1383" s="10">
        <v>1378</v>
      </c>
      <c r="B1383" t="s">
        <v>18</v>
      </c>
      <c r="C1383" t="s">
        <v>17</v>
      </c>
      <c r="D1383" t="s">
        <v>363</v>
      </c>
      <c r="E1383" s="52" t="s">
        <v>356</v>
      </c>
      <c r="F1383" t="s">
        <v>19</v>
      </c>
      <c r="G1383" s="21">
        <v>0</v>
      </c>
      <c r="H1383" s="21">
        <v>0</v>
      </c>
      <c r="I1383" s="21">
        <v>-0.11</v>
      </c>
      <c r="J1383" s="21">
        <v>0</v>
      </c>
      <c r="K1383" s="21">
        <v>0.01</v>
      </c>
      <c r="L1383" s="21">
        <v>-0.1</v>
      </c>
    </row>
    <row r="1384" spans="1:12" ht="30" x14ac:dyDescent="0.25">
      <c r="A1384" s="10">
        <v>1379</v>
      </c>
      <c r="B1384" t="s">
        <v>18</v>
      </c>
      <c r="C1384" t="s">
        <v>17</v>
      </c>
      <c r="D1384" t="s">
        <v>624</v>
      </c>
      <c r="E1384" s="52" t="s">
        <v>356</v>
      </c>
      <c r="F1384" t="s">
        <v>19</v>
      </c>
      <c r="G1384" s="21">
        <v>0</v>
      </c>
      <c r="H1384" s="21">
        <v>0</v>
      </c>
      <c r="I1384" s="21">
        <v>-0.04</v>
      </c>
      <c r="J1384" s="21">
        <v>0</v>
      </c>
      <c r="K1384" s="21">
        <v>0</v>
      </c>
      <c r="L1384" s="21">
        <v>-0.04</v>
      </c>
    </row>
    <row r="1385" spans="1:12" ht="30" x14ac:dyDescent="0.25">
      <c r="A1385" s="10">
        <v>1380</v>
      </c>
      <c r="B1385" t="s">
        <v>20</v>
      </c>
      <c r="C1385" t="s">
        <v>17</v>
      </c>
      <c r="D1385" t="s">
        <v>624</v>
      </c>
      <c r="E1385" s="52" t="s">
        <v>356</v>
      </c>
      <c r="F1385" t="s">
        <v>21</v>
      </c>
      <c r="G1385" s="21">
        <v>0</v>
      </c>
      <c r="H1385" s="21">
        <v>0</v>
      </c>
      <c r="I1385" s="21">
        <v>-121.01</v>
      </c>
      <c r="J1385" s="21">
        <v>0</v>
      </c>
      <c r="K1385" s="21">
        <v>2.42</v>
      </c>
      <c r="L1385" s="21">
        <v>-118.59</v>
      </c>
    </row>
    <row r="1386" spans="1:12" ht="30" x14ac:dyDescent="0.25">
      <c r="A1386" s="10">
        <v>1381</v>
      </c>
      <c r="B1386" t="s">
        <v>20</v>
      </c>
      <c r="C1386" t="s">
        <v>49</v>
      </c>
      <c r="D1386" t="s">
        <v>624</v>
      </c>
      <c r="E1386" s="52" t="s">
        <v>356</v>
      </c>
      <c r="F1386" t="s">
        <v>21</v>
      </c>
      <c r="G1386" s="21">
        <v>0</v>
      </c>
      <c r="H1386" s="21">
        <v>0</v>
      </c>
      <c r="I1386" s="21">
        <v>-0.71</v>
      </c>
      <c r="J1386" s="21">
        <v>0</v>
      </c>
      <c r="K1386" s="21">
        <v>0</v>
      </c>
      <c r="L1386" s="21">
        <v>-0.71</v>
      </c>
    </row>
    <row r="1387" spans="1:12" ht="30" x14ac:dyDescent="0.25">
      <c r="A1387" s="10">
        <v>1382</v>
      </c>
      <c r="B1387" t="s">
        <v>22</v>
      </c>
      <c r="C1387" t="s">
        <v>17</v>
      </c>
      <c r="D1387" t="s">
        <v>624</v>
      </c>
      <c r="E1387" s="52" t="s">
        <v>356</v>
      </c>
      <c r="F1387" t="s">
        <v>23</v>
      </c>
      <c r="G1387" s="21">
        <v>0</v>
      </c>
      <c r="H1387" s="21">
        <v>0</v>
      </c>
      <c r="I1387" s="21">
        <v>-1.74</v>
      </c>
      <c r="J1387" s="21">
        <v>0</v>
      </c>
      <c r="K1387" s="21">
        <v>0.03</v>
      </c>
      <c r="L1387" s="21">
        <v>-1.71</v>
      </c>
    </row>
    <row r="1388" spans="1:12" ht="30" x14ac:dyDescent="0.25">
      <c r="A1388" s="10">
        <v>1383</v>
      </c>
      <c r="B1388" t="s">
        <v>22</v>
      </c>
      <c r="C1388" t="s">
        <v>17</v>
      </c>
      <c r="D1388" t="s">
        <v>624</v>
      </c>
      <c r="E1388" s="52" t="s">
        <v>356</v>
      </c>
      <c r="F1388" t="s">
        <v>23</v>
      </c>
      <c r="G1388" s="21">
        <v>0</v>
      </c>
      <c r="H1388" s="21">
        <v>0</v>
      </c>
      <c r="I1388" s="21">
        <v>-132.54</v>
      </c>
      <c r="J1388" s="21">
        <v>0</v>
      </c>
      <c r="K1388" s="21">
        <v>2.65</v>
      </c>
      <c r="L1388" s="21">
        <v>-129.88999999999999</v>
      </c>
    </row>
    <row r="1389" spans="1:12" ht="30" x14ac:dyDescent="0.25">
      <c r="A1389" s="10">
        <v>1384</v>
      </c>
      <c r="B1389" t="s">
        <v>22</v>
      </c>
      <c r="C1389" t="s">
        <v>49</v>
      </c>
      <c r="D1389" t="s">
        <v>624</v>
      </c>
      <c r="E1389" s="52" t="s">
        <v>356</v>
      </c>
      <c r="F1389" t="s">
        <v>23</v>
      </c>
      <c r="G1389" s="21">
        <v>0</v>
      </c>
      <c r="H1389" s="21">
        <v>0</v>
      </c>
      <c r="I1389" s="21">
        <v>-0.16</v>
      </c>
      <c r="J1389" s="21">
        <v>0</v>
      </c>
      <c r="K1389" s="21">
        <v>0</v>
      </c>
      <c r="L1389" s="21">
        <v>-0.16</v>
      </c>
    </row>
    <row r="1390" spans="1:12" ht="30" x14ac:dyDescent="0.25">
      <c r="A1390" s="10">
        <v>1385</v>
      </c>
      <c r="B1390" t="s">
        <v>22</v>
      </c>
      <c r="C1390" t="s">
        <v>17</v>
      </c>
      <c r="D1390" t="s">
        <v>624</v>
      </c>
      <c r="E1390" s="52" t="s">
        <v>356</v>
      </c>
      <c r="F1390" t="s">
        <v>24</v>
      </c>
      <c r="G1390" s="21">
        <v>0</v>
      </c>
      <c r="H1390" s="21">
        <v>0</v>
      </c>
      <c r="I1390" s="21">
        <v>-0.26</v>
      </c>
      <c r="J1390" s="21">
        <v>0</v>
      </c>
      <c r="K1390" s="21">
        <v>0.01</v>
      </c>
      <c r="L1390" s="21">
        <v>-0.25</v>
      </c>
    </row>
    <row r="1391" spans="1:12" ht="30" x14ac:dyDescent="0.25">
      <c r="A1391" s="10">
        <v>1386</v>
      </c>
      <c r="B1391" t="s">
        <v>550</v>
      </c>
      <c r="C1391" t="s">
        <v>17</v>
      </c>
      <c r="D1391" t="s">
        <v>624</v>
      </c>
      <c r="E1391" s="52" t="s">
        <v>356</v>
      </c>
      <c r="F1391" t="s">
        <v>551</v>
      </c>
      <c r="G1391" s="21">
        <v>0</v>
      </c>
      <c r="H1391" s="21">
        <v>0</v>
      </c>
      <c r="I1391" s="21">
        <v>-46.4</v>
      </c>
      <c r="J1391" s="21">
        <v>0</v>
      </c>
      <c r="K1391" s="21">
        <v>0.93</v>
      </c>
      <c r="L1391" s="21">
        <v>-45.47</v>
      </c>
    </row>
    <row r="1392" spans="1:12" ht="30" x14ac:dyDescent="0.25">
      <c r="A1392" s="10">
        <v>1387</v>
      </c>
      <c r="B1392" t="s">
        <v>550</v>
      </c>
      <c r="C1392" t="s">
        <v>17</v>
      </c>
      <c r="D1392" t="s">
        <v>624</v>
      </c>
      <c r="E1392" s="52" t="s">
        <v>356</v>
      </c>
      <c r="F1392" t="s">
        <v>551</v>
      </c>
      <c r="G1392" s="21">
        <v>0</v>
      </c>
      <c r="H1392" s="21">
        <v>0</v>
      </c>
      <c r="I1392" s="21">
        <v>-356.84</v>
      </c>
      <c r="J1392" s="21">
        <v>0</v>
      </c>
      <c r="K1392" s="21">
        <v>7.14</v>
      </c>
      <c r="L1392" s="21">
        <v>-349.7</v>
      </c>
    </row>
    <row r="1393" spans="1:12" ht="30" x14ac:dyDescent="0.25">
      <c r="A1393" s="10">
        <v>1388</v>
      </c>
      <c r="B1393" t="s">
        <v>550</v>
      </c>
      <c r="C1393" t="s">
        <v>17</v>
      </c>
      <c r="D1393" t="s">
        <v>624</v>
      </c>
      <c r="E1393" s="52" t="s">
        <v>356</v>
      </c>
      <c r="F1393" t="s">
        <v>552</v>
      </c>
      <c r="G1393" s="21">
        <v>0</v>
      </c>
      <c r="H1393" s="21">
        <v>0</v>
      </c>
      <c r="I1393" s="21">
        <v>-0.03</v>
      </c>
      <c r="J1393" s="21">
        <v>0</v>
      </c>
      <c r="K1393" s="21">
        <v>0</v>
      </c>
      <c r="L1393" s="21">
        <v>-0.03</v>
      </c>
    </row>
    <row r="1394" spans="1:12" ht="30" x14ac:dyDescent="0.25">
      <c r="A1394" s="10">
        <v>1389</v>
      </c>
      <c r="B1394" t="s">
        <v>559</v>
      </c>
      <c r="C1394" t="s">
        <v>17</v>
      </c>
      <c r="D1394" t="s">
        <v>364</v>
      </c>
      <c r="E1394" s="52" t="s">
        <v>365</v>
      </c>
      <c r="F1394" t="s">
        <v>560</v>
      </c>
      <c r="G1394" s="21">
        <v>-1.1200000000000001</v>
      </c>
      <c r="H1394" s="21">
        <v>0</v>
      </c>
      <c r="I1394" s="21">
        <v>0</v>
      </c>
      <c r="J1394" s="21">
        <v>0</v>
      </c>
      <c r="K1394" s="21">
        <v>0.02</v>
      </c>
      <c r="L1394" s="21">
        <v>-1.1000000000000001</v>
      </c>
    </row>
    <row r="1395" spans="1:12" ht="30" x14ac:dyDescent="0.25">
      <c r="A1395" s="10">
        <v>1390</v>
      </c>
      <c r="B1395" t="s">
        <v>559</v>
      </c>
      <c r="C1395" t="s">
        <v>13</v>
      </c>
      <c r="D1395" t="s">
        <v>364</v>
      </c>
      <c r="E1395" s="52" t="s">
        <v>365</v>
      </c>
      <c r="F1395" t="s">
        <v>560</v>
      </c>
      <c r="G1395" s="21">
        <v>0</v>
      </c>
      <c r="H1395" s="21">
        <v>0</v>
      </c>
      <c r="I1395" s="21">
        <v>0</v>
      </c>
      <c r="J1395" s="21">
        <v>-0.13</v>
      </c>
      <c r="K1395" s="21">
        <v>0</v>
      </c>
      <c r="L1395" s="21">
        <v>-0.13</v>
      </c>
    </row>
    <row r="1396" spans="1:12" ht="30" x14ac:dyDescent="0.25">
      <c r="A1396" s="10">
        <v>1391</v>
      </c>
      <c r="B1396" t="s">
        <v>18</v>
      </c>
      <c r="C1396" t="s">
        <v>17</v>
      </c>
      <c r="D1396" t="s">
        <v>364</v>
      </c>
      <c r="E1396" s="52" t="s">
        <v>365</v>
      </c>
      <c r="F1396" t="s">
        <v>19</v>
      </c>
      <c r="G1396" s="21">
        <v>-6.78</v>
      </c>
      <c r="H1396" s="21">
        <v>0</v>
      </c>
      <c r="I1396" s="21">
        <v>0</v>
      </c>
      <c r="J1396" s="21">
        <v>0</v>
      </c>
      <c r="K1396" s="21">
        <v>6.01</v>
      </c>
      <c r="L1396" s="21">
        <v>-0.77</v>
      </c>
    </row>
    <row r="1397" spans="1:12" ht="30" x14ac:dyDescent="0.25">
      <c r="A1397" s="10">
        <v>1392</v>
      </c>
      <c r="B1397" t="s">
        <v>550</v>
      </c>
      <c r="C1397" t="s">
        <v>17</v>
      </c>
      <c r="D1397" t="s">
        <v>364</v>
      </c>
      <c r="E1397" s="52" t="s">
        <v>365</v>
      </c>
      <c r="F1397" t="s">
        <v>551</v>
      </c>
      <c r="G1397" s="21">
        <v>-36743.480000000003</v>
      </c>
      <c r="H1397" s="21">
        <v>0</v>
      </c>
      <c r="I1397" s="21">
        <v>0</v>
      </c>
      <c r="J1397" s="21">
        <v>0</v>
      </c>
      <c r="K1397" s="21">
        <v>734.87</v>
      </c>
      <c r="L1397" s="21">
        <v>-36008.61</v>
      </c>
    </row>
    <row r="1398" spans="1:12" ht="30" x14ac:dyDescent="0.25">
      <c r="A1398" s="10">
        <v>1393</v>
      </c>
      <c r="B1398" t="s">
        <v>550</v>
      </c>
      <c r="C1398" t="s">
        <v>13</v>
      </c>
      <c r="D1398" t="s">
        <v>364</v>
      </c>
      <c r="E1398" s="52" t="s">
        <v>365</v>
      </c>
      <c r="F1398" t="s">
        <v>551</v>
      </c>
      <c r="G1398" s="21">
        <v>0</v>
      </c>
      <c r="H1398" s="21">
        <v>0</v>
      </c>
      <c r="I1398" s="21">
        <v>0</v>
      </c>
      <c r="J1398" s="21">
        <v>-4409.22</v>
      </c>
      <c r="K1398" s="21">
        <v>0</v>
      </c>
      <c r="L1398" s="21">
        <v>-4409.22</v>
      </c>
    </row>
    <row r="1399" spans="1:12" ht="30" x14ac:dyDescent="0.25">
      <c r="A1399" s="10">
        <v>1394</v>
      </c>
      <c r="B1399" t="s">
        <v>550</v>
      </c>
      <c r="C1399" t="s">
        <v>13</v>
      </c>
      <c r="D1399" t="s">
        <v>364</v>
      </c>
      <c r="E1399" s="52" t="s">
        <v>365</v>
      </c>
      <c r="F1399" t="s">
        <v>552</v>
      </c>
      <c r="G1399" s="21">
        <v>0</v>
      </c>
      <c r="H1399" s="21">
        <v>0</v>
      </c>
      <c r="I1399" s="21">
        <v>0</v>
      </c>
      <c r="J1399" s="21">
        <v>-0.32</v>
      </c>
      <c r="K1399" s="21">
        <v>0</v>
      </c>
      <c r="L1399" s="21">
        <v>-0.32</v>
      </c>
    </row>
    <row r="1400" spans="1:12" ht="30" x14ac:dyDescent="0.25">
      <c r="A1400" s="10">
        <v>1395</v>
      </c>
      <c r="B1400" t="s">
        <v>550</v>
      </c>
      <c r="C1400" t="s">
        <v>17</v>
      </c>
      <c r="D1400" t="s">
        <v>364</v>
      </c>
      <c r="E1400" s="52" t="s">
        <v>365</v>
      </c>
      <c r="F1400" t="s">
        <v>552</v>
      </c>
      <c r="G1400" s="21">
        <v>-2.64</v>
      </c>
      <c r="H1400" s="21">
        <v>0</v>
      </c>
      <c r="I1400" s="21">
        <v>0</v>
      </c>
      <c r="J1400" s="21">
        <v>0</v>
      </c>
      <c r="K1400" s="21">
        <v>0.05</v>
      </c>
      <c r="L1400" s="21">
        <v>-2.59</v>
      </c>
    </row>
    <row r="1401" spans="1:12" ht="30" x14ac:dyDescent="0.25">
      <c r="A1401" s="10">
        <v>1396</v>
      </c>
      <c r="B1401" t="s">
        <v>18</v>
      </c>
      <c r="C1401" t="s">
        <v>17</v>
      </c>
      <c r="D1401" t="s">
        <v>366</v>
      </c>
      <c r="E1401" s="52" t="s">
        <v>367</v>
      </c>
      <c r="F1401" t="s">
        <v>19</v>
      </c>
      <c r="G1401" s="21">
        <v>-0.17</v>
      </c>
      <c r="H1401" s="21">
        <v>0</v>
      </c>
      <c r="I1401" s="21">
        <v>0</v>
      </c>
      <c r="J1401" s="21">
        <v>0</v>
      </c>
      <c r="K1401" s="21">
        <v>0.15</v>
      </c>
      <c r="L1401" s="21">
        <v>-0.02</v>
      </c>
    </row>
    <row r="1402" spans="1:12" ht="30" x14ac:dyDescent="0.25">
      <c r="A1402" s="10">
        <v>1397</v>
      </c>
      <c r="B1402" t="s">
        <v>550</v>
      </c>
      <c r="C1402" t="s">
        <v>13</v>
      </c>
      <c r="D1402" t="s">
        <v>366</v>
      </c>
      <c r="E1402" s="52" t="s">
        <v>367</v>
      </c>
      <c r="F1402" t="s">
        <v>551</v>
      </c>
      <c r="G1402" s="21">
        <v>0</v>
      </c>
      <c r="H1402" s="21">
        <v>0</v>
      </c>
      <c r="I1402" s="21">
        <v>0</v>
      </c>
      <c r="J1402" s="21">
        <v>-705.46</v>
      </c>
      <c r="K1402" s="21">
        <v>0</v>
      </c>
      <c r="L1402" s="21">
        <v>-705.46</v>
      </c>
    </row>
    <row r="1403" spans="1:12" ht="30" x14ac:dyDescent="0.25">
      <c r="A1403" s="10">
        <v>1398</v>
      </c>
      <c r="B1403" t="s">
        <v>550</v>
      </c>
      <c r="C1403" t="s">
        <v>13</v>
      </c>
      <c r="D1403" t="s">
        <v>366</v>
      </c>
      <c r="E1403" s="52" t="s">
        <v>367</v>
      </c>
      <c r="F1403" t="s">
        <v>551</v>
      </c>
      <c r="G1403" s="21">
        <v>0</v>
      </c>
      <c r="H1403" s="21">
        <v>0</v>
      </c>
      <c r="I1403" s="21">
        <v>0</v>
      </c>
      <c r="J1403" s="21">
        <v>-397.16</v>
      </c>
      <c r="K1403" s="21">
        <v>0</v>
      </c>
      <c r="L1403" s="21">
        <v>-397.16</v>
      </c>
    </row>
    <row r="1404" spans="1:12" ht="30" x14ac:dyDescent="0.25">
      <c r="A1404" s="10">
        <v>1399</v>
      </c>
      <c r="B1404" t="s">
        <v>550</v>
      </c>
      <c r="C1404" t="s">
        <v>17</v>
      </c>
      <c r="D1404" t="s">
        <v>366</v>
      </c>
      <c r="E1404" s="52" t="s">
        <v>367</v>
      </c>
      <c r="F1404" t="s">
        <v>551</v>
      </c>
      <c r="G1404" s="21">
        <v>-5878.8</v>
      </c>
      <c r="H1404" s="21">
        <v>0</v>
      </c>
      <c r="I1404" s="21">
        <v>0</v>
      </c>
      <c r="J1404" s="21">
        <v>0</v>
      </c>
      <c r="K1404" s="21">
        <v>117.58</v>
      </c>
      <c r="L1404" s="21">
        <v>-5761.22</v>
      </c>
    </row>
    <row r="1405" spans="1:12" ht="30" x14ac:dyDescent="0.25">
      <c r="A1405" s="10">
        <v>1400</v>
      </c>
      <c r="B1405" t="s">
        <v>550</v>
      </c>
      <c r="C1405" t="s">
        <v>17</v>
      </c>
      <c r="D1405" t="s">
        <v>366</v>
      </c>
      <c r="E1405" s="52" t="s">
        <v>367</v>
      </c>
      <c r="F1405" t="s">
        <v>551</v>
      </c>
      <c r="G1405" s="21">
        <v>-3309.69</v>
      </c>
      <c r="H1405" s="21">
        <v>0</v>
      </c>
      <c r="I1405" s="21">
        <v>0</v>
      </c>
      <c r="J1405" s="21">
        <v>0</v>
      </c>
      <c r="K1405" s="21">
        <v>66.19</v>
      </c>
      <c r="L1405" s="21">
        <v>-3243.5</v>
      </c>
    </row>
    <row r="1406" spans="1:12" ht="30" x14ac:dyDescent="0.25">
      <c r="A1406" s="10">
        <v>1401</v>
      </c>
      <c r="B1406" t="s">
        <v>550</v>
      </c>
      <c r="C1406" t="s">
        <v>13</v>
      </c>
      <c r="D1406" t="s">
        <v>366</v>
      </c>
      <c r="E1406" s="52" t="s">
        <v>367</v>
      </c>
      <c r="F1406" t="s">
        <v>552</v>
      </c>
      <c r="G1406" s="21">
        <v>0</v>
      </c>
      <c r="H1406" s="21">
        <v>0</v>
      </c>
      <c r="I1406" s="21">
        <v>0</v>
      </c>
      <c r="J1406" s="21">
        <v>-0.05</v>
      </c>
      <c r="K1406" s="21">
        <v>0</v>
      </c>
      <c r="L1406" s="21">
        <v>-0.05</v>
      </c>
    </row>
    <row r="1407" spans="1:12" ht="30" x14ac:dyDescent="0.25">
      <c r="A1407" s="10">
        <v>1402</v>
      </c>
      <c r="B1407" t="s">
        <v>550</v>
      </c>
      <c r="C1407" t="s">
        <v>13</v>
      </c>
      <c r="D1407" t="s">
        <v>366</v>
      </c>
      <c r="E1407" s="52" t="s">
        <v>367</v>
      </c>
      <c r="F1407" t="s">
        <v>552</v>
      </c>
      <c r="G1407" s="21">
        <v>0</v>
      </c>
      <c r="H1407" s="21">
        <v>0</v>
      </c>
      <c r="I1407" s="21">
        <v>0</v>
      </c>
      <c r="J1407" s="21">
        <v>-0.03</v>
      </c>
      <c r="K1407" s="21">
        <v>0</v>
      </c>
      <c r="L1407" s="21">
        <v>-0.03</v>
      </c>
    </row>
    <row r="1408" spans="1:12" ht="30" x14ac:dyDescent="0.25">
      <c r="A1408" s="10">
        <v>1403</v>
      </c>
      <c r="B1408" t="s">
        <v>550</v>
      </c>
      <c r="C1408" t="s">
        <v>17</v>
      </c>
      <c r="D1408" t="s">
        <v>366</v>
      </c>
      <c r="E1408" s="52" t="s">
        <v>367</v>
      </c>
      <c r="F1408" t="s">
        <v>552</v>
      </c>
      <c r="G1408" s="21">
        <v>-0.42</v>
      </c>
      <c r="H1408" s="21">
        <v>0</v>
      </c>
      <c r="I1408" s="21">
        <v>0</v>
      </c>
      <c r="J1408" s="21">
        <v>0</v>
      </c>
      <c r="K1408" s="21">
        <v>0.01</v>
      </c>
      <c r="L1408" s="21">
        <v>-0.41</v>
      </c>
    </row>
    <row r="1409" spans="1:12" ht="30" x14ac:dyDescent="0.25">
      <c r="A1409" s="10">
        <v>1404</v>
      </c>
      <c r="B1409" t="s">
        <v>550</v>
      </c>
      <c r="C1409" t="s">
        <v>17</v>
      </c>
      <c r="D1409" t="s">
        <v>366</v>
      </c>
      <c r="E1409" s="52" t="s">
        <v>367</v>
      </c>
      <c r="F1409" t="s">
        <v>552</v>
      </c>
      <c r="G1409" s="21">
        <v>-0.24</v>
      </c>
      <c r="H1409" s="21">
        <v>0</v>
      </c>
      <c r="I1409" s="21">
        <v>0</v>
      </c>
      <c r="J1409" s="21">
        <v>0</v>
      </c>
      <c r="K1409" s="21">
        <v>0</v>
      </c>
      <c r="L1409" s="21">
        <v>-0.24</v>
      </c>
    </row>
    <row r="1410" spans="1:12" x14ac:dyDescent="0.25">
      <c r="A1410" s="10">
        <v>1405</v>
      </c>
      <c r="B1410" t="s">
        <v>18</v>
      </c>
      <c r="C1410" t="s">
        <v>17</v>
      </c>
      <c r="D1410" t="s">
        <v>368</v>
      </c>
      <c r="E1410" s="52" t="s">
        <v>369</v>
      </c>
      <c r="F1410" t="s">
        <v>19</v>
      </c>
      <c r="G1410" s="21">
        <v>-0.43</v>
      </c>
      <c r="H1410" s="21">
        <v>0</v>
      </c>
      <c r="I1410" s="21">
        <v>0</v>
      </c>
      <c r="J1410" s="21">
        <v>0</v>
      </c>
      <c r="K1410" s="21">
        <v>0.38</v>
      </c>
      <c r="L1410" s="21">
        <v>-0.05</v>
      </c>
    </row>
    <row r="1411" spans="1:12" x14ac:dyDescent="0.25">
      <c r="A1411" s="10">
        <v>1406</v>
      </c>
      <c r="B1411" t="s">
        <v>22</v>
      </c>
      <c r="C1411" t="s">
        <v>13</v>
      </c>
      <c r="D1411" t="s">
        <v>368</v>
      </c>
      <c r="E1411" s="52" t="s">
        <v>369</v>
      </c>
      <c r="F1411" t="s">
        <v>23</v>
      </c>
      <c r="G1411" s="21">
        <v>0</v>
      </c>
      <c r="H1411" s="21">
        <v>0</v>
      </c>
      <c r="I1411" s="21">
        <v>0</v>
      </c>
      <c r="J1411" s="21">
        <v>0</v>
      </c>
      <c r="K1411" s="21">
        <v>0</v>
      </c>
      <c r="L1411" s="21">
        <v>0</v>
      </c>
    </row>
    <row r="1412" spans="1:12" x14ac:dyDescent="0.25">
      <c r="A1412" s="10">
        <v>1407</v>
      </c>
      <c r="B1412" t="s">
        <v>22</v>
      </c>
      <c r="C1412" t="s">
        <v>13</v>
      </c>
      <c r="D1412" t="s">
        <v>368</v>
      </c>
      <c r="E1412" s="52" t="s">
        <v>369</v>
      </c>
      <c r="F1412" t="s">
        <v>24</v>
      </c>
      <c r="G1412" s="21">
        <v>0</v>
      </c>
      <c r="H1412" s="21">
        <v>0</v>
      </c>
      <c r="I1412" s="21">
        <v>0</v>
      </c>
      <c r="J1412" s="21">
        <v>0</v>
      </c>
      <c r="K1412" s="21">
        <v>0</v>
      </c>
      <c r="L1412" s="21">
        <v>0</v>
      </c>
    </row>
    <row r="1413" spans="1:12" x14ac:dyDescent="0.25">
      <c r="A1413" s="10">
        <v>1408</v>
      </c>
      <c r="B1413" t="s">
        <v>550</v>
      </c>
      <c r="C1413" t="s">
        <v>13</v>
      </c>
      <c r="D1413" t="s">
        <v>368</v>
      </c>
      <c r="E1413" s="52" t="s">
        <v>369</v>
      </c>
      <c r="F1413" t="s">
        <v>551</v>
      </c>
      <c r="G1413" s="21">
        <v>0</v>
      </c>
      <c r="H1413" s="21">
        <v>0</v>
      </c>
      <c r="I1413" s="21">
        <v>0</v>
      </c>
      <c r="J1413" s="21">
        <v>-148.51</v>
      </c>
      <c r="K1413" s="21">
        <v>0</v>
      </c>
      <c r="L1413" s="21">
        <v>-148.51</v>
      </c>
    </row>
    <row r="1414" spans="1:12" x14ac:dyDescent="0.25">
      <c r="A1414" s="10">
        <v>1409</v>
      </c>
      <c r="B1414" t="s">
        <v>550</v>
      </c>
      <c r="C1414" t="s">
        <v>13</v>
      </c>
      <c r="D1414" t="s">
        <v>368</v>
      </c>
      <c r="E1414" s="52" t="s">
        <v>369</v>
      </c>
      <c r="F1414" t="s">
        <v>551</v>
      </c>
      <c r="G1414" s="21">
        <v>0</v>
      </c>
      <c r="H1414" s="21">
        <v>0</v>
      </c>
      <c r="I1414" s="21">
        <v>0</v>
      </c>
      <c r="J1414" s="21">
        <v>-886.25</v>
      </c>
      <c r="K1414" s="21">
        <v>0</v>
      </c>
      <c r="L1414" s="21">
        <v>-886.25</v>
      </c>
    </row>
    <row r="1415" spans="1:12" x14ac:dyDescent="0.25">
      <c r="A1415" s="10">
        <v>1410</v>
      </c>
      <c r="B1415" t="s">
        <v>550</v>
      </c>
      <c r="C1415" t="s">
        <v>17</v>
      </c>
      <c r="D1415" t="s">
        <v>368</v>
      </c>
      <c r="E1415" s="52" t="s">
        <v>369</v>
      </c>
      <c r="F1415" t="s">
        <v>551</v>
      </c>
      <c r="G1415" s="21">
        <v>-1237.6199999999999</v>
      </c>
      <c r="H1415" s="21">
        <v>0</v>
      </c>
      <c r="I1415" s="21">
        <v>0</v>
      </c>
      <c r="J1415" s="21">
        <v>0</v>
      </c>
      <c r="K1415" s="21">
        <v>24.75</v>
      </c>
      <c r="L1415" s="21">
        <v>-1212.8699999999999</v>
      </c>
    </row>
    <row r="1416" spans="1:12" x14ac:dyDescent="0.25">
      <c r="A1416" s="10">
        <v>1411</v>
      </c>
      <c r="B1416" t="s">
        <v>550</v>
      </c>
      <c r="C1416" t="s">
        <v>17</v>
      </c>
      <c r="D1416" t="s">
        <v>368</v>
      </c>
      <c r="E1416" s="52" t="s">
        <v>369</v>
      </c>
      <c r="F1416" t="s">
        <v>551</v>
      </c>
      <c r="G1416" s="21">
        <v>-7385.44</v>
      </c>
      <c r="H1416" s="21">
        <v>0</v>
      </c>
      <c r="I1416" s="21">
        <v>0</v>
      </c>
      <c r="J1416" s="21">
        <v>0</v>
      </c>
      <c r="K1416" s="21">
        <v>147.71</v>
      </c>
      <c r="L1416" s="21">
        <v>-7237.73</v>
      </c>
    </row>
    <row r="1417" spans="1:12" x14ac:dyDescent="0.25">
      <c r="A1417" s="10">
        <v>1412</v>
      </c>
      <c r="B1417" t="s">
        <v>550</v>
      </c>
      <c r="C1417" t="s">
        <v>13</v>
      </c>
      <c r="D1417" t="s">
        <v>368</v>
      </c>
      <c r="E1417" s="52" t="s">
        <v>369</v>
      </c>
      <c r="F1417" t="s">
        <v>552</v>
      </c>
      <c r="G1417" s="21">
        <v>0</v>
      </c>
      <c r="H1417" s="21">
        <v>0</v>
      </c>
      <c r="I1417" s="21">
        <v>0</v>
      </c>
      <c r="J1417" s="21">
        <v>-0.01</v>
      </c>
      <c r="K1417" s="21">
        <v>0</v>
      </c>
      <c r="L1417" s="21">
        <v>-0.01</v>
      </c>
    </row>
    <row r="1418" spans="1:12" x14ac:dyDescent="0.25">
      <c r="A1418" s="10">
        <v>1413</v>
      </c>
      <c r="B1418" t="s">
        <v>550</v>
      </c>
      <c r="C1418" t="s">
        <v>13</v>
      </c>
      <c r="D1418" t="s">
        <v>368</v>
      </c>
      <c r="E1418" s="52" t="s">
        <v>369</v>
      </c>
      <c r="F1418" t="s">
        <v>552</v>
      </c>
      <c r="G1418" s="21">
        <v>0</v>
      </c>
      <c r="H1418" s="21">
        <v>0</v>
      </c>
      <c r="I1418" s="21">
        <v>0</v>
      </c>
      <c r="J1418" s="21">
        <v>-0.06</v>
      </c>
      <c r="K1418" s="21">
        <v>0</v>
      </c>
      <c r="L1418" s="21">
        <v>-0.06</v>
      </c>
    </row>
    <row r="1419" spans="1:12" x14ac:dyDescent="0.25">
      <c r="A1419" s="10">
        <v>1414</v>
      </c>
      <c r="B1419" t="s">
        <v>550</v>
      </c>
      <c r="C1419" t="s">
        <v>17</v>
      </c>
      <c r="D1419" t="s">
        <v>368</v>
      </c>
      <c r="E1419" s="52" t="s">
        <v>369</v>
      </c>
      <c r="F1419" t="s">
        <v>552</v>
      </c>
      <c r="G1419" s="21">
        <v>-0.09</v>
      </c>
      <c r="H1419" s="21">
        <v>0</v>
      </c>
      <c r="I1419" s="21">
        <v>0</v>
      </c>
      <c r="J1419" s="21">
        <v>0</v>
      </c>
      <c r="K1419" s="21">
        <v>0</v>
      </c>
      <c r="L1419" s="21">
        <v>-0.09</v>
      </c>
    </row>
    <row r="1420" spans="1:12" x14ac:dyDescent="0.25">
      <c r="A1420" s="10">
        <v>1415</v>
      </c>
      <c r="B1420" t="s">
        <v>550</v>
      </c>
      <c r="C1420" t="s">
        <v>17</v>
      </c>
      <c r="D1420" t="s">
        <v>368</v>
      </c>
      <c r="E1420" s="52" t="s">
        <v>369</v>
      </c>
      <c r="F1420" t="s">
        <v>552</v>
      </c>
      <c r="G1420" s="21">
        <v>-0.53</v>
      </c>
      <c r="H1420" s="21">
        <v>0</v>
      </c>
      <c r="I1420" s="21">
        <v>0</v>
      </c>
      <c r="J1420" s="21">
        <v>0</v>
      </c>
      <c r="K1420" s="21">
        <v>0.01</v>
      </c>
      <c r="L1420" s="21">
        <v>-0.52</v>
      </c>
    </row>
    <row r="1421" spans="1:12" ht="30" x14ac:dyDescent="0.25">
      <c r="A1421" s="10">
        <v>1416</v>
      </c>
      <c r="B1421" t="s">
        <v>18</v>
      </c>
      <c r="C1421" t="s">
        <v>17</v>
      </c>
      <c r="D1421" t="s">
        <v>370</v>
      </c>
      <c r="E1421" s="52" t="s">
        <v>371</v>
      </c>
      <c r="F1421" t="s">
        <v>19</v>
      </c>
      <c r="G1421" s="21">
        <v>-5.36</v>
      </c>
      <c r="H1421" s="21">
        <v>0</v>
      </c>
      <c r="I1421" s="21">
        <v>0</v>
      </c>
      <c r="J1421" s="21">
        <v>0</v>
      </c>
      <c r="K1421" s="21">
        <v>4.75</v>
      </c>
      <c r="L1421" s="21">
        <v>-0.61</v>
      </c>
    </row>
    <row r="1422" spans="1:12" ht="30" x14ac:dyDescent="0.25">
      <c r="A1422" s="10">
        <v>1417</v>
      </c>
      <c r="B1422" t="s">
        <v>550</v>
      </c>
      <c r="C1422" t="s">
        <v>13</v>
      </c>
      <c r="D1422" t="s">
        <v>370</v>
      </c>
      <c r="E1422" s="52" t="s">
        <v>371</v>
      </c>
      <c r="F1422" t="s">
        <v>551</v>
      </c>
      <c r="G1422" s="21">
        <v>0</v>
      </c>
      <c r="H1422" s="21">
        <v>0</v>
      </c>
      <c r="I1422" s="21">
        <v>0</v>
      </c>
      <c r="J1422" s="21">
        <v>-6493.39</v>
      </c>
      <c r="K1422" s="21">
        <v>0</v>
      </c>
      <c r="L1422" s="21">
        <v>-6493.39</v>
      </c>
    </row>
    <row r="1423" spans="1:12" ht="30" x14ac:dyDescent="0.25">
      <c r="A1423" s="10">
        <v>1418</v>
      </c>
      <c r="B1423" t="s">
        <v>550</v>
      </c>
      <c r="C1423" t="s">
        <v>17</v>
      </c>
      <c r="D1423" t="s">
        <v>370</v>
      </c>
      <c r="E1423" s="52" t="s">
        <v>371</v>
      </c>
      <c r="F1423" t="s">
        <v>551</v>
      </c>
      <c r="G1423" s="21">
        <v>-55678.16</v>
      </c>
      <c r="H1423" s="21">
        <v>0</v>
      </c>
      <c r="I1423" s="21">
        <v>0</v>
      </c>
      <c r="J1423" s="21">
        <v>0</v>
      </c>
      <c r="K1423" s="21">
        <v>1113.56</v>
      </c>
      <c r="L1423" s="21">
        <v>-54564.6</v>
      </c>
    </row>
    <row r="1424" spans="1:12" ht="30" x14ac:dyDescent="0.25">
      <c r="A1424" s="10">
        <v>1419</v>
      </c>
      <c r="B1424" t="s">
        <v>550</v>
      </c>
      <c r="C1424" t="s">
        <v>13</v>
      </c>
      <c r="D1424" t="s">
        <v>370</v>
      </c>
      <c r="E1424" s="52" t="s">
        <v>371</v>
      </c>
      <c r="F1424" t="s">
        <v>552</v>
      </c>
      <c r="G1424" s="21">
        <v>0</v>
      </c>
      <c r="H1424" s="21">
        <v>0</v>
      </c>
      <c r="I1424" s="21">
        <v>0</v>
      </c>
      <c r="J1424" s="21">
        <v>-0.47</v>
      </c>
      <c r="K1424" s="21">
        <v>0</v>
      </c>
      <c r="L1424" s="21">
        <v>-0.47</v>
      </c>
    </row>
    <row r="1425" spans="1:12" ht="30" x14ac:dyDescent="0.25">
      <c r="A1425" s="10">
        <v>1420</v>
      </c>
      <c r="B1425" t="s">
        <v>550</v>
      </c>
      <c r="C1425" t="s">
        <v>17</v>
      </c>
      <c r="D1425" t="s">
        <v>370</v>
      </c>
      <c r="E1425" s="52" t="s">
        <v>371</v>
      </c>
      <c r="F1425" t="s">
        <v>552</v>
      </c>
      <c r="G1425" s="21">
        <v>-4</v>
      </c>
      <c r="H1425" s="21">
        <v>0</v>
      </c>
      <c r="I1425" s="21">
        <v>0</v>
      </c>
      <c r="J1425" s="21">
        <v>0</v>
      </c>
      <c r="K1425" s="21">
        <v>0.08</v>
      </c>
      <c r="L1425" s="21">
        <v>-3.92</v>
      </c>
    </row>
    <row r="1426" spans="1:12" ht="45" x14ac:dyDescent="0.25">
      <c r="A1426" s="10">
        <v>1421</v>
      </c>
      <c r="B1426" t="s">
        <v>555</v>
      </c>
      <c r="C1426" t="s">
        <v>17</v>
      </c>
      <c r="D1426" t="s">
        <v>372</v>
      </c>
      <c r="E1426" s="52" t="s">
        <v>373</v>
      </c>
      <c r="F1426" t="s">
        <v>556</v>
      </c>
      <c r="G1426" s="21">
        <v>0</v>
      </c>
      <c r="H1426" s="21">
        <v>0</v>
      </c>
      <c r="I1426" s="21">
        <v>-1283.8499999999999</v>
      </c>
      <c r="J1426" s="21">
        <v>0</v>
      </c>
      <c r="K1426" s="21">
        <v>25.68</v>
      </c>
      <c r="L1426" s="21">
        <v>-1258.17</v>
      </c>
    </row>
    <row r="1427" spans="1:12" ht="45" x14ac:dyDescent="0.25">
      <c r="A1427" s="10">
        <v>1422</v>
      </c>
      <c r="B1427" t="s">
        <v>557</v>
      </c>
      <c r="C1427" t="s">
        <v>17</v>
      </c>
      <c r="D1427" t="s">
        <v>372</v>
      </c>
      <c r="E1427" s="52" t="s">
        <v>373</v>
      </c>
      <c r="F1427" t="s">
        <v>558</v>
      </c>
      <c r="G1427" s="21">
        <v>0</v>
      </c>
      <c r="H1427" s="21">
        <v>0</v>
      </c>
      <c r="I1427" s="21">
        <v>-1196.1300000000001</v>
      </c>
      <c r="J1427" s="21">
        <v>0</v>
      </c>
      <c r="K1427" s="21">
        <v>23.92</v>
      </c>
      <c r="L1427" s="21">
        <v>-1172.21</v>
      </c>
    </row>
    <row r="1428" spans="1:12" ht="45" x14ac:dyDescent="0.25">
      <c r="A1428" s="10">
        <v>1423</v>
      </c>
      <c r="B1428" t="s">
        <v>18</v>
      </c>
      <c r="C1428" t="s">
        <v>17</v>
      </c>
      <c r="D1428" t="s">
        <v>372</v>
      </c>
      <c r="E1428" s="52" t="s">
        <v>373</v>
      </c>
      <c r="F1428" t="s">
        <v>19</v>
      </c>
      <c r="G1428" s="21">
        <v>0</v>
      </c>
      <c r="H1428" s="21">
        <v>0</v>
      </c>
      <c r="I1428" s="21">
        <v>-24.89</v>
      </c>
      <c r="J1428" s="21">
        <v>0</v>
      </c>
      <c r="K1428" s="21">
        <v>2.93</v>
      </c>
      <c r="L1428" s="21">
        <v>-21.96</v>
      </c>
    </row>
    <row r="1429" spans="1:12" ht="45" x14ac:dyDescent="0.25">
      <c r="A1429" s="10">
        <v>1424</v>
      </c>
      <c r="B1429" t="s">
        <v>550</v>
      </c>
      <c r="C1429" t="s">
        <v>17</v>
      </c>
      <c r="D1429" t="s">
        <v>372</v>
      </c>
      <c r="E1429" s="52" t="s">
        <v>373</v>
      </c>
      <c r="F1429" t="s">
        <v>551</v>
      </c>
      <c r="G1429" s="21">
        <v>0</v>
      </c>
      <c r="H1429" s="21">
        <v>0</v>
      </c>
      <c r="I1429" s="21">
        <v>-158959.09</v>
      </c>
      <c r="J1429" s="21">
        <v>0</v>
      </c>
      <c r="K1429" s="21">
        <v>3179.18</v>
      </c>
      <c r="L1429" s="21">
        <v>-155779.91</v>
      </c>
    </row>
    <row r="1430" spans="1:12" ht="45" x14ac:dyDescent="0.25">
      <c r="A1430" s="10">
        <v>1425</v>
      </c>
      <c r="B1430" t="s">
        <v>550</v>
      </c>
      <c r="C1430" t="s">
        <v>17</v>
      </c>
      <c r="D1430" t="s">
        <v>372</v>
      </c>
      <c r="E1430" s="52" t="s">
        <v>373</v>
      </c>
      <c r="F1430" t="s">
        <v>552</v>
      </c>
      <c r="G1430" s="21">
        <v>0</v>
      </c>
      <c r="H1430" s="21">
        <v>0</v>
      </c>
      <c r="I1430" s="21">
        <v>-11.43</v>
      </c>
      <c r="J1430" s="21">
        <v>0</v>
      </c>
      <c r="K1430" s="21">
        <v>0.23</v>
      </c>
      <c r="L1430" s="21">
        <v>-11.2</v>
      </c>
    </row>
    <row r="1431" spans="1:12" ht="30" x14ac:dyDescent="0.25">
      <c r="A1431" s="10">
        <v>1426</v>
      </c>
      <c r="B1431" t="s">
        <v>550</v>
      </c>
      <c r="C1431" t="s">
        <v>13</v>
      </c>
      <c r="D1431" t="s">
        <v>374</v>
      </c>
      <c r="E1431" s="52" t="s">
        <v>375</v>
      </c>
      <c r="F1431" t="s">
        <v>551</v>
      </c>
      <c r="G1431" s="21">
        <v>0</v>
      </c>
      <c r="H1431" s="21">
        <v>0</v>
      </c>
      <c r="I1431" s="21">
        <v>0</v>
      </c>
      <c r="J1431" s="21">
        <v>-17658.07</v>
      </c>
      <c r="K1431" s="21">
        <v>0</v>
      </c>
      <c r="L1431" s="21">
        <v>-17658.07</v>
      </c>
    </row>
    <row r="1432" spans="1:12" ht="30" x14ac:dyDescent="0.25">
      <c r="A1432" s="10">
        <v>1427</v>
      </c>
      <c r="B1432" t="s">
        <v>550</v>
      </c>
      <c r="C1432" t="s">
        <v>13</v>
      </c>
      <c r="D1432" t="s">
        <v>374</v>
      </c>
      <c r="E1432" s="52" t="s">
        <v>375</v>
      </c>
      <c r="F1432" t="s">
        <v>551</v>
      </c>
      <c r="G1432" s="21">
        <v>0</v>
      </c>
      <c r="H1432" s="21">
        <v>0</v>
      </c>
      <c r="I1432" s="21">
        <v>0</v>
      </c>
      <c r="J1432" s="21">
        <v>-1672</v>
      </c>
      <c r="K1432" s="21">
        <v>0</v>
      </c>
      <c r="L1432" s="21">
        <v>-1672</v>
      </c>
    </row>
    <row r="1433" spans="1:12" ht="30" x14ac:dyDescent="0.25">
      <c r="A1433" s="10">
        <v>1428</v>
      </c>
      <c r="B1433" t="s">
        <v>550</v>
      </c>
      <c r="C1433" t="s">
        <v>17</v>
      </c>
      <c r="D1433" t="s">
        <v>374</v>
      </c>
      <c r="E1433" s="52" t="s">
        <v>375</v>
      </c>
      <c r="F1433" t="s">
        <v>551</v>
      </c>
      <c r="G1433" s="21">
        <v>-147150.57999999999</v>
      </c>
      <c r="H1433" s="21">
        <v>0</v>
      </c>
      <c r="I1433" s="21">
        <v>0</v>
      </c>
      <c r="J1433" s="21">
        <v>0</v>
      </c>
      <c r="K1433" s="21">
        <v>2943.01</v>
      </c>
      <c r="L1433" s="21">
        <v>-144207.57</v>
      </c>
    </row>
    <row r="1434" spans="1:12" ht="30" x14ac:dyDescent="0.25">
      <c r="A1434" s="10">
        <v>1429</v>
      </c>
      <c r="B1434" t="s">
        <v>550</v>
      </c>
      <c r="C1434" t="s">
        <v>17</v>
      </c>
      <c r="D1434" t="s">
        <v>374</v>
      </c>
      <c r="E1434" s="52" t="s">
        <v>375</v>
      </c>
      <c r="F1434" t="s">
        <v>551</v>
      </c>
      <c r="G1434" s="21">
        <v>-13933.33</v>
      </c>
      <c r="H1434" s="21">
        <v>0</v>
      </c>
      <c r="I1434" s="21">
        <v>0</v>
      </c>
      <c r="J1434" s="21">
        <v>0</v>
      </c>
      <c r="K1434" s="21">
        <v>278.67</v>
      </c>
      <c r="L1434" s="21">
        <v>-13654.66</v>
      </c>
    </row>
    <row r="1435" spans="1:12" ht="30" x14ac:dyDescent="0.25">
      <c r="A1435" s="10">
        <v>1430</v>
      </c>
      <c r="B1435" t="s">
        <v>550</v>
      </c>
      <c r="C1435" t="s">
        <v>13</v>
      </c>
      <c r="D1435" t="s">
        <v>374</v>
      </c>
      <c r="E1435" s="52" t="s">
        <v>375</v>
      </c>
      <c r="F1435" t="s">
        <v>552</v>
      </c>
      <c r="G1435" s="21">
        <v>0</v>
      </c>
      <c r="H1435" s="21">
        <v>0</v>
      </c>
      <c r="I1435" s="21">
        <v>0</v>
      </c>
      <c r="J1435" s="21">
        <v>-1.27</v>
      </c>
      <c r="K1435" s="21">
        <v>0</v>
      </c>
      <c r="L1435" s="21">
        <v>-1.27</v>
      </c>
    </row>
    <row r="1436" spans="1:12" ht="30" x14ac:dyDescent="0.25">
      <c r="A1436" s="10">
        <v>1431</v>
      </c>
      <c r="B1436" t="s">
        <v>550</v>
      </c>
      <c r="C1436" t="s">
        <v>13</v>
      </c>
      <c r="D1436" t="s">
        <v>374</v>
      </c>
      <c r="E1436" s="52" t="s">
        <v>375</v>
      </c>
      <c r="F1436" t="s">
        <v>552</v>
      </c>
      <c r="G1436" s="21">
        <v>0</v>
      </c>
      <c r="H1436" s="21">
        <v>0</v>
      </c>
      <c r="I1436" s="21">
        <v>0</v>
      </c>
      <c r="J1436" s="21">
        <v>-0.12</v>
      </c>
      <c r="K1436" s="21">
        <v>0</v>
      </c>
      <c r="L1436" s="21">
        <v>-0.12</v>
      </c>
    </row>
    <row r="1437" spans="1:12" ht="30" x14ac:dyDescent="0.25">
      <c r="A1437" s="10">
        <v>1432</v>
      </c>
      <c r="B1437" t="s">
        <v>550</v>
      </c>
      <c r="C1437" t="s">
        <v>17</v>
      </c>
      <c r="D1437" t="s">
        <v>374</v>
      </c>
      <c r="E1437" s="52" t="s">
        <v>375</v>
      </c>
      <c r="F1437" t="s">
        <v>552</v>
      </c>
      <c r="G1437" s="21">
        <v>-10.58</v>
      </c>
      <c r="H1437" s="21">
        <v>0</v>
      </c>
      <c r="I1437" s="21">
        <v>0</v>
      </c>
      <c r="J1437" s="21">
        <v>0</v>
      </c>
      <c r="K1437" s="21">
        <v>0.21</v>
      </c>
      <c r="L1437" s="21">
        <v>-10.37</v>
      </c>
    </row>
    <row r="1438" spans="1:12" ht="30" x14ac:dyDescent="0.25">
      <c r="A1438" s="10">
        <v>1433</v>
      </c>
      <c r="B1438" t="s">
        <v>550</v>
      </c>
      <c r="C1438" t="s">
        <v>17</v>
      </c>
      <c r="D1438" t="s">
        <v>374</v>
      </c>
      <c r="E1438" s="52" t="s">
        <v>375</v>
      </c>
      <c r="F1438" t="s">
        <v>552</v>
      </c>
      <c r="G1438" s="21">
        <v>-1</v>
      </c>
      <c r="H1438" s="21">
        <v>0</v>
      </c>
      <c r="I1438" s="21">
        <v>0</v>
      </c>
      <c r="J1438" s="21">
        <v>0</v>
      </c>
      <c r="K1438" s="21">
        <v>0.02</v>
      </c>
      <c r="L1438" s="21">
        <v>-0.98</v>
      </c>
    </row>
    <row r="1439" spans="1:12" ht="30" x14ac:dyDescent="0.25">
      <c r="A1439" s="10">
        <v>1434</v>
      </c>
      <c r="B1439" t="s">
        <v>18</v>
      </c>
      <c r="C1439" t="s">
        <v>17</v>
      </c>
      <c r="D1439" t="s">
        <v>376</v>
      </c>
      <c r="E1439" s="52" t="s">
        <v>377</v>
      </c>
      <c r="F1439" t="s">
        <v>19</v>
      </c>
      <c r="G1439" s="21">
        <v>-1.07</v>
      </c>
      <c r="H1439" s="21">
        <v>0</v>
      </c>
      <c r="I1439" s="21">
        <v>0</v>
      </c>
      <c r="J1439" s="21">
        <v>0</v>
      </c>
      <c r="K1439" s="21">
        <v>0.95</v>
      </c>
      <c r="L1439" s="21">
        <v>-0.12</v>
      </c>
    </row>
    <row r="1440" spans="1:12" ht="30" x14ac:dyDescent="0.25">
      <c r="A1440" s="10">
        <v>1435</v>
      </c>
      <c r="B1440" t="s">
        <v>18</v>
      </c>
      <c r="C1440" t="s">
        <v>17</v>
      </c>
      <c r="D1440" t="s">
        <v>376</v>
      </c>
      <c r="E1440" s="52" t="s">
        <v>377</v>
      </c>
      <c r="F1440" t="s">
        <v>19</v>
      </c>
      <c r="G1440" s="21">
        <v>-0.83</v>
      </c>
      <c r="H1440" s="21">
        <v>0</v>
      </c>
      <c r="I1440" s="21">
        <v>0</v>
      </c>
      <c r="J1440" s="21">
        <v>0</v>
      </c>
      <c r="K1440" s="21">
        <v>0.73</v>
      </c>
      <c r="L1440" s="21">
        <v>-0.1</v>
      </c>
    </row>
    <row r="1441" spans="1:12" ht="30" x14ac:dyDescent="0.25">
      <c r="A1441" s="10">
        <v>1436</v>
      </c>
      <c r="B1441" t="s">
        <v>550</v>
      </c>
      <c r="C1441" t="s">
        <v>13</v>
      </c>
      <c r="D1441" t="s">
        <v>376</v>
      </c>
      <c r="E1441" s="52" t="s">
        <v>377</v>
      </c>
      <c r="F1441" t="s">
        <v>551</v>
      </c>
      <c r="G1441" s="21">
        <v>0</v>
      </c>
      <c r="H1441" s="21">
        <v>0</v>
      </c>
      <c r="I1441" s="21">
        <v>0</v>
      </c>
      <c r="J1441" s="21">
        <v>-75.75</v>
      </c>
      <c r="K1441" s="21">
        <v>0</v>
      </c>
      <c r="L1441" s="21">
        <v>-75.75</v>
      </c>
    </row>
    <row r="1442" spans="1:12" ht="30" x14ac:dyDescent="0.25">
      <c r="A1442" s="10">
        <v>1437</v>
      </c>
      <c r="B1442" t="s">
        <v>550</v>
      </c>
      <c r="C1442" t="s">
        <v>17</v>
      </c>
      <c r="D1442" t="s">
        <v>376</v>
      </c>
      <c r="E1442" s="52" t="s">
        <v>377</v>
      </c>
      <c r="F1442" t="s">
        <v>551</v>
      </c>
      <c r="G1442" s="21">
        <v>-631.28</v>
      </c>
      <c r="H1442" s="21">
        <v>0</v>
      </c>
      <c r="I1442" s="21">
        <v>0</v>
      </c>
      <c r="J1442" s="21">
        <v>0</v>
      </c>
      <c r="K1442" s="21">
        <v>12.63</v>
      </c>
      <c r="L1442" s="21">
        <v>-618.65</v>
      </c>
    </row>
    <row r="1443" spans="1:12" ht="30" x14ac:dyDescent="0.25">
      <c r="A1443" s="10">
        <v>1438</v>
      </c>
      <c r="B1443" t="s">
        <v>550</v>
      </c>
      <c r="C1443" t="s">
        <v>13</v>
      </c>
      <c r="D1443" t="s">
        <v>376</v>
      </c>
      <c r="E1443" s="52" t="s">
        <v>377</v>
      </c>
      <c r="F1443" t="s">
        <v>552</v>
      </c>
      <c r="G1443" s="21">
        <v>0</v>
      </c>
      <c r="H1443" s="21">
        <v>0</v>
      </c>
      <c r="I1443" s="21">
        <v>0</v>
      </c>
      <c r="J1443" s="21">
        <v>-0.01</v>
      </c>
      <c r="K1443" s="21">
        <v>0</v>
      </c>
      <c r="L1443" s="21">
        <v>-0.01</v>
      </c>
    </row>
    <row r="1444" spans="1:12" ht="30" x14ac:dyDescent="0.25">
      <c r="A1444" s="10">
        <v>1439</v>
      </c>
      <c r="B1444" t="s">
        <v>550</v>
      </c>
      <c r="C1444" t="s">
        <v>17</v>
      </c>
      <c r="D1444" t="s">
        <v>376</v>
      </c>
      <c r="E1444" s="52" t="s">
        <v>377</v>
      </c>
      <c r="F1444" t="s">
        <v>552</v>
      </c>
      <c r="G1444" s="21">
        <v>-0.05</v>
      </c>
      <c r="H1444" s="21">
        <v>0</v>
      </c>
      <c r="I1444" s="21">
        <v>0</v>
      </c>
      <c r="J1444" s="21">
        <v>0</v>
      </c>
      <c r="K1444" s="21">
        <v>0</v>
      </c>
      <c r="L1444" s="21">
        <v>-0.05</v>
      </c>
    </row>
    <row r="1445" spans="1:12" ht="30" x14ac:dyDescent="0.25">
      <c r="A1445" s="10">
        <v>1440</v>
      </c>
      <c r="B1445" t="s">
        <v>550</v>
      </c>
      <c r="C1445" t="s">
        <v>13</v>
      </c>
      <c r="D1445" t="s">
        <v>378</v>
      </c>
      <c r="E1445" s="52" t="s">
        <v>379</v>
      </c>
      <c r="F1445" t="s">
        <v>551</v>
      </c>
      <c r="G1445" s="21">
        <v>0</v>
      </c>
      <c r="H1445" s="21">
        <v>0</v>
      </c>
      <c r="I1445" s="21">
        <v>0</v>
      </c>
      <c r="J1445" s="21">
        <v>-6441.49</v>
      </c>
      <c r="K1445" s="21">
        <v>0</v>
      </c>
      <c r="L1445" s="21">
        <v>-6441.49</v>
      </c>
    </row>
    <row r="1446" spans="1:12" ht="30" x14ac:dyDescent="0.25">
      <c r="A1446" s="10">
        <v>1441</v>
      </c>
      <c r="B1446" t="s">
        <v>550</v>
      </c>
      <c r="C1446" t="s">
        <v>17</v>
      </c>
      <c r="D1446" t="s">
        <v>378</v>
      </c>
      <c r="E1446" s="52" t="s">
        <v>379</v>
      </c>
      <c r="F1446" t="s">
        <v>551</v>
      </c>
      <c r="G1446" s="21">
        <v>-53679.08</v>
      </c>
      <c r="H1446" s="21">
        <v>0</v>
      </c>
      <c r="I1446" s="21">
        <v>0</v>
      </c>
      <c r="J1446" s="21">
        <v>0</v>
      </c>
      <c r="K1446" s="21">
        <v>1073.58</v>
      </c>
      <c r="L1446" s="21">
        <v>-52605.5</v>
      </c>
    </row>
    <row r="1447" spans="1:12" ht="30" x14ac:dyDescent="0.25">
      <c r="A1447" s="10">
        <v>1442</v>
      </c>
      <c r="B1447" t="s">
        <v>550</v>
      </c>
      <c r="C1447" t="s">
        <v>13</v>
      </c>
      <c r="D1447" t="s">
        <v>378</v>
      </c>
      <c r="E1447" s="52" t="s">
        <v>379</v>
      </c>
      <c r="F1447" t="s">
        <v>552</v>
      </c>
      <c r="G1447" s="21">
        <v>0</v>
      </c>
      <c r="H1447" s="21">
        <v>0</v>
      </c>
      <c r="I1447" s="21">
        <v>0</v>
      </c>
      <c r="J1447" s="21">
        <v>-0.46</v>
      </c>
      <c r="K1447" s="21">
        <v>0</v>
      </c>
      <c r="L1447" s="21">
        <v>-0.46</v>
      </c>
    </row>
    <row r="1448" spans="1:12" ht="30" x14ac:dyDescent="0.25">
      <c r="A1448" s="10">
        <v>1443</v>
      </c>
      <c r="B1448" t="s">
        <v>550</v>
      </c>
      <c r="C1448" t="s">
        <v>17</v>
      </c>
      <c r="D1448" t="s">
        <v>378</v>
      </c>
      <c r="E1448" s="52" t="s">
        <v>379</v>
      </c>
      <c r="F1448" t="s">
        <v>552</v>
      </c>
      <c r="G1448" s="21">
        <v>-3.86</v>
      </c>
      <c r="H1448" s="21">
        <v>0</v>
      </c>
      <c r="I1448" s="21">
        <v>0</v>
      </c>
      <c r="J1448" s="21">
        <v>0</v>
      </c>
      <c r="K1448" s="21">
        <v>0.08</v>
      </c>
      <c r="L1448" s="21">
        <v>-3.78</v>
      </c>
    </row>
    <row r="1449" spans="1:12" ht="30" x14ac:dyDescent="0.25">
      <c r="A1449" s="10">
        <v>1444</v>
      </c>
      <c r="B1449" t="s">
        <v>18</v>
      </c>
      <c r="C1449" t="s">
        <v>17</v>
      </c>
      <c r="D1449" t="s">
        <v>380</v>
      </c>
      <c r="E1449" s="52" t="s">
        <v>381</v>
      </c>
      <c r="F1449" t="s">
        <v>19</v>
      </c>
      <c r="G1449" s="21">
        <v>-5.64</v>
      </c>
      <c r="H1449" s="21">
        <v>0</v>
      </c>
      <c r="I1449" s="21">
        <v>0</v>
      </c>
      <c r="J1449" s="21">
        <v>0</v>
      </c>
      <c r="K1449" s="21">
        <v>5</v>
      </c>
      <c r="L1449" s="21">
        <v>-0.64</v>
      </c>
    </row>
    <row r="1450" spans="1:12" ht="30" x14ac:dyDescent="0.25">
      <c r="A1450" s="10">
        <v>1445</v>
      </c>
      <c r="B1450" t="s">
        <v>550</v>
      </c>
      <c r="C1450" t="s">
        <v>17</v>
      </c>
      <c r="D1450" t="s">
        <v>380</v>
      </c>
      <c r="E1450" s="52" t="s">
        <v>381</v>
      </c>
      <c r="F1450" t="s">
        <v>551</v>
      </c>
      <c r="G1450" s="21">
        <v>-154333.15</v>
      </c>
      <c r="H1450" s="21">
        <v>0</v>
      </c>
      <c r="I1450" s="21">
        <v>0</v>
      </c>
      <c r="J1450" s="21">
        <v>0</v>
      </c>
      <c r="K1450" s="21">
        <v>3086.66</v>
      </c>
      <c r="L1450" s="21">
        <v>-151246.49</v>
      </c>
    </row>
    <row r="1451" spans="1:12" ht="30" x14ac:dyDescent="0.25">
      <c r="A1451" s="10">
        <v>1446</v>
      </c>
      <c r="B1451" t="s">
        <v>550</v>
      </c>
      <c r="C1451" t="s">
        <v>17</v>
      </c>
      <c r="D1451" t="s">
        <v>380</v>
      </c>
      <c r="E1451" s="52" t="s">
        <v>381</v>
      </c>
      <c r="F1451" t="s">
        <v>552</v>
      </c>
      <c r="G1451" s="21">
        <v>-11.1</v>
      </c>
      <c r="H1451" s="21">
        <v>0</v>
      </c>
      <c r="I1451" s="21">
        <v>0</v>
      </c>
      <c r="J1451" s="21">
        <v>0</v>
      </c>
      <c r="K1451" s="21">
        <v>0.22</v>
      </c>
      <c r="L1451" s="21">
        <v>-10.88</v>
      </c>
    </row>
    <row r="1452" spans="1:12" ht="30" x14ac:dyDescent="0.25">
      <c r="A1452" s="10">
        <v>1447</v>
      </c>
      <c r="B1452" t="s">
        <v>18</v>
      </c>
      <c r="C1452" t="s">
        <v>17</v>
      </c>
      <c r="D1452" t="s">
        <v>382</v>
      </c>
      <c r="E1452" s="52" t="s">
        <v>383</v>
      </c>
      <c r="F1452" t="s">
        <v>19</v>
      </c>
      <c r="G1452" s="21">
        <v>-5.87</v>
      </c>
      <c r="H1452" s="21">
        <v>0</v>
      </c>
      <c r="I1452" s="21">
        <v>0</v>
      </c>
      <c r="J1452" s="21">
        <v>0</v>
      </c>
      <c r="K1452" s="21">
        <v>5.21</v>
      </c>
      <c r="L1452" s="21">
        <v>-0.66</v>
      </c>
    </row>
    <row r="1453" spans="1:12" ht="30" x14ac:dyDescent="0.25">
      <c r="A1453" s="10">
        <v>1448</v>
      </c>
      <c r="B1453" t="s">
        <v>550</v>
      </c>
      <c r="C1453" t="s">
        <v>13</v>
      </c>
      <c r="D1453" t="s">
        <v>382</v>
      </c>
      <c r="E1453" s="52" t="s">
        <v>383</v>
      </c>
      <c r="F1453" t="s">
        <v>551</v>
      </c>
      <c r="G1453" s="21">
        <v>0</v>
      </c>
      <c r="H1453" s="21">
        <v>0</v>
      </c>
      <c r="I1453" s="21">
        <v>0</v>
      </c>
      <c r="J1453" s="21">
        <v>-14448.52</v>
      </c>
      <c r="K1453" s="21">
        <v>0</v>
      </c>
      <c r="L1453" s="21">
        <v>-14448.52</v>
      </c>
    </row>
    <row r="1454" spans="1:12" ht="30" x14ac:dyDescent="0.25">
      <c r="A1454" s="10">
        <v>1449</v>
      </c>
      <c r="B1454" t="s">
        <v>550</v>
      </c>
      <c r="C1454" t="s">
        <v>17</v>
      </c>
      <c r="D1454" t="s">
        <v>382</v>
      </c>
      <c r="E1454" s="52" t="s">
        <v>383</v>
      </c>
      <c r="F1454" t="s">
        <v>551</v>
      </c>
      <c r="G1454" s="21">
        <v>-120404.37</v>
      </c>
      <c r="H1454" s="21">
        <v>0</v>
      </c>
      <c r="I1454" s="21">
        <v>0</v>
      </c>
      <c r="J1454" s="21">
        <v>0</v>
      </c>
      <c r="K1454" s="21">
        <v>2408.09</v>
      </c>
      <c r="L1454" s="21">
        <v>-117996.28</v>
      </c>
    </row>
    <row r="1455" spans="1:12" ht="30" x14ac:dyDescent="0.25">
      <c r="A1455" s="10">
        <v>1450</v>
      </c>
      <c r="B1455" t="s">
        <v>550</v>
      </c>
      <c r="C1455" t="s">
        <v>13</v>
      </c>
      <c r="D1455" t="s">
        <v>382</v>
      </c>
      <c r="E1455" s="52" t="s">
        <v>383</v>
      </c>
      <c r="F1455" t="s">
        <v>552</v>
      </c>
      <c r="G1455" s="21">
        <v>0</v>
      </c>
      <c r="H1455" s="21">
        <v>0</v>
      </c>
      <c r="I1455" s="21">
        <v>0</v>
      </c>
      <c r="J1455" s="21">
        <v>-1.04</v>
      </c>
      <c r="K1455" s="21">
        <v>0</v>
      </c>
      <c r="L1455" s="21">
        <v>-1.04</v>
      </c>
    </row>
    <row r="1456" spans="1:12" ht="30" x14ac:dyDescent="0.25">
      <c r="A1456" s="10">
        <v>1451</v>
      </c>
      <c r="B1456" t="s">
        <v>550</v>
      </c>
      <c r="C1456" t="s">
        <v>17</v>
      </c>
      <c r="D1456" t="s">
        <v>382</v>
      </c>
      <c r="E1456" s="52" t="s">
        <v>383</v>
      </c>
      <c r="F1456" t="s">
        <v>552</v>
      </c>
      <c r="G1456" s="21">
        <v>-8.66</v>
      </c>
      <c r="H1456" s="21">
        <v>0</v>
      </c>
      <c r="I1456" s="21">
        <v>0</v>
      </c>
      <c r="J1456" s="21">
        <v>0</v>
      </c>
      <c r="K1456" s="21">
        <v>0.17</v>
      </c>
      <c r="L1456" s="21">
        <v>-8.49</v>
      </c>
    </row>
    <row r="1457" spans="1:12" ht="30" x14ac:dyDescent="0.25">
      <c r="A1457" s="10">
        <v>1452</v>
      </c>
      <c r="B1457" t="s">
        <v>18</v>
      </c>
      <c r="C1457" t="s">
        <v>17</v>
      </c>
      <c r="D1457" t="s">
        <v>384</v>
      </c>
      <c r="E1457" s="52" t="s">
        <v>385</v>
      </c>
      <c r="F1457" t="s">
        <v>19</v>
      </c>
      <c r="G1457" s="21">
        <v>0</v>
      </c>
      <c r="H1457" s="21">
        <v>0</v>
      </c>
      <c r="I1457" s="21">
        <v>0</v>
      </c>
      <c r="J1457" s="21">
        <v>0</v>
      </c>
      <c r="K1457" s="21">
        <v>0</v>
      </c>
      <c r="L1457" s="21">
        <v>0</v>
      </c>
    </row>
    <row r="1458" spans="1:12" x14ac:dyDescent="0.25">
      <c r="A1458" s="10">
        <v>1453</v>
      </c>
      <c r="B1458" t="s">
        <v>559</v>
      </c>
      <c r="C1458" t="s">
        <v>17</v>
      </c>
      <c r="D1458" t="s">
        <v>386</v>
      </c>
      <c r="E1458" s="52" t="s">
        <v>387</v>
      </c>
      <c r="F1458" t="s">
        <v>560</v>
      </c>
      <c r="G1458" s="21">
        <v>0</v>
      </c>
      <c r="H1458" s="21">
        <v>0</v>
      </c>
      <c r="I1458" s="21">
        <v>-0.16</v>
      </c>
      <c r="J1458" s="21">
        <v>0</v>
      </c>
      <c r="K1458" s="21">
        <v>0</v>
      </c>
      <c r="L1458" s="21">
        <v>-0.16</v>
      </c>
    </row>
    <row r="1459" spans="1:12" x14ac:dyDescent="0.25">
      <c r="A1459" s="10">
        <v>1454</v>
      </c>
      <c r="B1459" t="s">
        <v>18</v>
      </c>
      <c r="C1459" t="s">
        <v>17</v>
      </c>
      <c r="D1459" t="s">
        <v>386</v>
      </c>
      <c r="E1459" s="52" t="s">
        <v>387</v>
      </c>
      <c r="F1459" t="s">
        <v>19</v>
      </c>
      <c r="G1459" s="21">
        <v>0</v>
      </c>
      <c r="H1459" s="21">
        <v>0</v>
      </c>
      <c r="I1459" s="21">
        <v>-15.76</v>
      </c>
      <c r="J1459" s="21">
        <v>0</v>
      </c>
      <c r="K1459" s="21">
        <v>1.85</v>
      </c>
      <c r="L1459" s="21">
        <v>-13.91</v>
      </c>
    </row>
    <row r="1460" spans="1:12" x14ac:dyDescent="0.25">
      <c r="A1460" s="10">
        <v>1455</v>
      </c>
      <c r="B1460" t="s">
        <v>550</v>
      </c>
      <c r="C1460" t="s">
        <v>17</v>
      </c>
      <c r="D1460" t="s">
        <v>386</v>
      </c>
      <c r="E1460" s="52" t="s">
        <v>387</v>
      </c>
      <c r="F1460" t="s">
        <v>551</v>
      </c>
      <c r="G1460" s="21">
        <v>0</v>
      </c>
      <c r="H1460" s="21">
        <v>0</v>
      </c>
      <c r="I1460" s="21">
        <v>-237.51</v>
      </c>
      <c r="J1460" s="21">
        <v>0</v>
      </c>
      <c r="K1460" s="21">
        <v>4.75</v>
      </c>
      <c r="L1460" s="21">
        <v>-232.76</v>
      </c>
    </row>
    <row r="1461" spans="1:12" x14ac:dyDescent="0.25">
      <c r="A1461" s="10">
        <v>1456</v>
      </c>
      <c r="B1461" t="s">
        <v>550</v>
      </c>
      <c r="C1461" t="s">
        <v>17</v>
      </c>
      <c r="D1461" t="s">
        <v>386</v>
      </c>
      <c r="E1461" s="52" t="s">
        <v>387</v>
      </c>
      <c r="F1461" t="s">
        <v>551</v>
      </c>
      <c r="G1461" s="21">
        <v>0</v>
      </c>
      <c r="H1461" s="21">
        <v>0</v>
      </c>
      <c r="I1461" s="21">
        <v>-5511.92</v>
      </c>
      <c r="J1461" s="21">
        <v>0</v>
      </c>
      <c r="K1461" s="21">
        <v>110.24</v>
      </c>
      <c r="L1461" s="21">
        <v>-5401.68</v>
      </c>
    </row>
    <row r="1462" spans="1:12" x14ac:dyDescent="0.25">
      <c r="A1462" s="10">
        <v>1457</v>
      </c>
      <c r="B1462" t="s">
        <v>550</v>
      </c>
      <c r="C1462" t="s">
        <v>17</v>
      </c>
      <c r="D1462" t="s">
        <v>386</v>
      </c>
      <c r="E1462" s="52" t="s">
        <v>387</v>
      </c>
      <c r="F1462" t="s">
        <v>552</v>
      </c>
      <c r="G1462" s="21">
        <v>0</v>
      </c>
      <c r="H1462" s="21">
        <v>0</v>
      </c>
      <c r="I1462" s="21">
        <v>-0.02</v>
      </c>
      <c r="J1462" s="21">
        <v>0</v>
      </c>
      <c r="K1462" s="21">
        <v>0</v>
      </c>
      <c r="L1462" s="21">
        <v>-0.02</v>
      </c>
    </row>
    <row r="1463" spans="1:12" x14ac:dyDescent="0.25">
      <c r="A1463" s="10">
        <v>1458</v>
      </c>
      <c r="B1463" t="s">
        <v>550</v>
      </c>
      <c r="C1463" t="s">
        <v>17</v>
      </c>
      <c r="D1463" t="s">
        <v>386</v>
      </c>
      <c r="E1463" s="52" t="s">
        <v>387</v>
      </c>
      <c r="F1463" t="s">
        <v>552</v>
      </c>
      <c r="G1463" s="21">
        <v>0</v>
      </c>
      <c r="H1463" s="21">
        <v>0</v>
      </c>
      <c r="I1463" s="21">
        <v>-0.4</v>
      </c>
      <c r="J1463" s="21">
        <v>0</v>
      </c>
      <c r="K1463" s="21">
        <v>0.01</v>
      </c>
      <c r="L1463" s="21">
        <v>-0.39</v>
      </c>
    </row>
    <row r="1464" spans="1:12" x14ac:dyDescent="0.25">
      <c r="A1464" s="10">
        <v>1459</v>
      </c>
      <c r="B1464" t="s">
        <v>18</v>
      </c>
      <c r="C1464" t="s">
        <v>17</v>
      </c>
      <c r="D1464" t="s">
        <v>388</v>
      </c>
      <c r="E1464" s="52" t="s">
        <v>389</v>
      </c>
      <c r="F1464" t="s">
        <v>19</v>
      </c>
      <c r="G1464" s="21">
        <v>0</v>
      </c>
      <c r="H1464" s="21">
        <v>0</v>
      </c>
      <c r="I1464" s="21">
        <v>-0.19</v>
      </c>
      <c r="J1464" s="21">
        <v>0</v>
      </c>
      <c r="K1464" s="21">
        <v>0.02</v>
      </c>
      <c r="L1464" s="21">
        <v>-0.17</v>
      </c>
    </row>
    <row r="1465" spans="1:12" x14ac:dyDescent="0.25">
      <c r="A1465" s="10">
        <v>1460</v>
      </c>
      <c r="B1465" t="s">
        <v>18</v>
      </c>
      <c r="C1465" t="s">
        <v>17</v>
      </c>
      <c r="D1465" t="s">
        <v>388</v>
      </c>
      <c r="E1465" s="52" t="s">
        <v>389</v>
      </c>
      <c r="F1465" t="s">
        <v>19</v>
      </c>
      <c r="G1465" s="21">
        <v>0</v>
      </c>
      <c r="H1465" s="21">
        <v>0</v>
      </c>
      <c r="I1465" s="21">
        <v>-0.05</v>
      </c>
      <c r="J1465" s="21">
        <v>0</v>
      </c>
      <c r="K1465" s="21">
        <v>0.01</v>
      </c>
      <c r="L1465" s="21">
        <v>-0.04</v>
      </c>
    </row>
    <row r="1466" spans="1:12" x14ac:dyDescent="0.25">
      <c r="A1466" s="10">
        <v>1461</v>
      </c>
      <c r="B1466" t="s">
        <v>550</v>
      </c>
      <c r="C1466" t="s">
        <v>17</v>
      </c>
      <c r="D1466" t="s">
        <v>625</v>
      </c>
      <c r="E1466" s="52" t="s">
        <v>389</v>
      </c>
      <c r="F1466" t="s">
        <v>551</v>
      </c>
      <c r="G1466" s="21">
        <v>0</v>
      </c>
      <c r="H1466" s="21">
        <v>0</v>
      </c>
      <c r="I1466" s="21">
        <v>-47.87</v>
      </c>
      <c r="J1466" s="21">
        <v>0</v>
      </c>
      <c r="K1466" s="21">
        <v>0.96</v>
      </c>
      <c r="L1466" s="21">
        <v>-46.91</v>
      </c>
    </row>
    <row r="1467" spans="1:12" x14ac:dyDescent="0.25">
      <c r="A1467" s="10">
        <v>1462</v>
      </c>
      <c r="B1467" t="s">
        <v>550</v>
      </c>
      <c r="C1467" t="s">
        <v>17</v>
      </c>
      <c r="D1467" t="s">
        <v>625</v>
      </c>
      <c r="E1467" s="52" t="s">
        <v>389</v>
      </c>
      <c r="F1467" t="s">
        <v>551</v>
      </c>
      <c r="G1467" s="21">
        <v>0</v>
      </c>
      <c r="H1467" s="21">
        <v>0</v>
      </c>
      <c r="I1467" s="21">
        <v>-402.14</v>
      </c>
      <c r="J1467" s="21">
        <v>0</v>
      </c>
      <c r="K1467" s="21">
        <v>8.0399999999999991</v>
      </c>
      <c r="L1467" s="21">
        <v>-394.1</v>
      </c>
    </row>
    <row r="1468" spans="1:12" x14ac:dyDescent="0.25">
      <c r="A1468" s="10">
        <v>1463</v>
      </c>
      <c r="B1468" t="s">
        <v>550</v>
      </c>
      <c r="C1468" t="s">
        <v>17</v>
      </c>
      <c r="D1468" t="s">
        <v>625</v>
      </c>
      <c r="E1468" s="52" t="s">
        <v>389</v>
      </c>
      <c r="F1468" t="s">
        <v>552</v>
      </c>
      <c r="G1468" s="21">
        <v>0</v>
      </c>
      <c r="H1468" s="21">
        <v>0</v>
      </c>
      <c r="I1468" s="21">
        <v>-0.03</v>
      </c>
      <c r="J1468" s="21">
        <v>0</v>
      </c>
      <c r="K1468" s="21">
        <v>0</v>
      </c>
      <c r="L1468" s="21">
        <v>-0.03</v>
      </c>
    </row>
    <row r="1469" spans="1:12" x14ac:dyDescent="0.25">
      <c r="A1469" s="10">
        <v>1464</v>
      </c>
      <c r="B1469" t="s">
        <v>550</v>
      </c>
      <c r="C1469" t="s">
        <v>17</v>
      </c>
      <c r="D1469" t="s">
        <v>390</v>
      </c>
      <c r="E1469" s="52" t="s">
        <v>389</v>
      </c>
      <c r="F1469" t="s">
        <v>551</v>
      </c>
      <c r="G1469" s="21">
        <v>0</v>
      </c>
      <c r="H1469" s="21">
        <v>0</v>
      </c>
      <c r="I1469" s="21">
        <v>-15.93</v>
      </c>
      <c r="J1469" s="21">
        <v>0</v>
      </c>
      <c r="K1469" s="21">
        <v>0.32</v>
      </c>
      <c r="L1469" s="21">
        <v>-15.61</v>
      </c>
    </row>
    <row r="1470" spans="1:12" x14ac:dyDescent="0.25">
      <c r="A1470" s="10">
        <v>1465</v>
      </c>
      <c r="B1470" t="s">
        <v>550</v>
      </c>
      <c r="C1470" t="s">
        <v>17</v>
      </c>
      <c r="D1470" t="s">
        <v>390</v>
      </c>
      <c r="E1470" s="52" t="s">
        <v>389</v>
      </c>
      <c r="F1470" t="s">
        <v>551</v>
      </c>
      <c r="G1470" s="21">
        <v>0</v>
      </c>
      <c r="H1470" s="21">
        <v>0</v>
      </c>
      <c r="I1470" s="21">
        <v>-108.37</v>
      </c>
      <c r="J1470" s="21">
        <v>0</v>
      </c>
      <c r="K1470" s="21">
        <v>2.17</v>
      </c>
      <c r="L1470" s="21">
        <v>-106.2</v>
      </c>
    </row>
    <row r="1471" spans="1:12" x14ac:dyDescent="0.25">
      <c r="A1471" s="10">
        <v>1466</v>
      </c>
      <c r="B1471" t="s">
        <v>550</v>
      </c>
      <c r="C1471" t="s">
        <v>17</v>
      </c>
      <c r="D1471" t="s">
        <v>390</v>
      </c>
      <c r="E1471" s="52" t="s">
        <v>389</v>
      </c>
      <c r="F1471" t="s">
        <v>552</v>
      </c>
      <c r="G1471" s="21">
        <v>0</v>
      </c>
      <c r="H1471" s="21">
        <v>0</v>
      </c>
      <c r="I1471" s="21">
        <v>-0.01</v>
      </c>
      <c r="J1471" s="21">
        <v>0</v>
      </c>
      <c r="K1471" s="21">
        <v>0</v>
      </c>
      <c r="L1471" s="21">
        <v>-0.01</v>
      </c>
    </row>
    <row r="1472" spans="1:12" ht="30" x14ac:dyDescent="0.25">
      <c r="A1472" s="10">
        <v>1467</v>
      </c>
      <c r="B1472" t="s">
        <v>550</v>
      </c>
      <c r="C1472" t="s">
        <v>17</v>
      </c>
      <c r="D1472" t="s">
        <v>626</v>
      </c>
      <c r="E1472" s="52" t="s">
        <v>392</v>
      </c>
      <c r="F1472" t="s">
        <v>551</v>
      </c>
      <c r="G1472" s="21">
        <v>0</v>
      </c>
      <c r="H1472" s="21">
        <v>0</v>
      </c>
      <c r="I1472" s="21">
        <v>-1.68</v>
      </c>
      <c r="J1472" s="21">
        <v>0</v>
      </c>
      <c r="K1472" s="21">
        <v>0.03</v>
      </c>
      <c r="L1472" s="21">
        <v>-1.65</v>
      </c>
    </row>
    <row r="1473" spans="1:12" ht="45" x14ac:dyDescent="0.25">
      <c r="A1473" s="10">
        <v>1468</v>
      </c>
      <c r="B1473" t="s">
        <v>555</v>
      </c>
      <c r="C1473" t="s">
        <v>17</v>
      </c>
      <c r="D1473" t="s">
        <v>393</v>
      </c>
      <c r="E1473" s="52" t="s">
        <v>26</v>
      </c>
      <c r="F1473" t="s">
        <v>556</v>
      </c>
      <c r="G1473" s="21">
        <v>-4.99</v>
      </c>
      <c r="H1473" s="21">
        <v>0</v>
      </c>
      <c r="I1473" s="21">
        <v>0</v>
      </c>
      <c r="J1473" s="21">
        <v>0</v>
      </c>
      <c r="K1473" s="21">
        <v>0.1</v>
      </c>
      <c r="L1473" s="21">
        <v>-4.8899999999999997</v>
      </c>
    </row>
    <row r="1474" spans="1:12" ht="45" x14ac:dyDescent="0.25">
      <c r="A1474" s="10">
        <v>1469</v>
      </c>
      <c r="B1474" t="s">
        <v>555</v>
      </c>
      <c r="C1474" t="s">
        <v>13</v>
      </c>
      <c r="D1474" t="s">
        <v>393</v>
      </c>
      <c r="E1474" s="52" t="s">
        <v>26</v>
      </c>
      <c r="F1474" t="s">
        <v>556</v>
      </c>
      <c r="G1474" s="21">
        <v>0</v>
      </c>
      <c r="H1474" s="21">
        <v>0</v>
      </c>
      <c r="I1474" s="21">
        <v>0</v>
      </c>
      <c r="J1474" s="21">
        <v>-0.6</v>
      </c>
      <c r="K1474" s="21">
        <v>0</v>
      </c>
      <c r="L1474" s="21">
        <v>-0.6</v>
      </c>
    </row>
    <row r="1475" spans="1:12" ht="45" x14ac:dyDescent="0.25">
      <c r="A1475" s="10">
        <v>1470</v>
      </c>
      <c r="B1475" t="s">
        <v>557</v>
      </c>
      <c r="C1475" t="s">
        <v>17</v>
      </c>
      <c r="D1475" t="s">
        <v>393</v>
      </c>
      <c r="E1475" s="52" t="s">
        <v>26</v>
      </c>
      <c r="F1475" t="s">
        <v>558</v>
      </c>
      <c r="G1475" s="21">
        <v>-4.18</v>
      </c>
      <c r="H1475" s="21">
        <v>0</v>
      </c>
      <c r="I1475" s="21">
        <v>0</v>
      </c>
      <c r="J1475" s="21">
        <v>0</v>
      </c>
      <c r="K1475" s="21">
        <v>0.08</v>
      </c>
      <c r="L1475" s="21">
        <v>-4.0999999999999996</v>
      </c>
    </row>
    <row r="1476" spans="1:12" ht="45" x14ac:dyDescent="0.25">
      <c r="A1476" s="10">
        <v>1471</v>
      </c>
      <c r="B1476" t="s">
        <v>557</v>
      </c>
      <c r="C1476" t="s">
        <v>13</v>
      </c>
      <c r="D1476" t="s">
        <v>393</v>
      </c>
      <c r="E1476" s="52" t="s">
        <v>26</v>
      </c>
      <c r="F1476" t="s">
        <v>558</v>
      </c>
      <c r="G1476" s="21">
        <v>0</v>
      </c>
      <c r="H1476" s="21">
        <v>0</v>
      </c>
      <c r="I1476" s="21">
        <v>0</v>
      </c>
      <c r="J1476" s="21">
        <v>-0.5</v>
      </c>
      <c r="K1476" s="21">
        <v>0</v>
      </c>
      <c r="L1476" s="21">
        <v>-0.5</v>
      </c>
    </row>
    <row r="1477" spans="1:12" ht="45" x14ac:dyDescent="0.25">
      <c r="A1477" s="10">
        <v>1472</v>
      </c>
      <c r="B1477" t="s">
        <v>18</v>
      </c>
      <c r="C1477" t="s">
        <v>17</v>
      </c>
      <c r="D1477" t="s">
        <v>393</v>
      </c>
      <c r="E1477" s="52" t="s">
        <v>26</v>
      </c>
      <c r="F1477" t="s">
        <v>19</v>
      </c>
      <c r="G1477" s="21">
        <v>-0.06</v>
      </c>
      <c r="H1477" s="21">
        <v>0</v>
      </c>
      <c r="I1477" s="21">
        <v>0</v>
      </c>
      <c r="J1477" s="21">
        <v>0</v>
      </c>
      <c r="K1477" s="21">
        <v>0.05</v>
      </c>
      <c r="L1477" s="21">
        <v>-0.01</v>
      </c>
    </row>
    <row r="1478" spans="1:12" ht="45" x14ac:dyDescent="0.25">
      <c r="A1478" s="10">
        <v>1473</v>
      </c>
      <c r="B1478" t="s">
        <v>18</v>
      </c>
      <c r="C1478" t="s">
        <v>17</v>
      </c>
      <c r="D1478" t="s">
        <v>393</v>
      </c>
      <c r="E1478" s="52" t="s">
        <v>26</v>
      </c>
      <c r="F1478" t="s">
        <v>19</v>
      </c>
      <c r="G1478" s="21">
        <v>-12.11</v>
      </c>
      <c r="H1478" s="21">
        <v>0</v>
      </c>
      <c r="I1478" s="21">
        <v>0</v>
      </c>
      <c r="J1478" s="21">
        <v>0</v>
      </c>
      <c r="K1478" s="21">
        <v>10.74</v>
      </c>
      <c r="L1478" s="21">
        <v>-1.37</v>
      </c>
    </row>
    <row r="1479" spans="1:12" ht="45" x14ac:dyDescent="0.25">
      <c r="A1479" s="10">
        <v>1474</v>
      </c>
      <c r="B1479" t="s">
        <v>550</v>
      </c>
      <c r="C1479" t="s">
        <v>17</v>
      </c>
      <c r="D1479" t="s">
        <v>393</v>
      </c>
      <c r="E1479" s="52" t="s">
        <v>26</v>
      </c>
      <c r="F1479" t="s">
        <v>551</v>
      </c>
      <c r="G1479" s="21">
        <v>-52204.05</v>
      </c>
      <c r="H1479" s="21">
        <v>0</v>
      </c>
      <c r="I1479" s="21">
        <v>0</v>
      </c>
      <c r="J1479" s="21">
        <v>0</v>
      </c>
      <c r="K1479" s="21">
        <v>1044.08</v>
      </c>
      <c r="L1479" s="21">
        <v>-51159.97</v>
      </c>
    </row>
    <row r="1480" spans="1:12" ht="45" x14ac:dyDescent="0.25">
      <c r="A1480" s="10">
        <v>1475</v>
      </c>
      <c r="B1480" t="s">
        <v>550</v>
      </c>
      <c r="C1480" t="s">
        <v>13</v>
      </c>
      <c r="D1480" t="s">
        <v>393</v>
      </c>
      <c r="E1480" s="52" t="s">
        <v>26</v>
      </c>
      <c r="F1480" t="s">
        <v>551</v>
      </c>
      <c r="G1480" s="21">
        <v>0</v>
      </c>
      <c r="H1480" s="21">
        <v>0</v>
      </c>
      <c r="I1480" s="21">
        <v>0</v>
      </c>
      <c r="J1480" s="21">
        <v>-6264.49</v>
      </c>
      <c r="K1480" s="21">
        <v>0</v>
      </c>
      <c r="L1480" s="21">
        <v>-6264.49</v>
      </c>
    </row>
    <row r="1481" spans="1:12" ht="45" x14ac:dyDescent="0.25">
      <c r="A1481" s="10">
        <v>1476</v>
      </c>
      <c r="B1481" t="s">
        <v>550</v>
      </c>
      <c r="C1481" t="s">
        <v>17</v>
      </c>
      <c r="D1481" t="s">
        <v>393</v>
      </c>
      <c r="E1481" s="52" t="s">
        <v>26</v>
      </c>
      <c r="F1481" t="s">
        <v>552</v>
      </c>
      <c r="G1481" s="21">
        <v>-3.75</v>
      </c>
      <c r="H1481" s="21">
        <v>0</v>
      </c>
      <c r="I1481" s="21">
        <v>0</v>
      </c>
      <c r="J1481" s="21">
        <v>0</v>
      </c>
      <c r="K1481" s="21">
        <v>0.08</v>
      </c>
      <c r="L1481" s="21">
        <v>-3.67</v>
      </c>
    </row>
    <row r="1482" spans="1:12" ht="45" x14ac:dyDescent="0.25">
      <c r="A1482" s="10">
        <v>1477</v>
      </c>
      <c r="B1482" t="s">
        <v>550</v>
      </c>
      <c r="C1482" t="s">
        <v>13</v>
      </c>
      <c r="D1482" t="s">
        <v>393</v>
      </c>
      <c r="E1482" s="52" t="s">
        <v>26</v>
      </c>
      <c r="F1482" t="s">
        <v>552</v>
      </c>
      <c r="G1482" s="21">
        <v>0</v>
      </c>
      <c r="H1482" s="21">
        <v>0</v>
      </c>
      <c r="I1482" s="21">
        <v>0</v>
      </c>
      <c r="J1482" s="21">
        <v>-0.45</v>
      </c>
      <c r="K1482" s="21">
        <v>0</v>
      </c>
      <c r="L1482" s="21">
        <v>-0.45</v>
      </c>
    </row>
    <row r="1483" spans="1:12" ht="30" x14ac:dyDescent="0.25">
      <c r="A1483" s="10">
        <v>1478</v>
      </c>
      <c r="B1483" t="s">
        <v>18</v>
      </c>
      <c r="C1483" t="s">
        <v>17</v>
      </c>
      <c r="D1483" t="s">
        <v>394</v>
      </c>
      <c r="E1483" s="52" t="s">
        <v>395</v>
      </c>
      <c r="F1483" t="s">
        <v>19</v>
      </c>
      <c r="G1483" s="21">
        <v>0</v>
      </c>
      <c r="H1483" s="21">
        <v>0</v>
      </c>
      <c r="I1483" s="21">
        <v>0</v>
      </c>
      <c r="J1483" s="21">
        <v>0</v>
      </c>
      <c r="K1483" s="21">
        <v>0</v>
      </c>
      <c r="L1483" s="21">
        <v>0</v>
      </c>
    </row>
    <row r="1484" spans="1:12" ht="30" x14ac:dyDescent="0.25">
      <c r="A1484" s="10">
        <v>1479</v>
      </c>
      <c r="B1484" t="s">
        <v>550</v>
      </c>
      <c r="C1484" t="s">
        <v>13</v>
      </c>
      <c r="D1484" t="s">
        <v>394</v>
      </c>
      <c r="E1484" s="52" t="s">
        <v>395</v>
      </c>
      <c r="F1484" t="s">
        <v>551</v>
      </c>
      <c r="G1484" s="21">
        <v>0</v>
      </c>
      <c r="H1484" s="21">
        <v>0</v>
      </c>
      <c r="I1484" s="21">
        <v>0</v>
      </c>
      <c r="J1484" s="21">
        <v>-26.64</v>
      </c>
      <c r="K1484" s="21">
        <v>0</v>
      </c>
      <c r="L1484" s="21">
        <v>-26.64</v>
      </c>
    </row>
    <row r="1485" spans="1:12" ht="30" x14ac:dyDescent="0.25">
      <c r="A1485" s="10">
        <v>1480</v>
      </c>
      <c r="B1485" t="s">
        <v>550</v>
      </c>
      <c r="C1485" t="s">
        <v>17</v>
      </c>
      <c r="D1485" t="s">
        <v>394</v>
      </c>
      <c r="E1485" s="52" t="s">
        <v>395</v>
      </c>
      <c r="F1485" t="s">
        <v>551</v>
      </c>
      <c r="G1485" s="21">
        <v>-221.97</v>
      </c>
      <c r="H1485" s="21">
        <v>0</v>
      </c>
      <c r="I1485" s="21">
        <v>0</v>
      </c>
      <c r="J1485" s="21">
        <v>0</v>
      </c>
      <c r="K1485" s="21">
        <v>4.4400000000000004</v>
      </c>
      <c r="L1485" s="21">
        <v>-217.53</v>
      </c>
    </row>
    <row r="1486" spans="1:12" ht="30" x14ac:dyDescent="0.25">
      <c r="A1486" s="10">
        <v>1481</v>
      </c>
      <c r="B1486" t="s">
        <v>550</v>
      </c>
      <c r="C1486" t="s">
        <v>13</v>
      </c>
      <c r="D1486" t="s">
        <v>394</v>
      </c>
      <c r="E1486" s="52" t="s">
        <v>395</v>
      </c>
      <c r="F1486" t="s">
        <v>552</v>
      </c>
      <c r="G1486" s="21">
        <v>0</v>
      </c>
      <c r="H1486" s="21">
        <v>0</v>
      </c>
      <c r="I1486" s="21">
        <v>0</v>
      </c>
      <c r="J1486" s="21">
        <v>0</v>
      </c>
      <c r="K1486" s="21">
        <v>0</v>
      </c>
      <c r="L1486" s="21">
        <v>0</v>
      </c>
    </row>
    <row r="1487" spans="1:12" ht="30" x14ac:dyDescent="0.25">
      <c r="A1487" s="10">
        <v>1482</v>
      </c>
      <c r="B1487" t="s">
        <v>550</v>
      </c>
      <c r="C1487" t="s">
        <v>17</v>
      </c>
      <c r="D1487" t="s">
        <v>394</v>
      </c>
      <c r="E1487" s="52" t="s">
        <v>395</v>
      </c>
      <c r="F1487" t="s">
        <v>552</v>
      </c>
      <c r="G1487" s="21">
        <v>-0.02</v>
      </c>
      <c r="H1487" s="21">
        <v>0</v>
      </c>
      <c r="I1487" s="21">
        <v>0</v>
      </c>
      <c r="J1487" s="21">
        <v>0</v>
      </c>
      <c r="K1487" s="21">
        <v>0</v>
      </c>
      <c r="L1487" s="21">
        <v>-0.02</v>
      </c>
    </row>
    <row r="1488" spans="1:12" x14ac:dyDescent="0.25">
      <c r="A1488" s="10">
        <v>1483</v>
      </c>
      <c r="B1488" t="s">
        <v>555</v>
      </c>
      <c r="C1488" t="s">
        <v>17</v>
      </c>
      <c r="D1488" t="s">
        <v>396</v>
      </c>
      <c r="E1488" s="52" t="s">
        <v>397</v>
      </c>
      <c r="F1488" t="s">
        <v>556</v>
      </c>
      <c r="G1488" s="21">
        <v>-3.61</v>
      </c>
      <c r="H1488" s="21">
        <v>0</v>
      </c>
      <c r="I1488" s="21">
        <v>0</v>
      </c>
      <c r="J1488" s="21">
        <v>0</v>
      </c>
      <c r="K1488" s="21">
        <v>7.0000000000000007E-2</v>
      </c>
      <c r="L1488" s="21">
        <v>-3.54</v>
      </c>
    </row>
    <row r="1489" spans="1:12" x14ac:dyDescent="0.25">
      <c r="A1489" s="10">
        <v>1484</v>
      </c>
      <c r="B1489" t="s">
        <v>555</v>
      </c>
      <c r="C1489" t="s">
        <v>17</v>
      </c>
      <c r="D1489" t="s">
        <v>396</v>
      </c>
      <c r="E1489" s="52" t="s">
        <v>397</v>
      </c>
      <c r="F1489" t="s">
        <v>556</v>
      </c>
      <c r="G1489" s="21">
        <v>-1.41</v>
      </c>
      <c r="H1489" s="21">
        <v>0</v>
      </c>
      <c r="I1489" s="21">
        <v>0</v>
      </c>
      <c r="J1489" s="21">
        <v>0</v>
      </c>
      <c r="K1489" s="21">
        <v>0.03</v>
      </c>
      <c r="L1489" s="21">
        <v>-1.38</v>
      </c>
    </row>
    <row r="1490" spans="1:12" x14ac:dyDescent="0.25">
      <c r="A1490" s="10">
        <v>1485</v>
      </c>
      <c r="B1490" t="s">
        <v>555</v>
      </c>
      <c r="C1490" t="s">
        <v>13</v>
      </c>
      <c r="D1490" t="s">
        <v>396</v>
      </c>
      <c r="E1490" s="52" t="s">
        <v>397</v>
      </c>
      <c r="F1490" t="s">
        <v>556</v>
      </c>
      <c r="G1490" s="21">
        <v>0</v>
      </c>
      <c r="H1490" s="21">
        <v>0</v>
      </c>
      <c r="I1490" s="21">
        <v>0</v>
      </c>
      <c r="J1490" s="21">
        <v>-0.43</v>
      </c>
      <c r="K1490" s="21">
        <v>0</v>
      </c>
      <c r="L1490" s="21">
        <v>-0.43</v>
      </c>
    </row>
    <row r="1491" spans="1:12" x14ac:dyDescent="0.25">
      <c r="A1491" s="10">
        <v>1486</v>
      </c>
      <c r="B1491" t="s">
        <v>555</v>
      </c>
      <c r="C1491" t="s">
        <v>13</v>
      </c>
      <c r="D1491" t="s">
        <v>396</v>
      </c>
      <c r="E1491" s="52" t="s">
        <v>397</v>
      </c>
      <c r="F1491" t="s">
        <v>556</v>
      </c>
      <c r="G1491" s="21">
        <v>0</v>
      </c>
      <c r="H1491" s="21">
        <v>0</v>
      </c>
      <c r="I1491" s="21">
        <v>0</v>
      </c>
      <c r="J1491" s="21">
        <v>-0.17</v>
      </c>
      <c r="K1491" s="21">
        <v>0</v>
      </c>
      <c r="L1491" s="21">
        <v>-0.17</v>
      </c>
    </row>
    <row r="1492" spans="1:12" x14ac:dyDescent="0.25">
      <c r="A1492" s="10">
        <v>1487</v>
      </c>
      <c r="B1492" t="s">
        <v>557</v>
      </c>
      <c r="C1492" t="s">
        <v>17</v>
      </c>
      <c r="D1492" t="s">
        <v>396</v>
      </c>
      <c r="E1492" s="52" t="s">
        <v>397</v>
      </c>
      <c r="F1492" t="s">
        <v>558</v>
      </c>
      <c r="G1492" s="21">
        <v>-13.82</v>
      </c>
      <c r="H1492" s="21">
        <v>0</v>
      </c>
      <c r="I1492" s="21">
        <v>0</v>
      </c>
      <c r="J1492" s="21">
        <v>0</v>
      </c>
      <c r="K1492" s="21">
        <v>0.28000000000000003</v>
      </c>
      <c r="L1492" s="21">
        <v>-13.54</v>
      </c>
    </row>
    <row r="1493" spans="1:12" x14ac:dyDescent="0.25">
      <c r="A1493" s="10">
        <v>1488</v>
      </c>
      <c r="B1493" t="s">
        <v>557</v>
      </c>
      <c r="C1493" t="s">
        <v>17</v>
      </c>
      <c r="D1493" t="s">
        <v>396</v>
      </c>
      <c r="E1493" s="52" t="s">
        <v>397</v>
      </c>
      <c r="F1493" t="s">
        <v>558</v>
      </c>
      <c r="G1493" s="21">
        <v>-0.89</v>
      </c>
      <c r="H1493" s="21">
        <v>0</v>
      </c>
      <c r="I1493" s="21">
        <v>0</v>
      </c>
      <c r="J1493" s="21">
        <v>0</v>
      </c>
      <c r="K1493" s="21">
        <v>0.02</v>
      </c>
      <c r="L1493" s="21">
        <v>-0.87</v>
      </c>
    </row>
    <row r="1494" spans="1:12" x14ac:dyDescent="0.25">
      <c r="A1494" s="10">
        <v>1489</v>
      </c>
      <c r="B1494" t="s">
        <v>557</v>
      </c>
      <c r="C1494" t="s">
        <v>13</v>
      </c>
      <c r="D1494" t="s">
        <v>396</v>
      </c>
      <c r="E1494" s="52" t="s">
        <v>397</v>
      </c>
      <c r="F1494" t="s">
        <v>558</v>
      </c>
      <c r="G1494" s="21">
        <v>0</v>
      </c>
      <c r="H1494" s="21">
        <v>0</v>
      </c>
      <c r="I1494" s="21">
        <v>0</v>
      </c>
      <c r="J1494" s="21">
        <v>-1.66</v>
      </c>
      <c r="K1494" s="21">
        <v>0</v>
      </c>
      <c r="L1494" s="21">
        <v>-1.66</v>
      </c>
    </row>
    <row r="1495" spans="1:12" x14ac:dyDescent="0.25">
      <c r="A1495" s="10">
        <v>1490</v>
      </c>
      <c r="B1495" t="s">
        <v>557</v>
      </c>
      <c r="C1495" t="s">
        <v>13</v>
      </c>
      <c r="D1495" t="s">
        <v>396</v>
      </c>
      <c r="E1495" s="52" t="s">
        <v>397</v>
      </c>
      <c r="F1495" t="s">
        <v>558</v>
      </c>
      <c r="G1495" s="21">
        <v>0</v>
      </c>
      <c r="H1495" s="21">
        <v>0</v>
      </c>
      <c r="I1495" s="21">
        <v>0</v>
      </c>
      <c r="J1495" s="21">
        <v>-0.11</v>
      </c>
      <c r="K1495" s="21">
        <v>0</v>
      </c>
      <c r="L1495" s="21">
        <v>-0.11</v>
      </c>
    </row>
    <row r="1496" spans="1:12" x14ac:dyDescent="0.25">
      <c r="A1496" s="10">
        <v>1491</v>
      </c>
      <c r="B1496" t="s">
        <v>18</v>
      </c>
      <c r="C1496" t="s">
        <v>17</v>
      </c>
      <c r="D1496" t="s">
        <v>396</v>
      </c>
      <c r="E1496" s="52" t="s">
        <v>397</v>
      </c>
      <c r="F1496" t="s">
        <v>19</v>
      </c>
      <c r="G1496" s="21">
        <v>-0.02</v>
      </c>
      <c r="H1496" s="21">
        <v>0</v>
      </c>
      <c r="I1496" s="21">
        <v>0</v>
      </c>
      <c r="J1496" s="21">
        <v>0</v>
      </c>
      <c r="K1496" s="21">
        <v>0.01</v>
      </c>
      <c r="L1496" s="21">
        <v>-0.01</v>
      </c>
    </row>
    <row r="1497" spans="1:12" x14ac:dyDescent="0.25">
      <c r="A1497" s="10">
        <v>1492</v>
      </c>
      <c r="B1497" t="s">
        <v>550</v>
      </c>
      <c r="C1497" t="s">
        <v>13</v>
      </c>
      <c r="D1497" t="s">
        <v>396</v>
      </c>
      <c r="E1497" s="52" t="s">
        <v>397</v>
      </c>
      <c r="F1497" t="s">
        <v>551</v>
      </c>
      <c r="G1497" s="21">
        <v>0</v>
      </c>
      <c r="H1497" s="21">
        <v>0</v>
      </c>
      <c r="I1497" s="21">
        <v>0</v>
      </c>
      <c r="J1497" s="21">
        <v>-205.64</v>
      </c>
      <c r="K1497" s="21">
        <v>0</v>
      </c>
      <c r="L1497" s="21">
        <v>-205.64</v>
      </c>
    </row>
    <row r="1498" spans="1:12" x14ac:dyDescent="0.25">
      <c r="A1498" s="10">
        <v>1493</v>
      </c>
      <c r="B1498" t="s">
        <v>550</v>
      </c>
      <c r="C1498" t="s">
        <v>13</v>
      </c>
      <c r="D1498" t="s">
        <v>396</v>
      </c>
      <c r="E1498" s="52" t="s">
        <v>397</v>
      </c>
      <c r="F1498" t="s">
        <v>551</v>
      </c>
      <c r="G1498" s="21">
        <v>0</v>
      </c>
      <c r="H1498" s="21">
        <v>0</v>
      </c>
      <c r="I1498" s="21">
        <v>0</v>
      </c>
      <c r="J1498" s="21">
        <v>-29.21</v>
      </c>
      <c r="K1498" s="21">
        <v>0</v>
      </c>
      <c r="L1498" s="21">
        <v>-29.21</v>
      </c>
    </row>
    <row r="1499" spans="1:12" x14ac:dyDescent="0.25">
      <c r="A1499" s="10">
        <v>1494</v>
      </c>
      <c r="B1499" t="s">
        <v>550</v>
      </c>
      <c r="C1499" t="s">
        <v>17</v>
      </c>
      <c r="D1499" t="s">
        <v>396</v>
      </c>
      <c r="E1499" s="52" t="s">
        <v>397</v>
      </c>
      <c r="F1499" t="s">
        <v>551</v>
      </c>
      <c r="G1499" s="21">
        <v>-1713.69</v>
      </c>
      <c r="H1499" s="21">
        <v>0</v>
      </c>
      <c r="I1499" s="21">
        <v>0</v>
      </c>
      <c r="J1499" s="21">
        <v>0</v>
      </c>
      <c r="K1499" s="21">
        <v>34.270000000000003</v>
      </c>
      <c r="L1499" s="21">
        <v>-1679.42</v>
      </c>
    </row>
    <row r="1500" spans="1:12" x14ac:dyDescent="0.25">
      <c r="A1500" s="10">
        <v>1495</v>
      </c>
      <c r="B1500" t="s">
        <v>550</v>
      </c>
      <c r="C1500" t="s">
        <v>17</v>
      </c>
      <c r="D1500" t="s">
        <v>396</v>
      </c>
      <c r="E1500" s="52" t="s">
        <v>397</v>
      </c>
      <c r="F1500" t="s">
        <v>551</v>
      </c>
      <c r="G1500" s="21">
        <v>-243.43</v>
      </c>
      <c r="H1500" s="21">
        <v>0</v>
      </c>
      <c r="I1500" s="21">
        <v>0</v>
      </c>
      <c r="J1500" s="21">
        <v>0</v>
      </c>
      <c r="K1500" s="21">
        <v>4.87</v>
      </c>
      <c r="L1500" s="21">
        <v>-238.56</v>
      </c>
    </row>
    <row r="1501" spans="1:12" x14ac:dyDescent="0.25">
      <c r="A1501" s="10">
        <v>1496</v>
      </c>
      <c r="B1501" t="s">
        <v>550</v>
      </c>
      <c r="C1501" t="s">
        <v>13</v>
      </c>
      <c r="D1501" t="s">
        <v>396</v>
      </c>
      <c r="E1501" s="52" t="s">
        <v>397</v>
      </c>
      <c r="F1501" t="s">
        <v>552</v>
      </c>
      <c r="G1501" s="21">
        <v>0</v>
      </c>
      <c r="H1501" s="21">
        <v>0</v>
      </c>
      <c r="I1501" s="21">
        <v>0</v>
      </c>
      <c r="J1501" s="21">
        <v>-0.01</v>
      </c>
      <c r="K1501" s="21">
        <v>0</v>
      </c>
      <c r="L1501" s="21">
        <v>-0.01</v>
      </c>
    </row>
    <row r="1502" spans="1:12" x14ac:dyDescent="0.25">
      <c r="A1502" s="10">
        <v>1497</v>
      </c>
      <c r="B1502" t="s">
        <v>550</v>
      </c>
      <c r="C1502" t="s">
        <v>13</v>
      </c>
      <c r="D1502" t="s">
        <v>396</v>
      </c>
      <c r="E1502" s="52" t="s">
        <v>397</v>
      </c>
      <c r="F1502" t="s">
        <v>552</v>
      </c>
      <c r="G1502" s="21">
        <v>0</v>
      </c>
      <c r="H1502" s="21">
        <v>0</v>
      </c>
      <c r="I1502" s="21">
        <v>0</v>
      </c>
      <c r="J1502" s="21">
        <v>0</v>
      </c>
      <c r="K1502" s="21">
        <v>0</v>
      </c>
      <c r="L1502" s="21">
        <v>0</v>
      </c>
    </row>
    <row r="1503" spans="1:12" x14ac:dyDescent="0.25">
      <c r="A1503" s="10">
        <v>1498</v>
      </c>
      <c r="B1503" t="s">
        <v>550</v>
      </c>
      <c r="C1503" t="s">
        <v>17</v>
      </c>
      <c r="D1503" t="s">
        <v>396</v>
      </c>
      <c r="E1503" s="52" t="s">
        <v>397</v>
      </c>
      <c r="F1503" t="s">
        <v>552</v>
      </c>
      <c r="G1503" s="21">
        <v>-0.12</v>
      </c>
      <c r="H1503" s="21">
        <v>0</v>
      </c>
      <c r="I1503" s="21">
        <v>0</v>
      </c>
      <c r="J1503" s="21">
        <v>0</v>
      </c>
      <c r="K1503" s="21">
        <v>0</v>
      </c>
      <c r="L1503" s="21">
        <v>-0.12</v>
      </c>
    </row>
    <row r="1504" spans="1:12" x14ac:dyDescent="0.25">
      <c r="A1504" s="10">
        <v>1499</v>
      </c>
      <c r="B1504" t="s">
        <v>550</v>
      </c>
      <c r="C1504" t="s">
        <v>17</v>
      </c>
      <c r="D1504" t="s">
        <v>396</v>
      </c>
      <c r="E1504" s="52" t="s">
        <v>397</v>
      </c>
      <c r="F1504" t="s">
        <v>552</v>
      </c>
      <c r="G1504" s="21">
        <v>-0.02</v>
      </c>
      <c r="H1504" s="21">
        <v>0</v>
      </c>
      <c r="I1504" s="21">
        <v>0</v>
      </c>
      <c r="J1504" s="21">
        <v>0</v>
      </c>
      <c r="K1504" s="21">
        <v>0</v>
      </c>
      <c r="L1504" s="21">
        <v>-0.02</v>
      </c>
    </row>
    <row r="1505" spans="1:12" ht="30" x14ac:dyDescent="0.25">
      <c r="A1505" s="10">
        <v>1500</v>
      </c>
      <c r="B1505" t="s">
        <v>550</v>
      </c>
      <c r="C1505" t="s">
        <v>17</v>
      </c>
      <c r="D1505" t="s">
        <v>627</v>
      </c>
      <c r="E1505" s="52" t="s">
        <v>398</v>
      </c>
      <c r="F1505" t="s">
        <v>551</v>
      </c>
      <c r="G1505" s="21">
        <v>0</v>
      </c>
      <c r="H1505" s="21">
        <v>0</v>
      </c>
      <c r="I1505" s="21">
        <v>-2.31</v>
      </c>
      <c r="J1505" s="21">
        <v>0</v>
      </c>
      <c r="K1505" s="21">
        <v>0.05</v>
      </c>
      <c r="L1505" s="21">
        <v>-2.2599999999999998</v>
      </c>
    </row>
    <row r="1506" spans="1:12" ht="30" x14ac:dyDescent="0.25">
      <c r="A1506" s="10">
        <v>1501</v>
      </c>
      <c r="B1506" t="s">
        <v>550</v>
      </c>
      <c r="C1506" t="s">
        <v>17</v>
      </c>
      <c r="D1506" t="s">
        <v>628</v>
      </c>
      <c r="E1506" s="52" t="s">
        <v>398</v>
      </c>
      <c r="F1506" t="s">
        <v>551</v>
      </c>
      <c r="G1506" s="21">
        <v>0</v>
      </c>
      <c r="H1506" s="21">
        <v>0</v>
      </c>
      <c r="I1506" s="21">
        <v>-3.24</v>
      </c>
      <c r="J1506" s="21">
        <v>0</v>
      </c>
      <c r="K1506" s="21">
        <v>0.06</v>
      </c>
      <c r="L1506" s="21">
        <v>-3.18</v>
      </c>
    </row>
    <row r="1507" spans="1:12" ht="45" x14ac:dyDescent="0.25">
      <c r="A1507" s="10">
        <v>1502</v>
      </c>
      <c r="B1507" t="s">
        <v>550</v>
      </c>
      <c r="C1507" t="s">
        <v>17</v>
      </c>
      <c r="D1507" t="s">
        <v>399</v>
      </c>
      <c r="E1507" s="52" t="s">
        <v>400</v>
      </c>
      <c r="F1507" t="s">
        <v>551</v>
      </c>
      <c r="G1507" s="21">
        <v>0</v>
      </c>
      <c r="H1507" s="21">
        <v>0</v>
      </c>
      <c r="I1507" s="21">
        <v>-1.1100000000000001</v>
      </c>
      <c r="J1507" s="21">
        <v>0</v>
      </c>
      <c r="K1507" s="21">
        <v>0.02</v>
      </c>
      <c r="L1507" s="21">
        <v>-1.0900000000000001</v>
      </c>
    </row>
    <row r="1508" spans="1:12" x14ac:dyDescent="0.25">
      <c r="A1508" s="10">
        <v>1503</v>
      </c>
      <c r="B1508" t="s">
        <v>555</v>
      </c>
      <c r="C1508" t="s">
        <v>17</v>
      </c>
      <c r="D1508" t="s">
        <v>401</v>
      </c>
      <c r="E1508" s="52" t="s">
        <v>402</v>
      </c>
      <c r="F1508" t="s">
        <v>556</v>
      </c>
      <c r="G1508" s="21">
        <v>-746.43</v>
      </c>
      <c r="H1508" s="21">
        <v>0</v>
      </c>
      <c r="I1508" s="21">
        <v>0</v>
      </c>
      <c r="J1508" s="21">
        <v>0</v>
      </c>
      <c r="K1508" s="21">
        <v>14.93</v>
      </c>
      <c r="L1508" s="21">
        <v>-731.5</v>
      </c>
    </row>
    <row r="1509" spans="1:12" x14ac:dyDescent="0.25">
      <c r="A1509" s="10">
        <v>1504</v>
      </c>
      <c r="B1509" t="s">
        <v>555</v>
      </c>
      <c r="C1509" t="s">
        <v>13</v>
      </c>
      <c r="D1509" t="s">
        <v>401</v>
      </c>
      <c r="E1509" s="52" t="s">
        <v>402</v>
      </c>
      <c r="F1509" t="s">
        <v>556</v>
      </c>
      <c r="G1509" s="21">
        <v>0</v>
      </c>
      <c r="H1509" s="21">
        <v>0</v>
      </c>
      <c r="I1509" s="21">
        <v>0</v>
      </c>
      <c r="J1509" s="21">
        <v>-89.57</v>
      </c>
      <c r="K1509" s="21">
        <v>0</v>
      </c>
      <c r="L1509" s="21">
        <v>-89.57</v>
      </c>
    </row>
    <row r="1510" spans="1:12" x14ac:dyDescent="0.25">
      <c r="A1510" s="10">
        <v>1505</v>
      </c>
      <c r="B1510" t="s">
        <v>557</v>
      </c>
      <c r="C1510" t="s">
        <v>17</v>
      </c>
      <c r="D1510" t="s">
        <v>401</v>
      </c>
      <c r="E1510" s="52" t="s">
        <v>402</v>
      </c>
      <c r="F1510" t="s">
        <v>558</v>
      </c>
      <c r="G1510" s="21">
        <v>-369.44</v>
      </c>
      <c r="H1510" s="21">
        <v>0</v>
      </c>
      <c r="I1510" s="21">
        <v>0</v>
      </c>
      <c r="J1510" s="21">
        <v>0</v>
      </c>
      <c r="K1510" s="21">
        <v>7.39</v>
      </c>
      <c r="L1510" s="21">
        <v>-362.05</v>
      </c>
    </row>
    <row r="1511" spans="1:12" x14ac:dyDescent="0.25">
      <c r="A1511" s="10">
        <v>1506</v>
      </c>
      <c r="B1511" t="s">
        <v>557</v>
      </c>
      <c r="C1511" t="s">
        <v>13</v>
      </c>
      <c r="D1511" t="s">
        <v>401</v>
      </c>
      <c r="E1511" s="52" t="s">
        <v>402</v>
      </c>
      <c r="F1511" t="s">
        <v>558</v>
      </c>
      <c r="G1511" s="21">
        <v>0</v>
      </c>
      <c r="H1511" s="21">
        <v>0</v>
      </c>
      <c r="I1511" s="21">
        <v>0</v>
      </c>
      <c r="J1511" s="21">
        <v>-44.33</v>
      </c>
      <c r="K1511" s="21">
        <v>0</v>
      </c>
      <c r="L1511" s="21">
        <v>-44.33</v>
      </c>
    </row>
    <row r="1512" spans="1:12" x14ac:dyDescent="0.25">
      <c r="A1512" s="10">
        <v>1507</v>
      </c>
      <c r="B1512" t="s">
        <v>18</v>
      </c>
      <c r="C1512" t="s">
        <v>17</v>
      </c>
      <c r="D1512" t="s">
        <v>401</v>
      </c>
      <c r="E1512" s="52" t="s">
        <v>402</v>
      </c>
      <c r="F1512" t="s">
        <v>19</v>
      </c>
      <c r="G1512" s="21">
        <v>-0.84</v>
      </c>
      <c r="H1512" s="21">
        <v>0</v>
      </c>
      <c r="I1512" s="21">
        <v>0</v>
      </c>
      <c r="J1512" s="21">
        <v>0</v>
      </c>
      <c r="K1512" s="21">
        <v>0.74</v>
      </c>
      <c r="L1512" s="21">
        <v>-0.1</v>
      </c>
    </row>
    <row r="1513" spans="1:12" x14ac:dyDescent="0.25">
      <c r="A1513" s="10">
        <v>1508</v>
      </c>
      <c r="B1513" t="s">
        <v>550</v>
      </c>
      <c r="C1513" t="s">
        <v>13</v>
      </c>
      <c r="D1513" t="s">
        <v>401</v>
      </c>
      <c r="E1513" s="52" t="s">
        <v>402</v>
      </c>
      <c r="F1513" t="s">
        <v>551</v>
      </c>
      <c r="G1513" s="21">
        <v>0</v>
      </c>
      <c r="H1513" s="21">
        <v>0</v>
      </c>
      <c r="I1513" s="21">
        <v>0</v>
      </c>
      <c r="J1513" s="21">
        <v>-498.45</v>
      </c>
      <c r="K1513" s="21">
        <v>0</v>
      </c>
      <c r="L1513" s="21">
        <v>-498.45</v>
      </c>
    </row>
    <row r="1514" spans="1:12" x14ac:dyDescent="0.25">
      <c r="A1514" s="10">
        <v>1509</v>
      </c>
      <c r="B1514" t="s">
        <v>550</v>
      </c>
      <c r="C1514" t="s">
        <v>17</v>
      </c>
      <c r="D1514" t="s">
        <v>401</v>
      </c>
      <c r="E1514" s="52" t="s">
        <v>402</v>
      </c>
      <c r="F1514" t="s">
        <v>551</v>
      </c>
      <c r="G1514" s="21">
        <v>-4153.72</v>
      </c>
      <c r="H1514" s="21">
        <v>0</v>
      </c>
      <c r="I1514" s="21">
        <v>0</v>
      </c>
      <c r="J1514" s="21">
        <v>0</v>
      </c>
      <c r="K1514" s="21">
        <v>83.07</v>
      </c>
      <c r="L1514" s="21">
        <v>-4070.65</v>
      </c>
    </row>
    <row r="1515" spans="1:12" x14ac:dyDescent="0.25">
      <c r="A1515" s="10">
        <v>1510</v>
      </c>
      <c r="B1515" t="s">
        <v>550</v>
      </c>
      <c r="C1515" t="s">
        <v>13</v>
      </c>
      <c r="D1515" t="s">
        <v>401</v>
      </c>
      <c r="E1515" s="52" t="s">
        <v>402</v>
      </c>
      <c r="F1515" t="s">
        <v>552</v>
      </c>
      <c r="G1515" s="21">
        <v>0</v>
      </c>
      <c r="H1515" s="21">
        <v>0</v>
      </c>
      <c r="I1515" s="21">
        <v>0</v>
      </c>
      <c r="J1515" s="21">
        <v>-0.04</v>
      </c>
      <c r="K1515" s="21">
        <v>0</v>
      </c>
      <c r="L1515" s="21">
        <v>-0.04</v>
      </c>
    </row>
    <row r="1516" spans="1:12" x14ac:dyDescent="0.25">
      <c r="A1516" s="10">
        <v>1511</v>
      </c>
      <c r="B1516" t="s">
        <v>550</v>
      </c>
      <c r="C1516" t="s">
        <v>17</v>
      </c>
      <c r="D1516" t="s">
        <v>401</v>
      </c>
      <c r="E1516" s="52" t="s">
        <v>402</v>
      </c>
      <c r="F1516" t="s">
        <v>552</v>
      </c>
      <c r="G1516" s="21">
        <v>-0.3</v>
      </c>
      <c r="H1516" s="21">
        <v>0</v>
      </c>
      <c r="I1516" s="21">
        <v>0</v>
      </c>
      <c r="J1516" s="21">
        <v>0</v>
      </c>
      <c r="K1516" s="21">
        <v>0.01</v>
      </c>
      <c r="L1516" s="21">
        <v>-0.28999999999999998</v>
      </c>
    </row>
    <row r="1517" spans="1:12" ht="45" x14ac:dyDescent="0.25">
      <c r="A1517" s="10">
        <v>1512</v>
      </c>
      <c r="B1517" t="s">
        <v>555</v>
      </c>
      <c r="C1517" t="s">
        <v>17</v>
      </c>
      <c r="D1517" t="s">
        <v>403</v>
      </c>
      <c r="E1517" s="52" t="s">
        <v>404</v>
      </c>
      <c r="F1517" t="s">
        <v>556</v>
      </c>
      <c r="G1517" s="21">
        <v>-1.6</v>
      </c>
      <c r="H1517" s="21">
        <v>0</v>
      </c>
      <c r="I1517" s="21">
        <v>0</v>
      </c>
      <c r="J1517" s="21">
        <v>0</v>
      </c>
      <c r="K1517" s="21">
        <v>0.03</v>
      </c>
      <c r="L1517" s="21">
        <v>-1.57</v>
      </c>
    </row>
    <row r="1518" spans="1:12" ht="45" x14ac:dyDescent="0.25">
      <c r="A1518" s="10">
        <v>1513</v>
      </c>
      <c r="B1518" t="s">
        <v>555</v>
      </c>
      <c r="C1518" t="s">
        <v>17</v>
      </c>
      <c r="D1518" t="s">
        <v>403</v>
      </c>
      <c r="E1518" s="52" t="s">
        <v>404</v>
      </c>
      <c r="F1518" t="s">
        <v>556</v>
      </c>
      <c r="G1518" s="21">
        <v>0</v>
      </c>
      <c r="H1518" s="21">
        <v>0</v>
      </c>
      <c r="I1518" s="21">
        <v>-14.08</v>
      </c>
      <c r="J1518" s="21">
        <v>0</v>
      </c>
      <c r="K1518" s="21">
        <v>0.28000000000000003</v>
      </c>
      <c r="L1518" s="21">
        <v>-13.8</v>
      </c>
    </row>
    <row r="1519" spans="1:12" ht="45" x14ac:dyDescent="0.25">
      <c r="A1519" s="10">
        <v>1514</v>
      </c>
      <c r="B1519" t="s">
        <v>555</v>
      </c>
      <c r="C1519" t="s">
        <v>17</v>
      </c>
      <c r="D1519" t="s">
        <v>403</v>
      </c>
      <c r="E1519" s="52" t="s">
        <v>404</v>
      </c>
      <c r="F1519" t="s">
        <v>556</v>
      </c>
      <c r="G1519" s="21">
        <v>-2752.32</v>
      </c>
      <c r="H1519" s="21">
        <v>0</v>
      </c>
      <c r="I1519" s="21">
        <v>0</v>
      </c>
      <c r="J1519" s="21">
        <v>0</v>
      </c>
      <c r="K1519" s="21">
        <v>55.05</v>
      </c>
      <c r="L1519" s="21">
        <v>-2697.27</v>
      </c>
    </row>
    <row r="1520" spans="1:12" ht="45" x14ac:dyDescent="0.25">
      <c r="A1520" s="10">
        <v>1515</v>
      </c>
      <c r="B1520" t="s">
        <v>555</v>
      </c>
      <c r="C1520" t="s">
        <v>13</v>
      </c>
      <c r="D1520" t="s">
        <v>403</v>
      </c>
      <c r="E1520" s="52" t="s">
        <v>404</v>
      </c>
      <c r="F1520" t="s">
        <v>556</v>
      </c>
      <c r="G1520" s="21">
        <v>0</v>
      </c>
      <c r="H1520" s="21">
        <v>0</v>
      </c>
      <c r="I1520" s="21">
        <v>0</v>
      </c>
      <c r="J1520" s="21">
        <v>-0.11</v>
      </c>
      <c r="K1520" s="21">
        <v>0</v>
      </c>
      <c r="L1520" s="21">
        <v>-0.11</v>
      </c>
    </row>
    <row r="1521" spans="1:12" ht="45" x14ac:dyDescent="0.25">
      <c r="A1521" s="10">
        <v>1516</v>
      </c>
      <c r="B1521" t="s">
        <v>555</v>
      </c>
      <c r="C1521" t="s">
        <v>13</v>
      </c>
      <c r="D1521" t="s">
        <v>403</v>
      </c>
      <c r="E1521" s="52" t="s">
        <v>404</v>
      </c>
      <c r="F1521" t="s">
        <v>556</v>
      </c>
      <c r="G1521" s="21">
        <v>0</v>
      </c>
      <c r="H1521" s="21">
        <v>0</v>
      </c>
      <c r="I1521" s="21">
        <v>0</v>
      </c>
      <c r="J1521" s="21">
        <v>-192.66</v>
      </c>
      <c r="K1521" s="21">
        <v>0</v>
      </c>
      <c r="L1521" s="21">
        <v>-192.66</v>
      </c>
    </row>
    <row r="1522" spans="1:12" ht="45" x14ac:dyDescent="0.25">
      <c r="A1522" s="10">
        <v>1517</v>
      </c>
      <c r="B1522" t="s">
        <v>557</v>
      </c>
      <c r="C1522" t="s">
        <v>17</v>
      </c>
      <c r="D1522" t="s">
        <v>403</v>
      </c>
      <c r="E1522" s="52" t="s">
        <v>404</v>
      </c>
      <c r="F1522" t="s">
        <v>558</v>
      </c>
      <c r="G1522" s="21">
        <v>0</v>
      </c>
      <c r="H1522" s="21">
        <v>0</v>
      </c>
      <c r="I1522" s="21">
        <v>-13.71</v>
      </c>
      <c r="J1522" s="21">
        <v>0</v>
      </c>
      <c r="K1522" s="21">
        <v>0.27</v>
      </c>
      <c r="L1522" s="21">
        <v>-13.44</v>
      </c>
    </row>
    <row r="1523" spans="1:12" ht="45" x14ac:dyDescent="0.25">
      <c r="A1523" s="10">
        <v>1518</v>
      </c>
      <c r="B1523" t="s">
        <v>18</v>
      </c>
      <c r="C1523" t="s">
        <v>17</v>
      </c>
      <c r="D1523" t="s">
        <v>403</v>
      </c>
      <c r="E1523" s="52" t="s">
        <v>404</v>
      </c>
      <c r="F1523" t="s">
        <v>19</v>
      </c>
      <c r="G1523" s="21">
        <v>0</v>
      </c>
      <c r="H1523" s="21">
        <v>0</v>
      </c>
      <c r="I1523" s="21">
        <v>-0.1</v>
      </c>
      <c r="J1523" s="21">
        <v>0</v>
      </c>
      <c r="K1523" s="21">
        <v>0.01</v>
      </c>
      <c r="L1523" s="21">
        <v>-0.09</v>
      </c>
    </row>
    <row r="1524" spans="1:12" ht="45" x14ac:dyDescent="0.25">
      <c r="A1524" s="10">
        <v>1519</v>
      </c>
      <c r="B1524" t="s">
        <v>18</v>
      </c>
      <c r="C1524" t="s">
        <v>17</v>
      </c>
      <c r="D1524" t="s">
        <v>403</v>
      </c>
      <c r="E1524" s="52" t="s">
        <v>404</v>
      </c>
      <c r="F1524" t="s">
        <v>19</v>
      </c>
      <c r="G1524" s="21">
        <v>-0.6</v>
      </c>
      <c r="H1524" s="21">
        <v>0</v>
      </c>
      <c r="I1524" s="21">
        <v>0</v>
      </c>
      <c r="J1524" s="21">
        <v>0</v>
      </c>
      <c r="K1524" s="21">
        <v>0.54</v>
      </c>
      <c r="L1524" s="21">
        <v>-0.06</v>
      </c>
    </row>
    <row r="1525" spans="1:12" ht="45" x14ac:dyDescent="0.25">
      <c r="A1525" s="10">
        <v>1520</v>
      </c>
      <c r="B1525" t="s">
        <v>18</v>
      </c>
      <c r="C1525" t="s">
        <v>17</v>
      </c>
      <c r="D1525" t="s">
        <v>403</v>
      </c>
      <c r="E1525" s="52" t="s">
        <v>404</v>
      </c>
      <c r="F1525" t="s">
        <v>19</v>
      </c>
      <c r="G1525" s="21">
        <v>-5</v>
      </c>
      <c r="H1525" s="21">
        <v>0</v>
      </c>
      <c r="I1525" s="21">
        <v>0</v>
      </c>
      <c r="J1525" s="21">
        <v>0</v>
      </c>
      <c r="K1525" s="21">
        <v>4.43</v>
      </c>
      <c r="L1525" s="21">
        <v>-0.56999999999999995</v>
      </c>
    </row>
    <row r="1526" spans="1:12" ht="45" x14ac:dyDescent="0.25">
      <c r="A1526" s="10">
        <v>1521</v>
      </c>
      <c r="B1526" t="s">
        <v>550</v>
      </c>
      <c r="C1526" t="s">
        <v>17</v>
      </c>
      <c r="D1526" t="s">
        <v>403</v>
      </c>
      <c r="E1526" s="52" t="s">
        <v>404</v>
      </c>
      <c r="F1526" t="s">
        <v>551</v>
      </c>
      <c r="G1526" s="21">
        <v>-164.71</v>
      </c>
      <c r="H1526" s="21">
        <v>0</v>
      </c>
      <c r="I1526" s="21">
        <v>0</v>
      </c>
      <c r="J1526" s="21">
        <v>0</v>
      </c>
      <c r="K1526" s="21">
        <v>3.29</v>
      </c>
      <c r="L1526" s="21">
        <v>-161.41999999999999</v>
      </c>
    </row>
    <row r="1527" spans="1:12" ht="45" x14ac:dyDescent="0.25">
      <c r="A1527" s="10">
        <v>1522</v>
      </c>
      <c r="B1527" t="s">
        <v>550</v>
      </c>
      <c r="C1527" t="s">
        <v>13</v>
      </c>
      <c r="D1527" t="s">
        <v>403</v>
      </c>
      <c r="E1527" s="52" t="s">
        <v>404</v>
      </c>
      <c r="F1527" t="s">
        <v>551</v>
      </c>
      <c r="G1527" s="21">
        <v>0</v>
      </c>
      <c r="H1527" s="21">
        <v>0</v>
      </c>
      <c r="I1527" s="21">
        <v>0</v>
      </c>
      <c r="J1527" s="21">
        <v>-68967.72</v>
      </c>
      <c r="K1527" s="21">
        <v>0</v>
      </c>
      <c r="L1527" s="21">
        <v>-68967.72</v>
      </c>
    </row>
    <row r="1528" spans="1:12" ht="45" x14ac:dyDescent="0.25">
      <c r="A1528" s="10">
        <v>1523</v>
      </c>
      <c r="B1528" t="s">
        <v>550</v>
      </c>
      <c r="C1528" t="s">
        <v>13</v>
      </c>
      <c r="D1528" t="s">
        <v>403</v>
      </c>
      <c r="E1528" s="52" t="s">
        <v>404</v>
      </c>
      <c r="F1528" t="s">
        <v>551</v>
      </c>
      <c r="G1528" s="21">
        <v>0</v>
      </c>
      <c r="H1528" s="21">
        <v>0</v>
      </c>
      <c r="I1528" s="21">
        <v>0</v>
      </c>
      <c r="J1528" s="21">
        <v>-181.15</v>
      </c>
      <c r="K1528" s="21">
        <v>0</v>
      </c>
      <c r="L1528" s="21">
        <v>-181.15</v>
      </c>
    </row>
    <row r="1529" spans="1:12" ht="45" x14ac:dyDescent="0.25">
      <c r="A1529" s="10">
        <v>1524</v>
      </c>
      <c r="B1529" t="s">
        <v>550</v>
      </c>
      <c r="C1529" t="s">
        <v>13</v>
      </c>
      <c r="D1529" t="s">
        <v>403</v>
      </c>
      <c r="E1529" s="52" t="s">
        <v>404</v>
      </c>
      <c r="F1529" t="s">
        <v>551</v>
      </c>
      <c r="G1529" s="21">
        <v>0</v>
      </c>
      <c r="H1529" s="21">
        <v>0</v>
      </c>
      <c r="I1529" s="21">
        <v>0</v>
      </c>
      <c r="J1529" s="21">
        <v>-24552.94</v>
      </c>
      <c r="K1529" s="21">
        <v>0</v>
      </c>
      <c r="L1529" s="21">
        <v>-24552.94</v>
      </c>
    </row>
    <row r="1530" spans="1:12" ht="45" x14ac:dyDescent="0.25">
      <c r="A1530" s="10">
        <v>1525</v>
      </c>
      <c r="B1530" t="s">
        <v>550</v>
      </c>
      <c r="C1530" t="s">
        <v>13</v>
      </c>
      <c r="D1530" t="s">
        <v>403</v>
      </c>
      <c r="E1530" s="52" t="s">
        <v>404</v>
      </c>
      <c r="F1530" t="s">
        <v>551</v>
      </c>
      <c r="G1530" s="21">
        <v>0</v>
      </c>
      <c r="H1530" s="21">
        <v>0</v>
      </c>
      <c r="I1530" s="21">
        <v>0</v>
      </c>
      <c r="J1530" s="21">
        <v>-774.65</v>
      </c>
      <c r="K1530" s="21">
        <v>0</v>
      </c>
      <c r="L1530" s="21">
        <v>-774.65</v>
      </c>
    </row>
    <row r="1531" spans="1:12" ht="45" x14ac:dyDescent="0.25">
      <c r="A1531" s="10">
        <v>1526</v>
      </c>
      <c r="B1531" t="s">
        <v>550</v>
      </c>
      <c r="C1531" t="s">
        <v>17</v>
      </c>
      <c r="D1531" t="s">
        <v>403</v>
      </c>
      <c r="E1531" s="52" t="s">
        <v>404</v>
      </c>
      <c r="F1531" t="s">
        <v>551</v>
      </c>
      <c r="G1531" s="21">
        <v>0</v>
      </c>
      <c r="H1531" s="21">
        <v>0</v>
      </c>
      <c r="I1531" s="21">
        <v>-263.64</v>
      </c>
      <c r="J1531" s="21">
        <v>0</v>
      </c>
      <c r="K1531" s="21">
        <v>5.27</v>
      </c>
      <c r="L1531" s="21">
        <v>-258.37</v>
      </c>
    </row>
    <row r="1532" spans="1:12" ht="45" x14ac:dyDescent="0.25">
      <c r="A1532" s="10">
        <v>1527</v>
      </c>
      <c r="B1532" t="s">
        <v>550</v>
      </c>
      <c r="C1532" t="s">
        <v>17</v>
      </c>
      <c r="D1532" t="s">
        <v>403</v>
      </c>
      <c r="E1532" s="52" t="s">
        <v>404</v>
      </c>
      <c r="F1532" t="s">
        <v>551</v>
      </c>
      <c r="G1532" s="21">
        <v>-985253.16</v>
      </c>
      <c r="H1532" s="21">
        <v>0</v>
      </c>
      <c r="I1532" s="21">
        <v>0</v>
      </c>
      <c r="J1532" s="21">
        <v>0</v>
      </c>
      <c r="K1532" s="21">
        <v>19705.060000000001</v>
      </c>
      <c r="L1532" s="21">
        <v>-965548.1</v>
      </c>
    </row>
    <row r="1533" spans="1:12" ht="45" x14ac:dyDescent="0.25">
      <c r="A1533" s="10">
        <v>1528</v>
      </c>
      <c r="B1533" t="s">
        <v>550</v>
      </c>
      <c r="C1533" t="s">
        <v>17</v>
      </c>
      <c r="D1533" t="s">
        <v>403</v>
      </c>
      <c r="E1533" s="52" t="s">
        <v>404</v>
      </c>
      <c r="F1533" t="s">
        <v>551</v>
      </c>
      <c r="G1533" s="21">
        <v>-2587.84</v>
      </c>
      <c r="H1533" s="21">
        <v>0</v>
      </c>
      <c r="I1533" s="21">
        <v>0</v>
      </c>
      <c r="J1533" s="21">
        <v>0</v>
      </c>
      <c r="K1533" s="21">
        <v>51.76</v>
      </c>
      <c r="L1533" s="21">
        <v>-2536.08</v>
      </c>
    </row>
    <row r="1534" spans="1:12" ht="45" x14ac:dyDescent="0.25">
      <c r="A1534" s="10">
        <v>1529</v>
      </c>
      <c r="B1534" t="s">
        <v>550</v>
      </c>
      <c r="C1534" t="s">
        <v>17</v>
      </c>
      <c r="D1534" t="s">
        <v>403</v>
      </c>
      <c r="E1534" s="52" t="s">
        <v>404</v>
      </c>
      <c r="F1534" t="s">
        <v>551</v>
      </c>
      <c r="G1534" s="21">
        <v>-350756.31</v>
      </c>
      <c r="H1534" s="21">
        <v>0</v>
      </c>
      <c r="I1534" s="21">
        <v>0</v>
      </c>
      <c r="J1534" s="21">
        <v>0</v>
      </c>
      <c r="K1534" s="21">
        <v>7015.13</v>
      </c>
      <c r="L1534" s="21">
        <v>-343741.18</v>
      </c>
    </row>
    <row r="1535" spans="1:12" ht="45" x14ac:dyDescent="0.25">
      <c r="A1535" s="10">
        <v>1530</v>
      </c>
      <c r="B1535" t="s">
        <v>550</v>
      </c>
      <c r="C1535" t="s">
        <v>17</v>
      </c>
      <c r="D1535" t="s">
        <v>403</v>
      </c>
      <c r="E1535" s="52" t="s">
        <v>404</v>
      </c>
      <c r="F1535" t="s">
        <v>551</v>
      </c>
      <c r="G1535" s="21">
        <v>-11066.46</v>
      </c>
      <c r="H1535" s="21">
        <v>0</v>
      </c>
      <c r="I1535" s="21">
        <v>0</v>
      </c>
      <c r="J1535" s="21">
        <v>0</v>
      </c>
      <c r="K1535" s="21">
        <v>221.33</v>
      </c>
      <c r="L1535" s="21">
        <v>-10845.13</v>
      </c>
    </row>
    <row r="1536" spans="1:12" ht="45" x14ac:dyDescent="0.25">
      <c r="A1536" s="10">
        <v>1531</v>
      </c>
      <c r="B1536" t="s">
        <v>550</v>
      </c>
      <c r="C1536" t="s">
        <v>13</v>
      </c>
      <c r="D1536" t="s">
        <v>403</v>
      </c>
      <c r="E1536" s="52" t="s">
        <v>404</v>
      </c>
      <c r="F1536" t="s">
        <v>551</v>
      </c>
      <c r="G1536" s="21">
        <v>0</v>
      </c>
      <c r="H1536" s="21">
        <v>0</v>
      </c>
      <c r="I1536" s="21">
        <v>0</v>
      </c>
      <c r="J1536" s="21">
        <v>-11.53</v>
      </c>
      <c r="K1536" s="21">
        <v>0</v>
      </c>
      <c r="L1536" s="21">
        <v>-11.53</v>
      </c>
    </row>
    <row r="1537" spans="1:12" ht="45" x14ac:dyDescent="0.25">
      <c r="A1537" s="10">
        <v>1532</v>
      </c>
      <c r="B1537" t="s">
        <v>550</v>
      </c>
      <c r="C1537" t="s">
        <v>17</v>
      </c>
      <c r="D1537" t="s">
        <v>403</v>
      </c>
      <c r="E1537" s="52" t="s">
        <v>404</v>
      </c>
      <c r="F1537" t="s">
        <v>552</v>
      </c>
      <c r="G1537" s="21">
        <v>-0.01</v>
      </c>
      <c r="H1537" s="21">
        <v>0</v>
      </c>
      <c r="I1537" s="21">
        <v>0</v>
      </c>
      <c r="J1537" s="21">
        <v>0</v>
      </c>
      <c r="K1537" s="21">
        <v>0</v>
      </c>
      <c r="L1537" s="21">
        <v>-0.01</v>
      </c>
    </row>
    <row r="1538" spans="1:12" ht="45" x14ac:dyDescent="0.25">
      <c r="A1538" s="10">
        <v>1533</v>
      </c>
      <c r="B1538" t="s">
        <v>550</v>
      </c>
      <c r="C1538" t="s">
        <v>13</v>
      </c>
      <c r="D1538" t="s">
        <v>403</v>
      </c>
      <c r="E1538" s="52" t="s">
        <v>404</v>
      </c>
      <c r="F1538" t="s">
        <v>552</v>
      </c>
      <c r="G1538" s="21">
        <v>0</v>
      </c>
      <c r="H1538" s="21">
        <v>0</v>
      </c>
      <c r="I1538" s="21">
        <v>0</v>
      </c>
      <c r="J1538" s="21">
        <v>-4.96</v>
      </c>
      <c r="K1538" s="21">
        <v>0</v>
      </c>
      <c r="L1538" s="21">
        <v>-4.96</v>
      </c>
    </row>
    <row r="1539" spans="1:12" ht="45" x14ac:dyDescent="0.25">
      <c r="A1539" s="10">
        <v>1534</v>
      </c>
      <c r="B1539" t="s">
        <v>550</v>
      </c>
      <c r="C1539" t="s">
        <v>13</v>
      </c>
      <c r="D1539" t="s">
        <v>403</v>
      </c>
      <c r="E1539" s="52" t="s">
        <v>404</v>
      </c>
      <c r="F1539" t="s">
        <v>552</v>
      </c>
      <c r="G1539" s="21">
        <v>0</v>
      </c>
      <c r="H1539" s="21">
        <v>0</v>
      </c>
      <c r="I1539" s="21">
        <v>0</v>
      </c>
      <c r="J1539" s="21">
        <v>-0.01</v>
      </c>
      <c r="K1539" s="21">
        <v>0</v>
      </c>
      <c r="L1539" s="21">
        <v>-0.01</v>
      </c>
    </row>
    <row r="1540" spans="1:12" ht="45" x14ac:dyDescent="0.25">
      <c r="A1540" s="10">
        <v>1535</v>
      </c>
      <c r="B1540" t="s">
        <v>550</v>
      </c>
      <c r="C1540" t="s">
        <v>13</v>
      </c>
      <c r="D1540" t="s">
        <v>403</v>
      </c>
      <c r="E1540" s="52" t="s">
        <v>404</v>
      </c>
      <c r="F1540" t="s">
        <v>552</v>
      </c>
      <c r="G1540" s="21">
        <v>0</v>
      </c>
      <c r="H1540" s="21">
        <v>0</v>
      </c>
      <c r="I1540" s="21">
        <v>0</v>
      </c>
      <c r="J1540" s="21">
        <v>-1.77</v>
      </c>
      <c r="K1540" s="21">
        <v>0</v>
      </c>
      <c r="L1540" s="21">
        <v>-1.77</v>
      </c>
    </row>
    <row r="1541" spans="1:12" ht="45" x14ac:dyDescent="0.25">
      <c r="A1541" s="10">
        <v>1536</v>
      </c>
      <c r="B1541" t="s">
        <v>550</v>
      </c>
      <c r="C1541" t="s">
        <v>13</v>
      </c>
      <c r="D1541" t="s">
        <v>403</v>
      </c>
      <c r="E1541" s="52" t="s">
        <v>404</v>
      </c>
      <c r="F1541" t="s">
        <v>552</v>
      </c>
      <c r="G1541" s="21">
        <v>0</v>
      </c>
      <c r="H1541" s="21">
        <v>0</v>
      </c>
      <c r="I1541" s="21">
        <v>0</v>
      </c>
      <c r="J1541" s="21">
        <v>-0.06</v>
      </c>
      <c r="K1541" s="21">
        <v>0</v>
      </c>
      <c r="L1541" s="21">
        <v>-0.06</v>
      </c>
    </row>
    <row r="1542" spans="1:12" ht="45" x14ac:dyDescent="0.25">
      <c r="A1542" s="10">
        <v>1537</v>
      </c>
      <c r="B1542" t="s">
        <v>550</v>
      </c>
      <c r="C1542" t="s">
        <v>17</v>
      </c>
      <c r="D1542" t="s">
        <v>403</v>
      </c>
      <c r="E1542" s="52" t="s">
        <v>404</v>
      </c>
      <c r="F1542" t="s">
        <v>552</v>
      </c>
      <c r="G1542" s="21">
        <v>0</v>
      </c>
      <c r="H1542" s="21">
        <v>0</v>
      </c>
      <c r="I1542" s="21">
        <v>-0.02</v>
      </c>
      <c r="J1542" s="21">
        <v>0</v>
      </c>
      <c r="K1542" s="21">
        <v>0</v>
      </c>
      <c r="L1542" s="21">
        <v>-0.02</v>
      </c>
    </row>
    <row r="1543" spans="1:12" ht="45" x14ac:dyDescent="0.25">
      <c r="A1543" s="10">
        <v>1538</v>
      </c>
      <c r="B1543" t="s">
        <v>550</v>
      </c>
      <c r="C1543" t="s">
        <v>17</v>
      </c>
      <c r="D1543" t="s">
        <v>403</v>
      </c>
      <c r="E1543" s="52" t="s">
        <v>404</v>
      </c>
      <c r="F1543" t="s">
        <v>552</v>
      </c>
      <c r="G1543" s="21">
        <v>-70.87</v>
      </c>
      <c r="H1543" s="21">
        <v>0</v>
      </c>
      <c r="I1543" s="21">
        <v>0</v>
      </c>
      <c r="J1543" s="21">
        <v>0</v>
      </c>
      <c r="K1543" s="21">
        <v>1.42</v>
      </c>
      <c r="L1543" s="21">
        <v>-69.45</v>
      </c>
    </row>
    <row r="1544" spans="1:12" ht="45" x14ac:dyDescent="0.25">
      <c r="A1544" s="10">
        <v>1539</v>
      </c>
      <c r="B1544" t="s">
        <v>550</v>
      </c>
      <c r="C1544" t="s">
        <v>17</v>
      </c>
      <c r="D1544" t="s">
        <v>403</v>
      </c>
      <c r="E1544" s="52" t="s">
        <v>404</v>
      </c>
      <c r="F1544" t="s">
        <v>552</v>
      </c>
      <c r="G1544" s="21">
        <v>-0.19</v>
      </c>
      <c r="H1544" s="21">
        <v>0</v>
      </c>
      <c r="I1544" s="21">
        <v>0</v>
      </c>
      <c r="J1544" s="21">
        <v>0</v>
      </c>
      <c r="K1544" s="21">
        <v>0</v>
      </c>
      <c r="L1544" s="21">
        <v>-0.19</v>
      </c>
    </row>
    <row r="1545" spans="1:12" ht="45" x14ac:dyDescent="0.25">
      <c r="A1545" s="10">
        <v>1540</v>
      </c>
      <c r="B1545" t="s">
        <v>550</v>
      </c>
      <c r="C1545" t="s">
        <v>17</v>
      </c>
      <c r="D1545" t="s">
        <v>403</v>
      </c>
      <c r="E1545" s="52" t="s">
        <v>404</v>
      </c>
      <c r="F1545" t="s">
        <v>552</v>
      </c>
      <c r="G1545" s="21">
        <v>-25.23</v>
      </c>
      <c r="H1545" s="21">
        <v>0</v>
      </c>
      <c r="I1545" s="21">
        <v>0</v>
      </c>
      <c r="J1545" s="21">
        <v>0</v>
      </c>
      <c r="K1545" s="21">
        <v>0.5</v>
      </c>
      <c r="L1545" s="21">
        <v>-24.73</v>
      </c>
    </row>
    <row r="1546" spans="1:12" ht="45" x14ac:dyDescent="0.25">
      <c r="A1546" s="10">
        <v>1541</v>
      </c>
      <c r="B1546" t="s">
        <v>550</v>
      </c>
      <c r="C1546" t="s">
        <v>17</v>
      </c>
      <c r="D1546" t="s">
        <v>403</v>
      </c>
      <c r="E1546" s="52" t="s">
        <v>404</v>
      </c>
      <c r="F1546" t="s">
        <v>552</v>
      </c>
      <c r="G1546" s="21">
        <v>-0.8</v>
      </c>
      <c r="H1546" s="21">
        <v>0</v>
      </c>
      <c r="I1546" s="21">
        <v>0</v>
      </c>
      <c r="J1546" s="21">
        <v>0</v>
      </c>
      <c r="K1546" s="21">
        <v>0.02</v>
      </c>
      <c r="L1546" s="21">
        <v>-0.78</v>
      </c>
    </row>
    <row r="1547" spans="1:12" ht="45" x14ac:dyDescent="0.25">
      <c r="A1547" s="10">
        <v>1542</v>
      </c>
      <c r="B1547" t="s">
        <v>550</v>
      </c>
      <c r="C1547" t="s">
        <v>13</v>
      </c>
      <c r="D1547" t="s">
        <v>403</v>
      </c>
      <c r="E1547" s="52" t="s">
        <v>404</v>
      </c>
      <c r="F1547" t="s">
        <v>552</v>
      </c>
      <c r="G1547" s="21">
        <v>0</v>
      </c>
      <c r="H1547" s="21">
        <v>0</v>
      </c>
      <c r="I1547" s="21">
        <v>0</v>
      </c>
      <c r="J1547" s="21">
        <v>0</v>
      </c>
      <c r="K1547" s="21">
        <v>0</v>
      </c>
      <c r="L1547" s="21">
        <v>0</v>
      </c>
    </row>
    <row r="1548" spans="1:12" ht="30" x14ac:dyDescent="0.25">
      <c r="A1548" s="10">
        <v>1543</v>
      </c>
      <c r="B1548" t="s">
        <v>29</v>
      </c>
      <c r="C1548" t="s">
        <v>17</v>
      </c>
      <c r="D1548" t="s">
        <v>629</v>
      </c>
      <c r="E1548" s="52" t="s">
        <v>630</v>
      </c>
      <c r="F1548" t="s">
        <v>30</v>
      </c>
      <c r="G1548" s="21">
        <v>-0.01</v>
      </c>
      <c r="H1548" s="21">
        <v>0</v>
      </c>
      <c r="I1548" s="21">
        <v>0</v>
      </c>
      <c r="J1548" s="21">
        <v>0</v>
      </c>
      <c r="K1548" s="21">
        <v>0</v>
      </c>
      <c r="L1548" s="21">
        <v>-0.01</v>
      </c>
    </row>
    <row r="1549" spans="1:12" x14ac:dyDescent="0.25">
      <c r="A1549" s="10">
        <v>1544</v>
      </c>
      <c r="B1549" t="s">
        <v>18</v>
      </c>
      <c r="C1549" t="s">
        <v>17</v>
      </c>
      <c r="D1549" t="s">
        <v>405</v>
      </c>
      <c r="E1549" s="52" t="s">
        <v>406</v>
      </c>
      <c r="F1549" t="s">
        <v>19</v>
      </c>
      <c r="G1549" s="21">
        <v>0</v>
      </c>
      <c r="H1549" s="21">
        <v>0</v>
      </c>
      <c r="I1549" s="21">
        <v>0</v>
      </c>
      <c r="J1549" s="21">
        <v>0</v>
      </c>
      <c r="K1549" s="21">
        <v>0</v>
      </c>
      <c r="L1549" s="21">
        <v>0</v>
      </c>
    </row>
    <row r="1550" spans="1:12" x14ac:dyDescent="0.25">
      <c r="A1550" s="10">
        <v>1545</v>
      </c>
      <c r="B1550" t="s">
        <v>559</v>
      </c>
      <c r="C1550" t="s">
        <v>17</v>
      </c>
      <c r="D1550" t="s">
        <v>631</v>
      </c>
      <c r="E1550" s="52" t="s">
        <v>406</v>
      </c>
      <c r="F1550" t="s">
        <v>560</v>
      </c>
      <c r="G1550" s="21">
        <v>0</v>
      </c>
      <c r="H1550" s="21">
        <v>0</v>
      </c>
      <c r="I1550" s="21">
        <v>-0.03</v>
      </c>
      <c r="J1550" s="21">
        <v>0</v>
      </c>
      <c r="K1550" s="21">
        <v>0</v>
      </c>
      <c r="L1550" s="21">
        <v>-0.03</v>
      </c>
    </row>
    <row r="1551" spans="1:12" x14ac:dyDescent="0.25">
      <c r="A1551" s="10">
        <v>1546</v>
      </c>
      <c r="B1551" t="s">
        <v>550</v>
      </c>
      <c r="C1551" t="s">
        <v>17</v>
      </c>
      <c r="D1551" t="s">
        <v>631</v>
      </c>
      <c r="E1551" s="52" t="s">
        <v>406</v>
      </c>
      <c r="F1551" t="s">
        <v>551</v>
      </c>
      <c r="G1551" s="21">
        <v>0</v>
      </c>
      <c r="H1551" s="21">
        <v>0</v>
      </c>
      <c r="I1551" s="21">
        <v>-93.26</v>
      </c>
      <c r="J1551" s="21">
        <v>0</v>
      </c>
      <c r="K1551" s="21">
        <v>1.87</v>
      </c>
      <c r="L1551" s="21">
        <v>-91.39</v>
      </c>
    </row>
    <row r="1552" spans="1:12" x14ac:dyDescent="0.25">
      <c r="A1552" s="10">
        <v>1547</v>
      </c>
      <c r="B1552" t="s">
        <v>550</v>
      </c>
      <c r="C1552" t="s">
        <v>17</v>
      </c>
      <c r="D1552" t="s">
        <v>631</v>
      </c>
      <c r="E1552" s="52" t="s">
        <v>406</v>
      </c>
      <c r="F1552" t="s">
        <v>551</v>
      </c>
      <c r="G1552" s="21">
        <v>0</v>
      </c>
      <c r="H1552" s="21">
        <v>0</v>
      </c>
      <c r="I1552" s="21">
        <v>-63.09</v>
      </c>
      <c r="J1552" s="21">
        <v>0</v>
      </c>
      <c r="K1552" s="21">
        <v>1.26</v>
      </c>
      <c r="L1552" s="21">
        <v>-61.83</v>
      </c>
    </row>
    <row r="1553" spans="1:12" x14ac:dyDescent="0.25">
      <c r="A1553" s="10">
        <v>1548</v>
      </c>
      <c r="B1553" t="s">
        <v>550</v>
      </c>
      <c r="C1553" t="s">
        <v>17</v>
      </c>
      <c r="D1553" t="s">
        <v>631</v>
      </c>
      <c r="E1553" s="52" t="s">
        <v>406</v>
      </c>
      <c r="F1553" t="s">
        <v>552</v>
      </c>
      <c r="G1553" s="21">
        <v>0</v>
      </c>
      <c r="H1553" s="21">
        <v>0</v>
      </c>
      <c r="I1553" s="21">
        <v>-0.01</v>
      </c>
      <c r="J1553" s="21">
        <v>0</v>
      </c>
      <c r="K1553" s="21">
        <v>0</v>
      </c>
      <c r="L1553" s="21">
        <v>-0.01</v>
      </c>
    </row>
    <row r="1554" spans="1:12" ht="30" x14ac:dyDescent="0.25">
      <c r="A1554" s="10">
        <v>1549</v>
      </c>
      <c r="B1554" t="s">
        <v>559</v>
      </c>
      <c r="C1554" t="s">
        <v>17</v>
      </c>
      <c r="D1554" t="s">
        <v>407</v>
      </c>
      <c r="E1554" s="52" t="s">
        <v>408</v>
      </c>
      <c r="F1554" t="s">
        <v>560</v>
      </c>
      <c r="G1554" s="21">
        <v>-0.06</v>
      </c>
      <c r="H1554" s="21">
        <v>0</v>
      </c>
      <c r="I1554" s="21">
        <v>0</v>
      </c>
      <c r="J1554" s="21">
        <v>0</v>
      </c>
      <c r="K1554" s="21">
        <v>0</v>
      </c>
      <c r="L1554" s="21">
        <v>-0.06</v>
      </c>
    </row>
    <row r="1555" spans="1:12" ht="30" x14ac:dyDescent="0.25">
      <c r="A1555" s="10">
        <v>1550</v>
      </c>
      <c r="B1555" t="s">
        <v>559</v>
      </c>
      <c r="C1555" t="s">
        <v>13</v>
      </c>
      <c r="D1555" t="s">
        <v>407</v>
      </c>
      <c r="E1555" s="52" t="s">
        <v>408</v>
      </c>
      <c r="F1555" t="s">
        <v>560</v>
      </c>
      <c r="G1555" s="21">
        <v>0</v>
      </c>
      <c r="H1555" s="21">
        <v>0</v>
      </c>
      <c r="I1555" s="21">
        <v>0</v>
      </c>
      <c r="J1555" s="21">
        <v>-0.01</v>
      </c>
      <c r="K1555" s="21">
        <v>0</v>
      </c>
      <c r="L1555" s="21">
        <v>-0.01</v>
      </c>
    </row>
    <row r="1556" spans="1:12" ht="30" x14ac:dyDescent="0.25">
      <c r="A1556" s="10">
        <v>1551</v>
      </c>
      <c r="B1556" t="s">
        <v>18</v>
      </c>
      <c r="C1556" t="s">
        <v>17</v>
      </c>
      <c r="D1556" t="s">
        <v>407</v>
      </c>
      <c r="E1556" s="52" t="s">
        <v>408</v>
      </c>
      <c r="F1556" t="s">
        <v>19</v>
      </c>
      <c r="G1556" s="21">
        <v>-0.03</v>
      </c>
      <c r="H1556" s="21">
        <v>0</v>
      </c>
      <c r="I1556" s="21">
        <v>0</v>
      </c>
      <c r="J1556" s="21">
        <v>0</v>
      </c>
      <c r="K1556" s="21">
        <v>0.02</v>
      </c>
      <c r="L1556" s="21">
        <v>-0.01</v>
      </c>
    </row>
    <row r="1557" spans="1:12" ht="30" x14ac:dyDescent="0.25">
      <c r="A1557" s="10">
        <v>1552</v>
      </c>
      <c r="B1557" t="s">
        <v>22</v>
      </c>
      <c r="C1557" t="s">
        <v>13</v>
      </c>
      <c r="D1557" t="s">
        <v>407</v>
      </c>
      <c r="E1557" s="52" t="s">
        <v>408</v>
      </c>
      <c r="F1557" t="s">
        <v>23</v>
      </c>
      <c r="G1557" s="21">
        <v>0</v>
      </c>
      <c r="H1557" s="21">
        <v>0</v>
      </c>
      <c r="I1557" s="21">
        <v>0</v>
      </c>
      <c r="J1557" s="21">
        <v>-3.45</v>
      </c>
      <c r="K1557" s="21">
        <v>0</v>
      </c>
      <c r="L1557" s="21">
        <v>-3.45</v>
      </c>
    </row>
    <row r="1558" spans="1:12" ht="30" x14ac:dyDescent="0.25">
      <c r="A1558" s="10">
        <v>1553</v>
      </c>
      <c r="B1558" t="s">
        <v>22</v>
      </c>
      <c r="C1558" t="s">
        <v>13</v>
      </c>
      <c r="D1558" t="s">
        <v>407</v>
      </c>
      <c r="E1558" s="52" t="s">
        <v>408</v>
      </c>
      <c r="F1558" t="s">
        <v>24</v>
      </c>
      <c r="G1558" s="21">
        <v>0</v>
      </c>
      <c r="H1558" s="21">
        <v>0</v>
      </c>
      <c r="I1558" s="21">
        <v>0</v>
      </c>
      <c r="J1558" s="21">
        <v>-0.01</v>
      </c>
      <c r="K1558" s="21">
        <v>0</v>
      </c>
      <c r="L1558" s="21">
        <v>-0.01</v>
      </c>
    </row>
    <row r="1559" spans="1:12" ht="30" x14ac:dyDescent="0.25">
      <c r="A1559" s="10">
        <v>1554</v>
      </c>
      <c r="B1559" t="s">
        <v>550</v>
      </c>
      <c r="C1559" t="s">
        <v>13</v>
      </c>
      <c r="D1559" t="s">
        <v>407</v>
      </c>
      <c r="E1559" s="52" t="s">
        <v>408</v>
      </c>
      <c r="F1559" t="s">
        <v>551</v>
      </c>
      <c r="G1559" s="21">
        <v>0</v>
      </c>
      <c r="H1559" s="21">
        <v>0</v>
      </c>
      <c r="I1559" s="21">
        <v>0</v>
      </c>
      <c r="J1559" s="21">
        <v>-454.14</v>
      </c>
      <c r="K1559" s="21">
        <v>0</v>
      </c>
      <c r="L1559" s="21">
        <v>-454.14</v>
      </c>
    </row>
    <row r="1560" spans="1:12" ht="30" x14ac:dyDescent="0.25">
      <c r="A1560" s="10">
        <v>1555</v>
      </c>
      <c r="B1560" t="s">
        <v>550</v>
      </c>
      <c r="C1560" t="s">
        <v>13</v>
      </c>
      <c r="D1560" t="s">
        <v>407</v>
      </c>
      <c r="E1560" s="52" t="s">
        <v>408</v>
      </c>
      <c r="F1560" t="s">
        <v>551</v>
      </c>
      <c r="G1560" s="21">
        <v>0</v>
      </c>
      <c r="H1560" s="21">
        <v>0</v>
      </c>
      <c r="I1560" s="21">
        <v>0</v>
      </c>
      <c r="J1560" s="21">
        <v>-56.42</v>
      </c>
      <c r="K1560" s="21">
        <v>0</v>
      </c>
      <c r="L1560" s="21">
        <v>-56.42</v>
      </c>
    </row>
    <row r="1561" spans="1:12" ht="30" x14ac:dyDescent="0.25">
      <c r="A1561" s="10">
        <v>1556</v>
      </c>
      <c r="B1561" t="s">
        <v>550</v>
      </c>
      <c r="C1561" t="s">
        <v>17</v>
      </c>
      <c r="D1561" t="s">
        <v>407</v>
      </c>
      <c r="E1561" s="52" t="s">
        <v>408</v>
      </c>
      <c r="F1561" t="s">
        <v>551</v>
      </c>
      <c r="G1561" s="21">
        <v>-3784.52</v>
      </c>
      <c r="H1561" s="21">
        <v>0</v>
      </c>
      <c r="I1561" s="21">
        <v>0</v>
      </c>
      <c r="J1561" s="21">
        <v>0</v>
      </c>
      <c r="K1561" s="21">
        <v>75.69</v>
      </c>
      <c r="L1561" s="21">
        <v>-3708.83</v>
      </c>
    </row>
    <row r="1562" spans="1:12" ht="30" x14ac:dyDescent="0.25">
      <c r="A1562" s="10">
        <v>1557</v>
      </c>
      <c r="B1562" t="s">
        <v>550</v>
      </c>
      <c r="C1562" t="s">
        <v>17</v>
      </c>
      <c r="D1562" t="s">
        <v>407</v>
      </c>
      <c r="E1562" s="52" t="s">
        <v>408</v>
      </c>
      <c r="F1562" t="s">
        <v>551</v>
      </c>
      <c r="G1562" s="21">
        <v>-470.14</v>
      </c>
      <c r="H1562" s="21">
        <v>0</v>
      </c>
      <c r="I1562" s="21">
        <v>0</v>
      </c>
      <c r="J1562" s="21">
        <v>0</v>
      </c>
      <c r="K1562" s="21">
        <v>9.4</v>
      </c>
      <c r="L1562" s="21">
        <v>-460.74</v>
      </c>
    </row>
    <row r="1563" spans="1:12" ht="30" x14ac:dyDescent="0.25">
      <c r="A1563" s="10">
        <v>1558</v>
      </c>
      <c r="B1563" t="s">
        <v>550</v>
      </c>
      <c r="C1563" t="s">
        <v>13</v>
      </c>
      <c r="D1563" t="s">
        <v>407</v>
      </c>
      <c r="E1563" s="52" t="s">
        <v>408</v>
      </c>
      <c r="F1563" t="s">
        <v>552</v>
      </c>
      <c r="G1563" s="21">
        <v>0</v>
      </c>
      <c r="H1563" s="21">
        <v>0</v>
      </c>
      <c r="I1563" s="21">
        <v>0</v>
      </c>
      <c r="J1563" s="21">
        <v>-0.03</v>
      </c>
      <c r="K1563" s="21">
        <v>0</v>
      </c>
      <c r="L1563" s="21">
        <v>-0.03</v>
      </c>
    </row>
    <row r="1564" spans="1:12" ht="30" x14ac:dyDescent="0.25">
      <c r="A1564" s="10">
        <v>1559</v>
      </c>
      <c r="B1564" t="s">
        <v>550</v>
      </c>
      <c r="C1564" t="s">
        <v>13</v>
      </c>
      <c r="D1564" t="s">
        <v>407</v>
      </c>
      <c r="E1564" s="52" t="s">
        <v>408</v>
      </c>
      <c r="F1564" t="s">
        <v>552</v>
      </c>
      <c r="G1564" s="21">
        <v>0</v>
      </c>
      <c r="H1564" s="21">
        <v>0</v>
      </c>
      <c r="I1564" s="21">
        <v>0</v>
      </c>
      <c r="J1564" s="21">
        <v>0</v>
      </c>
      <c r="K1564" s="21">
        <v>0</v>
      </c>
      <c r="L1564" s="21">
        <v>0</v>
      </c>
    </row>
    <row r="1565" spans="1:12" ht="30" x14ac:dyDescent="0.25">
      <c r="A1565" s="10">
        <v>1560</v>
      </c>
      <c r="B1565" t="s">
        <v>550</v>
      </c>
      <c r="C1565" t="s">
        <v>17</v>
      </c>
      <c r="D1565" t="s">
        <v>407</v>
      </c>
      <c r="E1565" s="52" t="s">
        <v>408</v>
      </c>
      <c r="F1565" t="s">
        <v>552</v>
      </c>
      <c r="G1565" s="21">
        <v>-0.27</v>
      </c>
      <c r="H1565" s="21">
        <v>0</v>
      </c>
      <c r="I1565" s="21">
        <v>0</v>
      </c>
      <c r="J1565" s="21">
        <v>0</v>
      </c>
      <c r="K1565" s="21">
        <v>0.01</v>
      </c>
      <c r="L1565" s="21">
        <v>-0.26</v>
      </c>
    </row>
    <row r="1566" spans="1:12" ht="30" x14ac:dyDescent="0.25">
      <c r="A1566" s="10">
        <v>1561</v>
      </c>
      <c r="B1566" t="s">
        <v>550</v>
      </c>
      <c r="C1566" t="s">
        <v>17</v>
      </c>
      <c r="D1566" t="s">
        <v>407</v>
      </c>
      <c r="E1566" s="52" t="s">
        <v>408</v>
      </c>
      <c r="F1566" t="s">
        <v>552</v>
      </c>
      <c r="G1566" s="21">
        <v>-0.03</v>
      </c>
      <c r="H1566" s="21">
        <v>0</v>
      </c>
      <c r="I1566" s="21">
        <v>0</v>
      </c>
      <c r="J1566" s="21">
        <v>0</v>
      </c>
      <c r="K1566" s="21">
        <v>0</v>
      </c>
      <c r="L1566" s="21">
        <v>-0.03</v>
      </c>
    </row>
    <row r="1567" spans="1:12" ht="30" x14ac:dyDescent="0.25">
      <c r="A1567" s="10">
        <v>1562</v>
      </c>
      <c r="B1567" t="s">
        <v>29</v>
      </c>
      <c r="C1567" t="s">
        <v>13</v>
      </c>
      <c r="D1567" t="s">
        <v>409</v>
      </c>
      <c r="E1567" s="52" t="s">
        <v>410</v>
      </c>
      <c r="F1567" t="s">
        <v>30</v>
      </c>
      <c r="G1567" s="21">
        <v>0</v>
      </c>
      <c r="H1567" s="21">
        <v>0</v>
      </c>
      <c r="I1567" s="21">
        <v>0</v>
      </c>
      <c r="J1567" s="21">
        <v>-0.32</v>
      </c>
      <c r="K1567" s="21">
        <v>0</v>
      </c>
      <c r="L1567" s="21">
        <v>-0.32</v>
      </c>
    </row>
    <row r="1568" spans="1:12" ht="30" x14ac:dyDescent="0.25">
      <c r="A1568" s="10">
        <v>1563</v>
      </c>
      <c r="B1568" t="s">
        <v>18</v>
      </c>
      <c r="C1568" t="s">
        <v>17</v>
      </c>
      <c r="D1568" t="s">
        <v>409</v>
      </c>
      <c r="E1568" s="52" t="s">
        <v>410</v>
      </c>
      <c r="F1568" t="s">
        <v>19</v>
      </c>
      <c r="G1568" s="21">
        <v>-3.7</v>
      </c>
      <c r="H1568" s="21">
        <v>0</v>
      </c>
      <c r="I1568" s="21">
        <v>0</v>
      </c>
      <c r="J1568" s="21">
        <v>0</v>
      </c>
      <c r="K1568" s="21">
        <v>3.28</v>
      </c>
      <c r="L1568" s="21">
        <v>-0.42</v>
      </c>
    </row>
    <row r="1569" spans="1:12" ht="30" x14ac:dyDescent="0.25">
      <c r="A1569" s="10">
        <v>1564</v>
      </c>
      <c r="B1569" t="s">
        <v>20</v>
      </c>
      <c r="C1569" t="s">
        <v>13</v>
      </c>
      <c r="D1569" t="s">
        <v>409</v>
      </c>
      <c r="E1569" s="52" t="s">
        <v>410</v>
      </c>
      <c r="F1569" t="s">
        <v>21</v>
      </c>
      <c r="G1569" s="21">
        <v>0</v>
      </c>
      <c r="H1569" s="21">
        <v>0</v>
      </c>
      <c r="I1569" s="21">
        <v>0</v>
      </c>
      <c r="J1569" s="21">
        <v>-4.57</v>
      </c>
      <c r="K1569" s="21">
        <v>0</v>
      </c>
      <c r="L1569" s="21">
        <v>-4.57</v>
      </c>
    </row>
    <row r="1570" spans="1:12" ht="30" x14ac:dyDescent="0.25">
      <c r="A1570" s="10">
        <v>1565</v>
      </c>
      <c r="B1570" t="s">
        <v>550</v>
      </c>
      <c r="C1570" t="s">
        <v>13</v>
      </c>
      <c r="D1570" t="s">
        <v>409</v>
      </c>
      <c r="E1570" s="52" t="s">
        <v>410</v>
      </c>
      <c r="F1570" t="s">
        <v>551</v>
      </c>
      <c r="G1570" s="21">
        <v>0</v>
      </c>
      <c r="H1570" s="21">
        <v>0</v>
      </c>
      <c r="I1570" s="21">
        <v>0</v>
      </c>
      <c r="J1570" s="21">
        <v>-12381.54</v>
      </c>
      <c r="K1570" s="21">
        <v>0</v>
      </c>
      <c r="L1570" s="21">
        <v>-12381.54</v>
      </c>
    </row>
    <row r="1571" spans="1:12" ht="30" x14ac:dyDescent="0.25">
      <c r="A1571" s="10">
        <v>1566</v>
      </c>
      <c r="B1571" t="s">
        <v>550</v>
      </c>
      <c r="C1571" t="s">
        <v>17</v>
      </c>
      <c r="D1571" t="s">
        <v>409</v>
      </c>
      <c r="E1571" s="52" t="s">
        <v>410</v>
      </c>
      <c r="F1571" t="s">
        <v>551</v>
      </c>
      <c r="G1571" s="21">
        <v>-103621.22</v>
      </c>
      <c r="H1571" s="21">
        <v>0</v>
      </c>
      <c r="I1571" s="21">
        <v>0</v>
      </c>
      <c r="J1571" s="21">
        <v>0</v>
      </c>
      <c r="K1571" s="21">
        <v>2072.42</v>
      </c>
      <c r="L1571" s="21">
        <v>-101548.8</v>
      </c>
    </row>
    <row r="1572" spans="1:12" ht="30" x14ac:dyDescent="0.25">
      <c r="A1572" s="10">
        <v>1567</v>
      </c>
      <c r="B1572" t="s">
        <v>550</v>
      </c>
      <c r="C1572" t="s">
        <v>13</v>
      </c>
      <c r="D1572" t="s">
        <v>409</v>
      </c>
      <c r="E1572" s="52" t="s">
        <v>410</v>
      </c>
      <c r="F1572" t="s">
        <v>552</v>
      </c>
      <c r="G1572" s="21">
        <v>0</v>
      </c>
      <c r="H1572" s="21">
        <v>0</v>
      </c>
      <c r="I1572" s="21">
        <v>0</v>
      </c>
      <c r="J1572" s="21">
        <v>-0.89</v>
      </c>
      <c r="K1572" s="21">
        <v>0</v>
      </c>
      <c r="L1572" s="21">
        <v>-0.89</v>
      </c>
    </row>
    <row r="1573" spans="1:12" ht="30" x14ac:dyDescent="0.25">
      <c r="A1573" s="10">
        <v>1568</v>
      </c>
      <c r="B1573" t="s">
        <v>550</v>
      </c>
      <c r="C1573" t="s">
        <v>17</v>
      </c>
      <c r="D1573" t="s">
        <v>409</v>
      </c>
      <c r="E1573" s="52" t="s">
        <v>410</v>
      </c>
      <c r="F1573" t="s">
        <v>552</v>
      </c>
      <c r="G1573" s="21">
        <v>-7.45</v>
      </c>
      <c r="H1573" s="21">
        <v>0</v>
      </c>
      <c r="I1573" s="21">
        <v>0</v>
      </c>
      <c r="J1573" s="21">
        <v>0</v>
      </c>
      <c r="K1573" s="21">
        <v>0.15</v>
      </c>
      <c r="L1573" s="21">
        <v>-7.3</v>
      </c>
    </row>
    <row r="1574" spans="1:12" ht="30" x14ac:dyDescent="0.25">
      <c r="A1574" s="10">
        <v>1569</v>
      </c>
      <c r="B1574" t="s">
        <v>18</v>
      </c>
      <c r="C1574" t="s">
        <v>17</v>
      </c>
      <c r="D1574" t="s">
        <v>411</v>
      </c>
      <c r="E1574" s="52" t="s">
        <v>412</v>
      </c>
      <c r="F1574" t="s">
        <v>19</v>
      </c>
      <c r="G1574" s="21">
        <v>-0.27</v>
      </c>
      <c r="H1574" s="21">
        <v>0</v>
      </c>
      <c r="I1574" s="21">
        <v>0</v>
      </c>
      <c r="J1574" s="21">
        <v>0</v>
      </c>
      <c r="K1574" s="21">
        <v>0.24</v>
      </c>
      <c r="L1574" s="21">
        <v>-0.03</v>
      </c>
    </row>
    <row r="1575" spans="1:12" ht="30" x14ac:dyDescent="0.25">
      <c r="A1575" s="10">
        <v>1570</v>
      </c>
      <c r="B1575" t="s">
        <v>550</v>
      </c>
      <c r="C1575" t="s">
        <v>13</v>
      </c>
      <c r="D1575" t="s">
        <v>411</v>
      </c>
      <c r="E1575" s="52" t="s">
        <v>412</v>
      </c>
      <c r="F1575" t="s">
        <v>551</v>
      </c>
      <c r="G1575" s="21">
        <v>0</v>
      </c>
      <c r="H1575" s="21">
        <v>0</v>
      </c>
      <c r="I1575" s="21">
        <v>0</v>
      </c>
      <c r="J1575" s="21">
        <v>-1104</v>
      </c>
      <c r="K1575" s="21">
        <v>0</v>
      </c>
      <c r="L1575" s="21">
        <v>-1104</v>
      </c>
    </row>
    <row r="1576" spans="1:12" ht="30" x14ac:dyDescent="0.25">
      <c r="A1576" s="10">
        <v>1571</v>
      </c>
      <c r="B1576" t="s">
        <v>550</v>
      </c>
      <c r="C1576" t="s">
        <v>17</v>
      </c>
      <c r="D1576" t="s">
        <v>411</v>
      </c>
      <c r="E1576" s="52" t="s">
        <v>412</v>
      </c>
      <c r="F1576" t="s">
        <v>551</v>
      </c>
      <c r="G1576" s="21">
        <v>-9200.0300000000007</v>
      </c>
      <c r="H1576" s="21">
        <v>0</v>
      </c>
      <c r="I1576" s="21">
        <v>0</v>
      </c>
      <c r="J1576" s="21">
        <v>0</v>
      </c>
      <c r="K1576" s="21">
        <v>184</v>
      </c>
      <c r="L1576" s="21">
        <v>-9016.0300000000007</v>
      </c>
    </row>
    <row r="1577" spans="1:12" ht="30" x14ac:dyDescent="0.25">
      <c r="A1577" s="10">
        <v>1572</v>
      </c>
      <c r="B1577" t="s">
        <v>550</v>
      </c>
      <c r="C1577" t="s">
        <v>13</v>
      </c>
      <c r="D1577" t="s">
        <v>411</v>
      </c>
      <c r="E1577" s="52" t="s">
        <v>412</v>
      </c>
      <c r="F1577" t="s">
        <v>552</v>
      </c>
      <c r="G1577" s="21">
        <v>0</v>
      </c>
      <c r="H1577" s="21">
        <v>0</v>
      </c>
      <c r="I1577" s="21">
        <v>0</v>
      </c>
      <c r="J1577" s="21">
        <v>-0.08</v>
      </c>
      <c r="K1577" s="21">
        <v>0</v>
      </c>
      <c r="L1577" s="21">
        <v>-0.08</v>
      </c>
    </row>
    <row r="1578" spans="1:12" ht="30" x14ac:dyDescent="0.25">
      <c r="A1578" s="10">
        <v>1573</v>
      </c>
      <c r="B1578" t="s">
        <v>550</v>
      </c>
      <c r="C1578" t="s">
        <v>17</v>
      </c>
      <c r="D1578" t="s">
        <v>411</v>
      </c>
      <c r="E1578" s="52" t="s">
        <v>412</v>
      </c>
      <c r="F1578" t="s">
        <v>552</v>
      </c>
      <c r="G1578" s="21">
        <v>-0.66</v>
      </c>
      <c r="H1578" s="21">
        <v>0</v>
      </c>
      <c r="I1578" s="21">
        <v>0</v>
      </c>
      <c r="J1578" s="21">
        <v>0</v>
      </c>
      <c r="K1578" s="21">
        <v>0.01</v>
      </c>
      <c r="L1578" s="21">
        <v>-0.65</v>
      </c>
    </row>
    <row r="1579" spans="1:12" x14ac:dyDescent="0.25">
      <c r="A1579" s="10">
        <v>1574</v>
      </c>
      <c r="B1579" t="s">
        <v>550</v>
      </c>
      <c r="C1579" t="s">
        <v>17</v>
      </c>
      <c r="D1579" t="s">
        <v>632</v>
      </c>
      <c r="E1579" s="52" t="s">
        <v>414</v>
      </c>
      <c r="F1579" t="s">
        <v>551</v>
      </c>
      <c r="G1579" s="21">
        <v>0</v>
      </c>
      <c r="H1579" s="21">
        <v>0</v>
      </c>
      <c r="I1579" s="21">
        <v>-6.47</v>
      </c>
      <c r="J1579" s="21">
        <v>0</v>
      </c>
      <c r="K1579" s="21">
        <v>0.13</v>
      </c>
      <c r="L1579" s="21">
        <v>-6.34</v>
      </c>
    </row>
    <row r="1580" spans="1:12" ht="30" x14ac:dyDescent="0.25">
      <c r="A1580" s="10">
        <v>1575</v>
      </c>
      <c r="B1580" t="s">
        <v>18</v>
      </c>
      <c r="C1580" t="s">
        <v>17</v>
      </c>
      <c r="D1580" t="s">
        <v>415</v>
      </c>
      <c r="E1580" s="52" t="s">
        <v>416</v>
      </c>
      <c r="F1580" t="s">
        <v>19</v>
      </c>
      <c r="G1580" s="21">
        <v>0</v>
      </c>
      <c r="H1580" s="21">
        <v>0</v>
      </c>
      <c r="I1580" s="21">
        <v>0</v>
      </c>
      <c r="J1580" s="21">
        <v>0</v>
      </c>
      <c r="K1580" s="21">
        <v>0</v>
      </c>
      <c r="L1580" s="21">
        <v>0</v>
      </c>
    </row>
    <row r="1581" spans="1:12" x14ac:dyDescent="0.25">
      <c r="A1581" s="10">
        <v>1576</v>
      </c>
      <c r="B1581" t="s">
        <v>550</v>
      </c>
      <c r="C1581" t="s">
        <v>17</v>
      </c>
      <c r="D1581" t="s">
        <v>633</v>
      </c>
      <c r="E1581" s="52" t="s">
        <v>414</v>
      </c>
      <c r="F1581" t="s">
        <v>551</v>
      </c>
      <c r="G1581" s="21">
        <v>0</v>
      </c>
      <c r="H1581" s="21">
        <v>0</v>
      </c>
      <c r="I1581" s="21">
        <v>-9.15</v>
      </c>
      <c r="J1581" s="21">
        <v>0</v>
      </c>
      <c r="K1581" s="21">
        <v>0.18</v>
      </c>
      <c r="L1581" s="21">
        <v>-8.9700000000000006</v>
      </c>
    </row>
    <row r="1582" spans="1:12" ht="30" x14ac:dyDescent="0.25">
      <c r="A1582" s="10">
        <v>1577</v>
      </c>
      <c r="B1582" t="s">
        <v>18</v>
      </c>
      <c r="C1582" t="s">
        <v>17</v>
      </c>
      <c r="D1582" t="s">
        <v>418</v>
      </c>
      <c r="E1582" s="52" t="s">
        <v>419</v>
      </c>
      <c r="F1582" t="s">
        <v>19</v>
      </c>
      <c r="G1582" s="21">
        <v>0</v>
      </c>
      <c r="H1582" s="21">
        <v>0</v>
      </c>
      <c r="I1582" s="21">
        <v>-0.14000000000000001</v>
      </c>
      <c r="J1582" s="21">
        <v>0</v>
      </c>
      <c r="K1582" s="21">
        <v>0.02</v>
      </c>
      <c r="L1582" s="21">
        <v>-0.12</v>
      </c>
    </row>
    <row r="1583" spans="1:12" ht="30" x14ac:dyDescent="0.25">
      <c r="A1583" s="10">
        <v>1578</v>
      </c>
      <c r="B1583" t="s">
        <v>18</v>
      </c>
      <c r="C1583" t="s">
        <v>17</v>
      </c>
      <c r="D1583" t="s">
        <v>418</v>
      </c>
      <c r="E1583" s="52" t="s">
        <v>419</v>
      </c>
      <c r="F1583" t="s">
        <v>19</v>
      </c>
      <c r="G1583" s="21">
        <v>0</v>
      </c>
      <c r="H1583" s="21">
        <v>0</v>
      </c>
      <c r="I1583" s="21">
        <v>-7.0000000000000007E-2</v>
      </c>
      <c r="J1583" s="21">
        <v>0</v>
      </c>
      <c r="K1583" s="21">
        <v>0</v>
      </c>
      <c r="L1583" s="21">
        <v>-7.0000000000000007E-2</v>
      </c>
    </row>
    <row r="1584" spans="1:12" ht="30" x14ac:dyDescent="0.25">
      <c r="A1584" s="10">
        <v>1579</v>
      </c>
      <c r="B1584" t="s">
        <v>18</v>
      </c>
      <c r="C1584" t="s">
        <v>17</v>
      </c>
      <c r="D1584" t="s">
        <v>418</v>
      </c>
      <c r="E1584" s="52" t="s">
        <v>419</v>
      </c>
      <c r="F1584" t="s">
        <v>19</v>
      </c>
      <c r="G1584" s="21">
        <v>0</v>
      </c>
      <c r="H1584" s="21">
        <v>0</v>
      </c>
      <c r="I1584" s="21">
        <v>-0.08</v>
      </c>
      <c r="J1584" s="21">
        <v>0</v>
      </c>
      <c r="K1584" s="21">
        <v>0</v>
      </c>
      <c r="L1584" s="21">
        <v>-0.08</v>
      </c>
    </row>
    <row r="1585" spans="1:12" ht="30" x14ac:dyDescent="0.25">
      <c r="A1585" s="10">
        <v>1580</v>
      </c>
      <c r="B1585" t="s">
        <v>12</v>
      </c>
      <c r="C1585" t="s">
        <v>17</v>
      </c>
      <c r="D1585" t="s">
        <v>634</v>
      </c>
      <c r="E1585" s="52" t="s">
        <v>419</v>
      </c>
      <c r="F1585" t="s">
        <v>16</v>
      </c>
      <c r="G1585" s="21">
        <v>0</v>
      </c>
      <c r="H1585" s="21">
        <v>0</v>
      </c>
      <c r="I1585" s="21">
        <v>-0.86</v>
      </c>
      <c r="J1585" s="21">
        <v>0</v>
      </c>
      <c r="K1585" s="21">
        <v>0.02</v>
      </c>
      <c r="L1585" s="21">
        <v>-0.84</v>
      </c>
    </row>
    <row r="1586" spans="1:12" ht="30" x14ac:dyDescent="0.25">
      <c r="A1586" s="10">
        <v>1581</v>
      </c>
      <c r="B1586" t="s">
        <v>33</v>
      </c>
      <c r="C1586" t="s">
        <v>17</v>
      </c>
      <c r="D1586" t="s">
        <v>634</v>
      </c>
      <c r="E1586" s="52" t="s">
        <v>419</v>
      </c>
      <c r="F1586" t="s">
        <v>34</v>
      </c>
      <c r="G1586" s="21">
        <v>0</v>
      </c>
      <c r="H1586" s="21">
        <v>0</v>
      </c>
      <c r="I1586" s="21">
        <v>-3.06</v>
      </c>
      <c r="J1586" s="21">
        <v>0</v>
      </c>
      <c r="K1586" s="21">
        <v>0.06</v>
      </c>
      <c r="L1586" s="21">
        <v>-3</v>
      </c>
    </row>
    <row r="1587" spans="1:12" ht="30" x14ac:dyDescent="0.25">
      <c r="A1587" s="10">
        <v>1582</v>
      </c>
      <c r="B1587" t="s">
        <v>33</v>
      </c>
      <c r="C1587" t="s">
        <v>49</v>
      </c>
      <c r="D1587" t="s">
        <v>634</v>
      </c>
      <c r="E1587" s="52" t="s">
        <v>419</v>
      </c>
      <c r="F1587" t="s">
        <v>34</v>
      </c>
      <c r="G1587" s="21">
        <v>0</v>
      </c>
      <c r="H1587" s="21">
        <v>0</v>
      </c>
      <c r="I1587" s="21">
        <v>-0.01</v>
      </c>
      <c r="J1587" s="21">
        <v>0</v>
      </c>
      <c r="K1587" s="21">
        <v>0</v>
      </c>
      <c r="L1587" s="21">
        <v>-0.01</v>
      </c>
    </row>
    <row r="1588" spans="1:12" ht="30" x14ac:dyDescent="0.25">
      <c r="A1588" s="10">
        <v>1583</v>
      </c>
      <c r="B1588" t="s">
        <v>22</v>
      </c>
      <c r="C1588" t="s">
        <v>17</v>
      </c>
      <c r="D1588" t="s">
        <v>634</v>
      </c>
      <c r="E1588" s="52" t="s">
        <v>419</v>
      </c>
      <c r="F1588" t="s">
        <v>23</v>
      </c>
      <c r="G1588" s="21">
        <v>0</v>
      </c>
      <c r="H1588" s="21">
        <v>0</v>
      </c>
      <c r="I1588" s="21">
        <v>0</v>
      </c>
      <c r="J1588" s="21">
        <v>0</v>
      </c>
      <c r="K1588" s="21">
        <v>0</v>
      </c>
      <c r="L1588" s="21">
        <v>0</v>
      </c>
    </row>
    <row r="1589" spans="1:12" ht="30" x14ac:dyDescent="0.25">
      <c r="A1589" s="10">
        <v>1584</v>
      </c>
      <c r="B1589" t="s">
        <v>22</v>
      </c>
      <c r="C1589" t="s">
        <v>17</v>
      </c>
      <c r="D1589" t="s">
        <v>634</v>
      </c>
      <c r="E1589" s="52" t="s">
        <v>419</v>
      </c>
      <c r="F1589" t="s">
        <v>24</v>
      </c>
      <c r="G1589" s="21">
        <v>0</v>
      </c>
      <c r="H1589" s="21">
        <v>0</v>
      </c>
      <c r="I1589" s="21">
        <v>0</v>
      </c>
      <c r="J1589" s="21">
        <v>0</v>
      </c>
      <c r="K1589" s="21">
        <v>0</v>
      </c>
      <c r="L1589" s="21">
        <v>0</v>
      </c>
    </row>
    <row r="1590" spans="1:12" ht="30" x14ac:dyDescent="0.25">
      <c r="A1590" s="10">
        <v>1585</v>
      </c>
      <c r="B1590" t="s">
        <v>550</v>
      </c>
      <c r="C1590" t="s">
        <v>17</v>
      </c>
      <c r="D1590" t="s">
        <v>634</v>
      </c>
      <c r="E1590" s="52" t="s">
        <v>419</v>
      </c>
      <c r="F1590" t="s">
        <v>551</v>
      </c>
      <c r="G1590" s="21">
        <v>0</v>
      </c>
      <c r="H1590" s="21">
        <v>0</v>
      </c>
      <c r="I1590" s="21">
        <v>-17.829999999999998</v>
      </c>
      <c r="J1590" s="21">
        <v>0</v>
      </c>
      <c r="K1590" s="21">
        <v>0.36</v>
      </c>
      <c r="L1590" s="21">
        <v>-17.47</v>
      </c>
    </row>
    <row r="1591" spans="1:12" ht="30" x14ac:dyDescent="0.25">
      <c r="A1591" s="10">
        <v>1586</v>
      </c>
      <c r="B1591" t="s">
        <v>550</v>
      </c>
      <c r="C1591" t="s">
        <v>17</v>
      </c>
      <c r="D1591" t="s">
        <v>634</v>
      </c>
      <c r="E1591" s="52" t="s">
        <v>419</v>
      </c>
      <c r="F1591" t="s">
        <v>551</v>
      </c>
      <c r="G1591" s="21">
        <v>0</v>
      </c>
      <c r="H1591" s="21">
        <v>0</v>
      </c>
      <c r="I1591" s="21">
        <v>-290.85000000000002</v>
      </c>
      <c r="J1591" s="21">
        <v>0</v>
      </c>
      <c r="K1591" s="21">
        <v>5.82</v>
      </c>
      <c r="L1591" s="21">
        <v>-285.02999999999997</v>
      </c>
    </row>
    <row r="1592" spans="1:12" ht="30" x14ac:dyDescent="0.25">
      <c r="A1592" s="10">
        <v>1587</v>
      </c>
      <c r="B1592" t="s">
        <v>550</v>
      </c>
      <c r="C1592" t="s">
        <v>17</v>
      </c>
      <c r="D1592" t="s">
        <v>634</v>
      </c>
      <c r="E1592" s="52" t="s">
        <v>419</v>
      </c>
      <c r="F1592" t="s">
        <v>552</v>
      </c>
      <c r="G1592" s="21">
        <v>0</v>
      </c>
      <c r="H1592" s="21">
        <v>0</v>
      </c>
      <c r="I1592" s="21">
        <v>-0.02</v>
      </c>
      <c r="J1592" s="21">
        <v>0</v>
      </c>
      <c r="K1592" s="21">
        <v>0</v>
      </c>
      <c r="L1592" s="21">
        <v>-0.02</v>
      </c>
    </row>
    <row r="1593" spans="1:12" ht="30" x14ac:dyDescent="0.25">
      <c r="A1593" s="10">
        <v>1588</v>
      </c>
      <c r="B1593" t="s">
        <v>18</v>
      </c>
      <c r="C1593" t="s">
        <v>17</v>
      </c>
      <c r="D1593" t="s">
        <v>420</v>
      </c>
      <c r="E1593" s="52" t="s">
        <v>421</v>
      </c>
      <c r="F1593" t="s">
        <v>19</v>
      </c>
      <c r="G1593" s="21">
        <v>0</v>
      </c>
      <c r="H1593" s="21">
        <v>0</v>
      </c>
      <c r="I1593" s="21">
        <v>-0.12</v>
      </c>
      <c r="J1593" s="21">
        <v>0</v>
      </c>
      <c r="K1593" s="21">
        <v>0.01</v>
      </c>
      <c r="L1593" s="21">
        <v>-0.11</v>
      </c>
    </row>
    <row r="1594" spans="1:12" ht="30" x14ac:dyDescent="0.25">
      <c r="A1594" s="10">
        <v>1589</v>
      </c>
      <c r="B1594" t="s">
        <v>12</v>
      </c>
      <c r="C1594" t="s">
        <v>17</v>
      </c>
      <c r="D1594" t="s">
        <v>635</v>
      </c>
      <c r="E1594" s="52" t="s">
        <v>419</v>
      </c>
      <c r="F1594" t="s">
        <v>16</v>
      </c>
      <c r="G1594" s="21">
        <v>0</v>
      </c>
      <c r="H1594" s="21">
        <v>0</v>
      </c>
      <c r="I1594" s="21">
        <v>-2.1800000000000002</v>
      </c>
      <c r="J1594" s="21">
        <v>0</v>
      </c>
      <c r="K1594" s="21">
        <v>0.04</v>
      </c>
      <c r="L1594" s="21">
        <v>-2.14</v>
      </c>
    </row>
    <row r="1595" spans="1:12" ht="30" x14ac:dyDescent="0.25">
      <c r="A1595" s="10">
        <v>1590</v>
      </c>
      <c r="B1595" t="s">
        <v>33</v>
      </c>
      <c r="C1595" t="s">
        <v>17</v>
      </c>
      <c r="D1595" t="s">
        <v>635</v>
      </c>
      <c r="E1595" s="52" t="s">
        <v>419</v>
      </c>
      <c r="F1595" t="s">
        <v>34</v>
      </c>
      <c r="G1595" s="21">
        <v>0</v>
      </c>
      <c r="H1595" s="21">
        <v>0</v>
      </c>
      <c r="I1595" s="21">
        <v>-2.42</v>
      </c>
      <c r="J1595" s="21">
        <v>0</v>
      </c>
      <c r="K1595" s="21">
        <v>0.05</v>
      </c>
      <c r="L1595" s="21">
        <v>-2.37</v>
      </c>
    </row>
    <row r="1596" spans="1:12" ht="30" x14ac:dyDescent="0.25">
      <c r="A1596" s="10">
        <v>1591</v>
      </c>
      <c r="B1596" t="s">
        <v>22</v>
      </c>
      <c r="C1596" t="s">
        <v>17</v>
      </c>
      <c r="D1596" t="s">
        <v>635</v>
      </c>
      <c r="E1596" s="52" t="s">
        <v>419</v>
      </c>
      <c r="F1596" t="s">
        <v>23</v>
      </c>
      <c r="G1596" s="21">
        <v>0</v>
      </c>
      <c r="H1596" s="21">
        <v>0</v>
      </c>
      <c r="I1596" s="21">
        <v>0</v>
      </c>
      <c r="J1596" s="21">
        <v>0</v>
      </c>
      <c r="K1596" s="21">
        <v>0</v>
      </c>
      <c r="L1596" s="21">
        <v>0</v>
      </c>
    </row>
    <row r="1597" spans="1:12" ht="30" x14ac:dyDescent="0.25">
      <c r="A1597" s="10">
        <v>1592</v>
      </c>
      <c r="B1597" t="s">
        <v>22</v>
      </c>
      <c r="C1597" t="s">
        <v>17</v>
      </c>
      <c r="D1597" t="s">
        <v>635</v>
      </c>
      <c r="E1597" s="52" t="s">
        <v>419</v>
      </c>
      <c r="F1597" t="s">
        <v>24</v>
      </c>
      <c r="G1597" s="21">
        <v>0</v>
      </c>
      <c r="H1597" s="21">
        <v>0</v>
      </c>
      <c r="I1597" s="21">
        <v>0</v>
      </c>
      <c r="J1597" s="21">
        <v>0</v>
      </c>
      <c r="K1597" s="21">
        <v>0</v>
      </c>
      <c r="L1597" s="21">
        <v>0</v>
      </c>
    </row>
    <row r="1598" spans="1:12" ht="30" x14ac:dyDescent="0.25">
      <c r="A1598" s="10">
        <v>1593</v>
      </c>
      <c r="B1598" t="s">
        <v>550</v>
      </c>
      <c r="C1598" t="s">
        <v>17</v>
      </c>
      <c r="D1598" t="s">
        <v>635</v>
      </c>
      <c r="E1598" s="52" t="s">
        <v>419</v>
      </c>
      <c r="F1598" t="s">
        <v>551</v>
      </c>
      <c r="G1598" s="21">
        <v>0</v>
      </c>
      <c r="H1598" s="21">
        <v>0</v>
      </c>
      <c r="I1598" s="21">
        <v>-18.05</v>
      </c>
      <c r="J1598" s="21">
        <v>0</v>
      </c>
      <c r="K1598" s="21">
        <v>0.36</v>
      </c>
      <c r="L1598" s="21">
        <v>-17.690000000000001</v>
      </c>
    </row>
    <row r="1599" spans="1:12" ht="30" x14ac:dyDescent="0.25">
      <c r="A1599" s="10">
        <v>1594</v>
      </c>
      <c r="B1599" t="s">
        <v>550</v>
      </c>
      <c r="C1599" t="s">
        <v>17</v>
      </c>
      <c r="D1599" t="s">
        <v>635</v>
      </c>
      <c r="E1599" s="52" t="s">
        <v>419</v>
      </c>
      <c r="F1599" t="s">
        <v>551</v>
      </c>
      <c r="G1599" s="21">
        <v>0</v>
      </c>
      <c r="H1599" s="21">
        <v>0</v>
      </c>
      <c r="I1599" s="21">
        <v>-267.14999999999998</v>
      </c>
      <c r="J1599" s="21">
        <v>0</v>
      </c>
      <c r="K1599" s="21">
        <v>5.34</v>
      </c>
      <c r="L1599" s="21">
        <v>-261.81</v>
      </c>
    </row>
    <row r="1600" spans="1:12" ht="30" x14ac:dyDescent="0.25">
      <c r="A1600" s="10">
        <v>1595</v>
      </c>
      <c r="B1600" t="s">
        <v>550</v>
      </c>
      <c r="C1600" t="s">
        <v>17</v>
      </c>
      <c r="D1600" t="s">
        <v>635</v>
      </c>
      <c r="E1600" s="52" t="s">
        <v>419</v>
      </c>
      <c r="F1600" t="s">
        <v>552</v>
      </c>
      <c r="G1600" s="21">
        <v>0</v>
      </c>
      <c r="H1600" s="21">
        <v>0</v>
      </c>
      <c r="I1600" s="21">
        <v>-0.02</v>
      </c>
      <c r="J1600" s="21">
        <v>0</v>
      </c>
      <c r="K1600" s="21">
        <v>0</v>
      </c>
      <c r="L1600" s="21">
        <v>-0.02</v>
      </c>
    </row>
    <row r="1601" spans="1:12" x14ac:dyDescent="0.25">
      <c r="A1601" s="10">
        <v>1596</v>
      </c>
      <c r="B1601" t="s">
        <v>555</v>
      </c>
      <c r="C1601" t="s">
        <v>17</v>
      </c>
      <c r="D1601" t="s">
        <v>422</v>
      </c>
      <c r="E1601" s="52" t="s">
        <v>423</v>
      </c>
      <c r="F1601" t="s">
        <v>556</v>
      </c>
      <c r="G1601" s="21">
        <v>0</v>
      </c>
      <c r="H1601" s="21">
        <v>0</v>
      </c>
      <c r="I1601" s="21">
        <v>-3.19</v>
      </c>
      <c r="J1601" s="21">
        <v>0</v>
      </c>
      <c r="K1601" s="21">
        <v>0.06</v>
      </c>
      <c r="L1601" s="21">
        <v>-3.13</v>
      </c>
    </row>
    <row r="1602" spans="1:12" x14ac:dyDescent="0.25">
      <c r="A1602" s="10">
        <v>1597</v>
      </c>
      <c r="B1602" t="s">
        <v>557</v>
      </c>
      <c r="C1602" t="s">
        <v>17</v>
      </c>
      <c r="D1602" t="s">
        <v>422</v>
      </c>
      <c r="E1602" s="52" t="s">
        <v>423</v>
      </c>
      <c r="F1602" t="s">
        <v>558</v>
      </c>
      <c r="G1602" s="21">
        <v>0</v>
      </c>
      <c r="H1602" s="21">
        <v>0</v>
      </c>
      <c r="I1602" s="21">
        <v>-2.97</v>
      </c>
      <c r="J1602" s="21">
        <v>0</v>
      </c>
      <c r="K1602" s="21">
        <v>0.06</v>
      </c>
      <c r="L1602" s="21">
        <v>-2.91</v>
      </c>
    </row>
    <row r="1603" spans="1:12" x14ac:dyDescent="0.25">
      <c r="A1603" s="10">
        <v>1598</v>
      </c>
      <c r="B1603" t="s">
        <v>559</v>
      </c>
      <c r="C1603" t="s">
        <v>17</v>
      </c>
      <c r="D1603" t="s">
        <v>422</v>
      </c>
      <c r="E1603" s="52" t="s">
        <v>423</v>
      </c>
      <c r="F1603" t="s">
        <v>560</v>
      </c>
      <c r="G1603" s="21">
        <v>0</v>
      </c>
      <c r="H1603" s="21">
        <v>0</v>
      </c>
      <c r="I1603" s="21">
        <v>-0.01</v>
      </c>
      <c r="J1603" s="21">
        <v>0</v>
      </c>
      <c r="K1603" s="21">
        <v>0</v>
      </c>
      <c r="L1603" s="21">
        <v>-0.01</v>
      </c>
    </row>
    <row r="1604" spans="1:12" x14ac:dyDescent="0.25">
      <c r="A1604" s="10">
        <v>1599</v>
      </c>
      <c r="B1604" t="s">
        <v>18</v>
      </c>
      <c r="C1604" t="s">
        <v>17</v>
      </c>
      <c r="D1604" t="s">
        <v>422</v>
      </c>
      <c r="E1604" s="52" t="s">
        <v>423</v>
      </c>
      <c r="F1604" t="s">
        <v>19</v>
      </c>
      <c r="G1604" s="21">
        <v>0</v>
      </c>
      <c r="H1604" s="21">
        <v>0</v>
      </c>
      <c r="I1604" s="21">
        <v>-0.2</v>
      </c>
      <c r="J1604" s="21">
        <v>0</v>
      </c>
      <c r="K1604" s="21">
        <v>0.02</v>
      </c>
      <c r="L1604" s="21">
        <v>-0.18</v>
      </c>
    </row>
    <row r="1605" spans="1:12" x14ac:dyDescent="0.25">
      <c r="A1605" s="10">
        <v>1600</v>
      </c>
      <c r="B1605" t="s">
        <v>550</v>
      </c>
      <c r="C1605" t="s">
        <v>17</v>
      </c>
      <c r="D1605" t="s">
        <v>422</v>
      </c>
      <c r="E1605" s="52" t="s">
        <v>423</v>
      </c>
      <c r="F1605" t="s">
        <v>551</v>
      </c>
      <c r="G1605" s="21">
        <v>0</v>
      </c>
      <c r="H1605" s="21">
        <v>0</v>
      </c>
      <c r="I1605" s="21">
        <v>-45.24</v>
      </c>
      <c r="J1605" s="21">
        <v>0</v>
      </c>
      <c r="K1605" s="21">
        <v>0.9</v>
      </c>
      <c r="L1605" s="21">
        <v>-44.34</v>
      </c>
    </row>
    <row r="1606" spans="1:12" x14ac:dyDescent="0.25">
      <c r="A1606" s="10">
        <v>1601</v>
      </c>
      <c r="B1606" t="s">
        <v>550</v>
      </c>
      <c r="C1606" t="s">
        <v>17</v>
      </c>
      <c r="D1606" t="s">
        <v>422</v>
      </c>
      <c r="E1606" s="52" t="s">
        <v>423</v>
      </c>
      <c r="F1606" t="s">
        <v>551</v>
      </c>
      <c r="G1606" s="21">
        <v>0</v>
      </c>
      <c r="H1606" s="21">
        <v>0</v>
      </c>
      <c r="I1606" s="21">
        <v>-398.08</v>
      </c>
      <c r="J1606" s="21">
        <v>0</v>
      </c>
      <c r="K1606" s="21">
        <v>7.96</v>
      </c>
      <c r="L1606" s="21">
        <v>-390.12</v>
      </c>
    </row>
    <row r="1607" spans="1:12" x14ac:dyDescent="0.25">
      <c r="A1607" s="10">
        <v>1602</v>
      </c>
      <c r="B1607" t="s">
        <v>550</v>
      </c>
      <c r="C1607" t="s">
        <v>17</v>
      </c>
      <c r="D1607" t="s">
        <v>422</v>
      </c>
      <c r="E1607" s="52" t="s">
        <v>423</v>
      </c>
      <c r="F1607" t="s">
        <v>552</v>
      </c>
      <c r="G1607" s="21">
        <v>0</v>
      </c>
      <c r="H1607" s="21">
        <v>0</v>
      </c>
      <c r="I1607" s="21">
        <v>-0.03</v>
      </c>
      <c r="J1607" s="21">
        <v>0</v>
      </c>
      <c r="K1607" s="21">
        <v>0</v>
      </c>
      <c r="L1607" s="21">
        <v>-0.03</v>
      </c>
    </row>
    <row r="1608" spans="1:12" ht="30" x14ac:dyDescent="0.25">
      <c r="A1608" s="10">
        <v>1603</v>
      </c>
      <c r="B1608" t="s">
        <v>555</v>
      </c>
      <c r="C1608" t="s">
        <v>17</v>
      </c>
      <c r="D1608" t="s">
        <v>424</v>
      </c>
      <c r="E1608" s="52" t="s">
        <v>425</v>
      </c>
      <c r="F1608" t="s">
        <v>556</v>
      </c>
      <c r="G1608" s="21">
        <v>-484.39</v>
      </c>
      <c r="H1608" s="21">
        <v>0</v>
      </c>
      <c r="I1608" s="21">
        <v>0</v>
      </c>
      <c r="J1608" s="21">
        <v>0</v>
      </c>
      <c r="K1608" s="21">
        <v>9.69</v>
      </c>
      <c r="L1608" s="21">
        <v>-474.7</v>
      </c>
    </row>
    <row r="1609" spans="1:12" ht="30" x14ac:dyDescent="0.25">
      <c r="A1609" s="10">
        <v>1604</v>
      </c>
      <c r="B1609" t="s">
        <v>555</v>
      </c>
      <c r="C1609" t="s">
        <v>13</v>
      </c>
      <c r="D1609" t="s">
        <v>424</v>
      </c>
      <c r="E1609" s="52" t="s">
        <v>425</v>
      </c>
      <c r="F1609" t="s">
        <v>556</v>
      </c>
      <c r="G1609" s="21">
        <v>0</v>
      </c>
      <c r="H1609" s="21">
        <v>0</v>
      </c>
      <c r="I1609" s="21">
        <v>0</v>
      </c>
      <c r="J1609" s="21">
        <v>-58.13</v>
      </c>
      <c r="K1609" s="21">
        <v>0</v>
      </c>
      <c r="L1609" s="21">
        <v>-58.13</v>
      </c>
    </row>
    <row r="1610" spans="1:12" ht="30" x14ac:dyDescent="0.25">
      <c r="A1610" s="10">
        <v>1605</v>
      </c>
      <c r="B1610" t="s">
        <v>557</v>
      </c>
      <c r="C1610" t="s">
        <v>17</v>
      </c>
      <c r="D1610" t="s">
        <v>424</v>
      </c>
      <c r="E1610" s="52" t="s">
        <v>425</v>
      </c>
      <c r="F1610" t="s">
        <v>558</v>
      </c>
      <c r="G1610" s="21">
        <v>-335.73</v>
      </c>
      <c r="H1610" s="21">
        <v>0</v>
      </c>
      <c r="I1610" s="21">
        <v>0</v>
      </c>
      <c r="J1610" s="21">
        <v>0</v>
      </c>
      <c r="K1610" s="21">
        <v>6.71</v>
      </c>
      <c r="L1610" s="21">
        <v>-329.02</v>
      </c>
    </row>
    <row r="1611" spans="1:12" ht="30" x14ac:dyDescent="0.25">
      <c r="A1611" s="10">
        <v>1606</v>
      </c>
      <c r="B1611" t="s">
        <v>557</v>
      </c>
      <c r="C1611" t="s">
        <v>13</v>
      </c>
      <c r="D1611" t="s">
        <v>424</v>
      </c>
      <c r="E1611" s="52" t="s">
        <v>425</v>
      </c>
      <c r="F1611" t="s">
        <v>558</v>
      </c>
      <c r="G1611" s="21">
        <v>0</v>
      </c>
      <c r="H1611" s="21">
        <v>0</v>
      </c>
      <c r="I1611" s="21">
        <v>0</v>
      </c>
      <c r="J1611" s="21">
        <v>-40.29</v>
      </c>
      <c r="K1611" s="21">
        <v>0</v>
      </c>
      <c r="L1611" s="21">
        <v>-40.29</v>
      </c>
    </row>
    <row r="1612" spans="1:12" ht="30" x14ac:dyDescent="0.25">
      <c r="A1612" s="10">
        <v>1607</v>
      </c>
      <c r="B1612" t="s">
        <v>566</v>
      </c>
      <c r="C1612" t="s">
        <v>17</v>
      </c>
      <c r="D1612" t="s">
        <v>424</v>
      </c>
      <c r="E1612" s="52" t="s">
        <v>425</v>
      </c>
      <c r="F1612" t="s">
        <v>567</v>
      </c>
      <c r="G1612" s="21">
        <v>-0.23</v>
      </c>
      <c r="H1612" s="21">
        <v>0</v>
      </c>
      <c r="I1612" s="21">
        <v>0</v>
      </c>
      <c r="J1612" s="21">
        <v>0</v>
      </c>
      <c r="K1612" s="21">
        <v>0</v>
      </c>
      <c r="L1612" s="21">
        <v>-0.23</v>
      </c>
    </row>
    <row r="1613" spans="1:12" ht="30" x14ac:dyDescent="0.25">
      <c r="A1613" s="10">
        <v>1608</v>
      </c>
      <c r="B1613" t="s">
        <v>566</v>
      </c>
      <c r="C1613" t="s">
        <v>13</v>
      </c>
      <c r="D1613" t="s">
        <v>424</v>
      </c>
      <c r="E1613" s="52" t="s">
        <v>425</v>
      </c>
      <c r="F1613" t="s">
        <v>567</v>
      </c>
      <c r="G1613" s="21">
        <v>0</v>
      </c>
      <c r="H1613" s="21">
        <v>0</v>
      </c>
      <c r="I1613" s="21">
        <v>0</v>
      </c>
      <c r="J1613" s="21">
        <v>-0.02</v>
      </c>
      <c r="K1613" s="21">
        <v>0</v>
      </c>
      <c r="L1613" s="21">
        <v>-0.02</v>
      </c>
    </row>
    <row r="1614" spans="1:12" ht="30" x14ac:dyDescent="0.25">
      <c r="A1614" s="10">
        <v>1609</v>
      </c>
      <c r="B1614" t="s">
        <v>18</v>
      </c>
      <c r="C1614" t="s">
        <v>17</v>
      </c>
      <c r="D1614" t="s">
        <v>424</v>
      </c>
      <c r="E1614" s="52" t="s">
        <v>425</v>
      </c>
      <c r="F1614" t="s">
        <v>19</v>
      </c>
      <c r="G1614" s="21">
        <v>-1.38</v>
      </c>
      <c r="H1614" s="21">
        <v>0</v>
      </c>
      <c r="I1614" s="21">
        <v>0</v>
      </c>
      <c r="J1614" s="21">
        <v>0</v>
      </c>
      <c r="K1614" s="21">
        <v>1.23</v>
      </c>
      <c r="L1614" s="21">
        <v>-0.15</v>
      </c>
    </row>
    <row r="1615" spans="1:12" ht="30" x14ac:dyDescent="0.25">
      <c r="A1615" s="10">
        <v>1610</v>
      </c>
      <c r="B1615" t="s">
        <v>550</v>
      </c>
      <c r="C1615" t="s">
        <v>13</v>
      </c>
      <c r="D1615" t="s">
        <v>424</v>
      </c>
      <c r="E1615" s="52" t="s">
        <v>425</v>
      </c>
      <c r="F1615" t="s">
        <v>551</v>
      </c>
      <c r="G1615" s="21">
        <v>0</v>
      </c>
      <c r="H1615" s="21">
        <v>0</v>
      </c>
      <c r="I1615" s="21">
        <v>0</v>
      </c>
      <c r="J1615" s="21">
        <v>-1856.31</v>
      </c>
      <c r="K1615" s="21">
        <v>0</v>
      </c>
      <c r="L1615" s="21">
        <v>-1856.31</v>
      </c>
    </row>
    <row r="1616" spans="1:12" ht="30" x14ac:dyDescent="0.25">
      <c r="A1616" s="10">
        <v>1611</v>
      </c>
      <c r="B1616" t="s">
        <v>550</v>
      </c>
      <c r="C1616" t="s">
        <v>17</v>
      </c>
      <c r="D1616" t="s">
        <v>424</v>
      </c>
      <c r="E1616" s="52" t="s">
        <v>425</v>
      </c>
      <c r="F1616" t="s">
        <v>551</v>
      </c>
      <c r="G1616" s="21">
        <v>-15469.28</v>
      </c>
      <c r="H1616" s="21">
        <v>0</v>
      </c>
      <c r="I1616" s="21">
        <v>0</v>
      </c>
      <c r="J1616" s="21">
        <v>0</v>
      </c>
      <c r="K1616" s="21">
        <v>309.39</v>
      </c>
      <c r="L1616" s="21">
        <v>-15159.89</v>
      </c>
    </row>
    <row r="1617" spans="1:12" ht="30" x14ac:dyDescent="0.25">
      <c r="A1617" s="10">
        <v>1612</v>
      </c>
      <c r="B1617" t="s">
        <v>550</v>
      </c>
      <c r="C1617" t="s">
        <v>13</v>
      </c>
      <c r="D1617" t="s">
        <v>424</v>
      </c>
      <c r="E1617" s="52" t="s">
        <v>425</v>
      </c>
      <c r="F1617" t="s">
        <v>552</v>
      </c>
      <c r="G1617" s="21">
        <v>0</v>
      </c>
      <c r="H1617" s="21">
        <v>0</v>
      </c>
      <c r="I1617" s="21">
        <v>0</v>
      </c>
      <c r="J1617" s="21">
        <v>-0.13</v>
      </c>
      <c r="K1617" s="21">
        <v>0</v>
      </c>
      <c r="L1617" s="21">
        <v>-0.13</v>
      </c>
    </row>
    <row r="1618" spans="1:12" ht="30" x14ac:dyDescent="0.25">
      <c r="A1618" s="10">
        <v>1613</v>
      </c>
      <c r="B1618" t="s">
        <v>550</v>
      </c>
      <c r="C1618" t="s">
        <v>17</v>
      </c>
      <c r="D1618" t="s">
        <v>424</v>
      </c>
      <c r="E1618" s="52" t="s">
        <v>425</v>
      </c>
      <c r="F1618" t="s">
        <v>552</v>
      </c>
      <c r="G1618" s="21">
        <v>-1.1100000000000001</v>
      </c>
      <c r="H1618" s="21">
        <v>0</v>
      </c>
      <c r="I1618" s="21">
        <v>0</v>
      </c>
      <c r="J1618" s="21">
        <v>0</v>
      </c>
      <c r="K1618" s="21">
        <v>0.02</v>
      </c>
      <c r="L1618" s="21">
        <v>-1.0900000000000001</v>
      </c>
    </row>
    <row r="1619" spans="1:12" ht="30" x14ac:dyDescent="0.25">
      <c r="A1619" s="10">
        <v>1614</v>
      </c>
      <c r="B1619" t="s">
        <v>555</v>
      </c>
      <c r="C1619" t="s">
        <v>17</v>
      </c>
      <c r="D1619" t="s">
        <v>426</v>
      </c>
      <c r="E1619" s="52" t="s">
        <v>427</v>
      </c>
      <c r="F1619" t="s">
        <v>556</v>
      </c>
      <c r="G1619" s="21">
        <v>-556.55999999999995</v>
      </c>
      <c r="H1619" s="21">
        <v>0</v>
      </c>
      <c r="I1619" s="21">
        <v>0</v>
      </c>
      <c r="J1619" s="21">
        <v>0</v>
      </c>
      <c r="K1619" s="21">
        <v>11.13</v>
      </c>
      <c r="L1619" s="21">
        <v>-545.42999999999995</v>
      </c>
    </row>
    <row r="1620" spans="1:12" ht="30" x14ac:dyDescent="0.25">
      <c r="A1620" s="10">
        <v>1615</v>
      </c>
      <c r="B1620" t="s">
        <v>555</v>
      </c>
      <c r="C1620" t="s">
        <v>49</v>
      </c>
      <c r="D1620" t="s">
        <v>426</v>
      </c>
      <c r="E1620" s="52" t="s">
        <v>427</v>
      </c>
      <c r="F1620" t="s">
        <v>556</v>
      </c>
      <c r="G1620" s="21">
        <v>-0.17</v>
      </c>
      <c r="H1620" s="21">
        <v>0</v>
      </c>
      <c r="I1620" s="21">
        <v>0</v>
      </c>
      <c r="J1620" s="21">
        <v>0</v>
      </c>
      <c r="K1620" s="21">
        <v>0</v>
      </c>
      <c r="L1620" s="21">
        <v>-0.17</v>
      </c>
    </row>
    <row r="1621" spans="1:12" ht="30" x14ac:dyDescent="0.25">
      <c r="A1621" s="10">
        <v>1616</v>
      </c>
      <c r="B1621" t="s">
        <v>555</v>
      </c>
      <c r="C1621" t="s">
        <v>13</v>
      </c>
      <c r="D1621" t="s">
        <v>426</v>
      </c>
      <c r="E1621" s="52" t="s">
        <v>427</v>
      </c>
      <c r="F1621" t="s">
        <v>556</v>
      </c>
      <c r="G1621" s="21">
        <v>0</v>
      </c>
      <c r="H1621" s="21">
        <v>0</v>
      </c>
      <c r="I1621" s="21">
        <v>0</v>
      </c>
      <c r="J1621" s="21">
        <v>-66.790000000000006</v>
      </c>
      <c r="K1621" s="21">
        <v>0</v>
      </c>
      <c r="L1621" s="21">
        <v>-66.790000000000006</v>
      </c>
    </row>
    <row r="1622" spans="1:12" ht="30" x14ac:dyDescent="0.25">
      <c r="A1622" s="10">
        <v>1617</v>
      </c>
      <c r="B1622" t="s">
        <v>557</v>
      </c>
      <c r="C1622" t="s">
        <v>17</v>
      </c>
      <c r="D1622" t="s">
        <v>426</v>
      </c>
      <c r="E1622" s="52" t="s">
        <v>427</v>
      </c>
      <c r="F1622" t="s">
        <v>558</v>
      </c>
      <c r="G1622" s="21">
        <v>-386.43</v>
      </c>
      <c r="H1622" s="21">
        <v>0</v>
      </c>
      <c r="I1622" s="21">
        <v>0</v>
      </c>
      <c r="J1622" s="21">
        <v>0</v>
      </c>
      <c r="K1622" s="21">
        <v>7.73</v>
      </c>
      <c r="L1622" s="21">
        <v>-378.7</v>
      </c>
    </row>
    <row r="1623" spans="1:12" ht="30" x14ac:dyDescent="0.25">
      <c r="A1623" s="10">
        <v>1618</v>
      </c>
      <c r="B1623" t="s">
        <v>557</v>
      </c>
      <c r="C1623" t="s">
        <v>49</v>
      </c>
      <c r="D1623" t="s">
        <v>426</v>
      </c>
      <c r="E1623" s="52" t="s">
        <v>427</v>
      </c>
      <c r="F1623" t="s">
        <v>558</v>
      </c>
      <c r="G1623" s="21">
        <v>-0.12</v>
      </c>
      <c r="H1623" s="21">
        <v>0</v>
      </c>
      <c r="I1623" s="21">
        <v>0</v>
      </c>
      <c r="J1623" s="21">
        <v>0</v>
      </c>
      <c r="K1623" s="21">
        <v>0</v>
      </c>
      <c r="L1623" s="21">
        <v>-0.12</v>
      </c>
    </row>
    <row r="1624" spans="1:12" ht="30" x14ac:dyDescent="0.25">
      <c r="A1624" s="10">
        <v>1619</v>
      </c>
      <c r="B1624" t="s">
        <v>557</v>
      </c>
      <c r="C1624" t="s">
        <v>13</v>
      </c>
      <c r="D1624" t="s">
        <v>426</v>
      </c>
      <c r="E1624" s="52" t="s">
        <v>427</v>
      </c>
      <c r="F1624" t="s">
        <v>558</v>
      </c>
      <c r="G1624" s="21">
        <v>0</v>
      </c>
      <c r="H1624" s="21">
        <v>0</v>
      </c>
      <c r="I1624" s="21">
        <v>0</v>
      </c>
      <c r="J1624" s="21">
        <v>-46.37</v>
      </c>
      <c r="K1624" s="21">
        <v>0</v>
      </c>
      <c r="L1624" s="21">
        <v>-46.37</v>
      </c>
    </row>
    <row r="1625" spans="1:12" ht="30" x14ac:dyDescent="0.25">
      <c r="A1625" s="10">
        <v>1620</v>
      </c>
      <c r="B1625" t="s">
        <v>18</v>
      </c>
      <c r="C1625" t="s">
        <v>17</v>
      </c>
      <c r="D1625" t="s">
        <v>426</v>
      </c>
      <c r="E1625" s="52" t="s">
        <v>427</v>
      </c>
      <c r="F1625" t="s">
        <v>19</v>
      </c>
      <c r="G1625" s="21">
        <v>-0.18</v>
      </c>
      <c r="H1625" s="21">
        <v>0</v>
      </c>
      <c r="I1625" s="21">
        <v>0</v>
      </c>
      <c r="J1625" s="21">
        <v>0</v>
      </c>
      <c r="K1625" s="21">
        <v>0.16</v>
      </c>
      <c r="L1625" s="21">
        <v>-0.02</v>
      </c>
    </row>
    <row r="1626" spans="1:12" ht="30" x14ac:dyDescent="0.25">
      <c r="A1626" s="10">
        <v>1621</v>
      </c>
      <c r="B1626" t="s">
        <v>22</v>
      </c>
      <c r="C1626" t="s">
        <v>13</v>
      </c>
      <c r="D1626" t="s">
        <v>426</v>
      </c>
      <c r="E1626" s="52" t="s">
        <v>427</v>
      </c>
      <c r="F1626" t="s">
        <v>23</v>
      </c>
      <c r="G1626" s="21">
        <v>0</v>
      </c>
      <c r="H1626" s="21">
        <v>0</v>
      </c>
      <c r="I1626" s="21">
        <v>0</v>
      </c>
      <c r="J1626" s="21">
        <v>-0.46</v>
      </c>
      <c r="K1626" s="21">
        <v>0</v>
      </c>
      <c r="L1626" s="21">
        <v>-0.46</v>
      </c>
    </row>
    <row r="1627" spans="1:12" ht="30" x14ac:dyDescent="0.25">
      <c r="A1627" s="10">
        <v>1622</v>
      </c>
      <c r="B1627" t="s">
        <v>22</v>
      </c>
      <c r="C1627" t="s">
        <v>13</v>
      </c>
      <c r="D1627" t="s">
        <v>426</v>
      </c>
      <c r="E1627" s="52" t="s">
        <v>427</v>
      </c>
      <c r="F1627" t="s">
        <v>24</v>
      </c>
      <c r="G1627" s="21">
        <v>0</v>
      </c>
      <c r="H1627" s="21">
        <v>0</v>
      </c>
      <c r="I1627" s="21">
        <v>0</v>
      </c>
      <c r="J1627" s="21">
        <v>0</v>
      </c>
      <c r="K1627" s="21">
        <v>0</v>
      </c>
      <c r="L1627" s="21">
        <v>0</v>
      </c>
    </row>
    <row r="1628" spans="1:12" ht="30" x14ac:dyDescent="0.25">
      <c r="A1628" s="10">
        <v>1623</v>
      </c>
      <c r="B1628" t="s">
        <v>550</v>
      </c>
      <c r="C1628" t="s">
        <v>17</v>
      </c>
      <c r="D1628" t="s">
        <v>426</v>
      </c>
      <c r="E1628" s="52" t="s">
        <v>427</v>
      </c>
      <c r="F1628" t="s">
        <v>551</v>
      </c>
      <c r="G1628" s="21">
        <v>-10603.96</v>
      </c>
      <c r="H1628" s="21">
        <v>0</v>
      </c>
      <c r="I1628" s="21">
        <v>0</v>
      </c>
      <c r="J1628" s="21">
        <v>0</v>
      </c>
      <c r="K1628" s="21">
        <v>212.08</v>
      </c>
      <c r="L1628" s="21">
        <v>-10391.879999999999</v>
      </c>
    </row>
    <row r="1629" spans="1:12" ht="30" x14ac:dyDescent="0.25">
      <c r="A1629" s="10">
        <v>1624</v>
      </c>
      <c r="B1629" t="s">
        <v>550</v>
      </c>
      <c r="C1629" t="s">
        <v>49</v>
      </c>
      <c r="D1629" t="s">
        <v>426</v>
      </c>
      <c r="E1629" s="52" t="s">
        <v>427</v>
      </c>
      <c r="F1629" t="s">
        <v>551</v>
      </c>
      <c r="G1629" s="21">
        <v>-3.32</v>
      </c>
      <c r="H1629" s="21">
        <v>0</v>
      </c>
      <c r="I1629" s="21">
        <v>0</v>
      </c>
      <c r="J1629" s="21">
        <v>0</v>
      </c>
      <c r="K1629" s="21">
        <v>0</v>
      </c>
      <c r="L1629" s="21">
        <v>-3.32</v>
      </c>
    </row>
    <row r="1630" spans="1:12" ht="30" x14ac:dyDescent="0.25">
      <c r="A1630" s="10">
        <v>1625</v>
      </c>
      <c r="B1630" t="s">
        <v>550</v>
      </c>
      <c r="C1630" t="s">
        <v>13</v>
      </c>
      <c r="D1630" t="s">
        <v>426</v>
      </c>
      <c r="E1630" s="52" t="s">
        <v>427</v>
      </c>
      <c r="F1630" t="s">
        <v>551</v>
      </c>
      <c r="G1630" s="21">
        <v>0</v>
      </c>
      <c r="H1630" s="21">
        <v>0</v>
      </c>
      <c r="I1630" s="21">
        <v>0</v>
      </c>
      <c r="J1630" s="21">
        <v>-1263.8699999999999</v>
      </c>
      <c r="K1630" s="21">
        <v>0</v>
      </c>
      <c r="L1630" s="21">
        <v>-1263.8699999999999</v>
      </c>
    </row>
    <row r="1631" spans="1:12" ht="30" x14ac:dyDescent="0.25">
      <c r="A1631" s="10">
        <v>1626</v>
      </c>
      <c r="B1631" t="s">
        <v>550</v>
      </c>
      <c r="C1631" t="s">
        <v>17</v>
      </c>
      <c r="D1631" t="s">
        <v>426</v>
      </c>
      <c r="E1631" s="52" t="s">
        <v>427</v>
      </c>
      <c r="F1631" t="s">
        <v>552</v>
      </c>
      <c r="G1631" s="21">
        <v>-0.76</v>
      </c>
      <c r="H1631" s="21">
        <v>0</v>
      </c>
      <c r="I1631" s="21">
        <v>0</v>
      </c>
      <c r="J1631" s="21">
        <v>0</v>
      </c>
      <c r="K1631" s="21">
        <v>0.02</v>
      </c>
      <c r="L1631" s="21">
        <v>-0.74</v>
      </c>
    </row>
    <row r="1632" spans="1:12" ht="30" x14ac:dyDescent="0.25">
      <c r="A1632" s="10">
        <v>1627</v>
      </c>
      <c r="B1632" t="s">
        <v>550</v>
      </c>
      <c r="C1632" t="s">
        <v>13</v>
      </c>
      <c r="D1632" t="s">
        <v>426</v>
      </c>
      <c r="E1632" s="52" t="s">
        <v>427</v>
      </c>
      <c r="F1632" t="s">
        <v>552</v>
      </c>
      <c r="G1632" s="21">
        <v>0</v>
      </c>
      <c r="H1632" s="21">
        <v>0</v>
      </c>
      <c r="I1632" s="21">
        <v>0</v>
      </c>
      <c r="J1632" s="21">
        <v>-0.09</v>
      </c>
      <c r="K1632" s="21">
        <v>0</v>
      </c>
      <c r="L1632" s="21">
        <v>-0.09</v>
      </c>
    </row>
    <row r="1633" spans="1:12" ht="30" x14ac:dyDescent="0.25">
      <c r="A1633" s="10">
        <v>1628</v>
      </c>
      <c r="B1633" t="s">
        <v>559</v>
      </c>
      <c r="C1633" t="s">
        <v>17</v>
      </c>
      <c r="D1633" t="s">
        <v>428</v>
      </c>
      <c r="E1633" s="52" t="s">
        <v>429</v>
      </c>
      <c r="F1633" t="s">
        <v>560</v>
      </c>
      <c r="G1633" s="21">
        <v>-7.0000000000000007E-2</v>
      </c>
      <c r="H1633" s="21">
        <v>0</v>
      </c>
      <c r="I1633" s="21">
        <v>0</v>
      </c>
      <c r="J1633" s="21">
        <v>0</v>
      </c>
      <c r="K1633" s="21">
        <v>0</v>
      </c>
      <c r="L1633" s="21">
        <v>-7.0000000000000007E-2</v>
      </c>
    </row>
    <row r="1634" spans="1:12" ht="30" x14ac:dyDescent="0.25">
      <c r="A1634" s="10">
        <v>1629</v>
      </c>
      <c r="B1634" t="s">
        <v>559</v>
      </c>
      <c r="C1634" t="s">
        <v>13</v>
      </c>
      <c r="D1634" t="s">
        <v>428</v>
      </c>
      <c r="E1634" s="52" t="s">
        <v>429</v>
      </c>
      <c r="F1634" t="s">
        <v>560</v>
      </c>
      <c r="G1634" s="21">
        <v>0</v>
      </c>
      <c r="H1634" s="21">
        <v>0</v>
      </c>
      <c r="I1634" s="21">
        <v>0</v>
      </c>
      <c r="J1634" s="21">
        <v>-0.01</v>
      </c>
      <c r="K1634" s="21">
        <v>0</v>
      </c>
      <c r="L1634" s="21">
        <v>-0.01</v>
      </c>
    </row>
    <row r="1635" spans="1:12" ht="30" x14ac:dyDescent="0.25">
      <c r="A1635" s="10">
        <v>1630</v>
      </c>
      <c r="B1635" t="s">
        <v>18</v>
      </c>
      <c r="C1635" t="s">
        <v>17</v>
      </c>
      <c r="D1635" t="s">
        <v>428</v>
      </c>
      <c r="E1635" s="52" t="s">
        <v>429</v>
      </c>
      <c r="F1635" t="s">
        <v>19</v>
      </c>
      <c r="G1635" s="21">
        <v>-0.02</v>
      </c>
      <c r="H1635" s="21">
        <v>0</v>
      </c>
      <c r="I1635" s="21">
        <v>0</v>
      </c>
      <c r="J1635" s="21">
        <v>0</v>
      </c>
      <c r="K1635" s="21">
        <v>0.01</v>
      </c>
      <c r="L1635" s="21">
        <v>-0.01</v>
      </c>
    </row>
    <row r="1636" spans="1:12" ht="30" x14ac:dyDescent="0.25">
      <c r="A1636" s="10">
        <v>1631</v>
      </c>
      <c r="B1636" t="s">
        <v>18</v>
      </c>
      <c r="C1636" t="s">
        <v>17</v>
      </c>
      <c r="D1636" t="s">
        <v>428</v>
      </c>
      <c r="E1636" s="52" t="s">
        <v>429</v>
      </c>
      <c r="F1636" t="s">
        <v>19</v>
      </c>
      <c r="G1636" s="21">
        <v>-1.04</v>
      </c>
      <c r="H1636" s="21">
        <v>0</v>
      </c>
      <c r="I1636" s="21">
        <v>0</v>
      </c>
      <c r="J1636" s="21">
        <v>0</v>
      </c>
      <c r="K1636" s="21">
        <v>0.93</v>
      </c>
      <c r="L1636" s="21">
        <v>-0.11</v>
      </c>
    </row>
    <row r="1637" spans="1:12" ht="30" x14ac:dyDescent="0.25">
      <c r="A1637" s="10">
        <v>1632</v>
      </c>
      <c r="B1637" t="s">
        <v>550</v>
      </c>
      <c r="C1637" t="s">
        <v>13</v>
      </c>
      <c r="D1637" t="s">
        <v>428</v>
      </c>
      <c r="E1637" s="52" t="s">
        <v>429</v>
      </c>
      <c r="F1637" t="s">
        <v>551</v>
      </c>
      <c r="G1637" s="21">
        <v>0</v>
      </c>
      <c r="H1637" s="21">
        <v>0</v>
      </c>
      <c r="I1637" s="21">
        <v>0</v>
      </c>
      <c r="J1637" s="21">
        <v>-192.39</v>
      </c>
      <c r="K1637" s="21">
        <v>0</v>
      </c>
      <c r="L1637" s="21">
        <v>-192.39</v>
      </c>
    </row>
    <row r="1638" spans="1:12" ht="30" x14ac:dyDescent="0.25">
      <c r="A1638" s="10">
        <v>1633</v>
      </c>
      <c r="B1638" t="s">
        <v>550</v>
      </c>
      <c r="C1638" t="s">
        <v>13</v>
      </c>
      <c r="D1638" t="s">
        <v>428</v>
      </c>
      <c r="E1638" s="52" t="s">
        <v>429</v>
      </c>
      <c r="F1638" t="s">
        <v>551</v>
      </c>
      <c r="G1638" s="21">
        <v>0</v>
      </c>
      <c r="H1638" s="21">
        <v>0</v>
      </c>
      <c r="I1638" s="21">
        <v>0</v>
      </c>
      <c r="J1638" s="21">
        <v>-66.099999999999994</v>
      </c>
      <c r="K1638" s="21">
        <v>0</v>
      </c>
      <c r="L1638" s="21">
        <v>-66.099999999999994</v>
      </c>
    </row>
    <row r="1639" spans="1:12" ht="30" x14ac:dyDescent="0.25">
      <c r="A1639" s="10">
        <v>1634</v>
      </c>
      <c r="B1639" t="s">
        <v>550</v>
      </c>
      <c r="C1639" t="s">
        <v>17</v>
      </c>
      <c r="D1639" t="s">
        <v>428</v>
      </c>
      <c r="E1639" s="52" t="s">
        <v>429</v>
      </c>
      <c r="F1639" t="s">
        <v>551</v>
      </c>
      <c r="G1639" s="21">
        <v>-1603.26</v>
      </c>
      <c r="H1639" s="21">
        <v>0</v>
      </c>
      <c r="I1639" s="21">
        <v>0</v>
      </c>
      <c r="J1639" s="21">
        <v>0</v>
      </c>
      <c r="K1639" s="21">
        <v>32.07</v>
      </c>
      <c r="L1639" s="21">
        <v>-1571.19</v>
      </c>
    </row>
    <row r="1640" spans="1:12" ht="30" x14ac:dyDescent="0.25">
      <c r="A1640" s="10">
        <v>1635</v>
      </c>
      <c r="B1640" t="s">
        <v>550</v>
      </c>
      <c r="C1640" t="s">
        <v>17</v>
      </c>
      <c r="D1640" t="s">
        <v>428</v>
      </c>
      <c r="E1640" s="52" t="s">
        <v>429</v>
      </c>
      <c r="F1640" t="s">
        <v>551</v>
      </c>
      <c r="G1640" s="21">
        <v>-550.82000000000005</v>
      </c>
      <c r="H1640" s="21">
        <v>0</v>
      </c>
      <c r="I1640" s="21">
        <v>0</v>
      </c>
      <c r="J1640" s="21">
        <v>0</v>
      </c>
      <c r="K1640" s="21">
        <v>11.02</v>
      </c>
      <c r="L1640" s="21">
        <v>-539.79999999999995</v>
      </c>
    </row>
    <row r="1641" spans="1:12" ht="30" x14ac:dyDescent="0.25">
      <c r="A1641" s="10">
        <v>1636</v>
      </c>
      <c r="B1641" t="s">
        <v>550</v>
      </c>
      <c r="C1641" t="s">
        <v>13</v>
      </c>
      <c r="D1641" t="s">
        <v>428</v>
      </c>
      <c r="E1641" s="52" t="s">
        <v>429</v>
      </c>
      <c r="F1641" t="s">
        <v>552</v>
      </c>
      <c r="G1641" s="21">
        <v>0</v>
      </c>
      <c r="H1641" s="21">
        <v>0</v>
      </c>
      <c r="I1641" s="21">
        <v>0</v>
      </c>
      <c r="J1641" s="21">
        <v>-0.01</v>
      </c>
      <c r="K1641" s="21">
        <v>0</v>
      </c>
      <c r="L1641" s="21">
        <v>-0.01</v>
      </c>
    </row>
    <row r="1642" spans="1:12" ht="30" x14ac:dyDescent="0.25">
      <c r="A1642" s="10">
        <v>1637</v>
      </c>
      <c r="B1642" t="s">
        <v>550</v>
      </c>
      <c r="C1642" t="s">
        <v>13</v>
      </c>
      <c r="D1642" t="s">
        <v>428</v>
      </c>
      <c r="E1642" s="52" t="s">
        <v>429</v>
      </c>
      <c r="F1642" t="s">
        <v>552</v>
      </c>
      <c r="G1642" s="21">
        <v>0</v>
      </c>
      <c r="H1642" s="21">
        <v>0</v>
      </c>
      <c r="I1642" s="21">
        <v>0</v>
      </c>
      <c r="J1642" s="21">
        <v>0</v>
      </c>
      <c r="K1642" s="21">
        <v>0</v>
      </c>
      <c r="L1642" s="21">
        <v>0</v>
      </c>
    </row>
    <row r="1643" spans="1:12" ht="30" x14ac:dyDescent="0.25">
      <c r="A1643" s="10">
        <v>1638</v>
      </c>
      <c r="B1643" t="s">
        <v>550</v>
      </c>
      <c r="C1643" t="s">
        <v>17</v>
      </c>
      <c r="D1643" t="s">
        <v>428</v>
      </c>
      <c r="E1643" s="52" t="s">
        <v>429</v>
      </c>
      <c r="F1643" t="s">
        <v>552</v>
      </c>
      <c r="G1643" s="21">
        <v>-0.12</v>
      </c>
      <c r="H1643" s="21">
        <v>0</v>
      </c>
      <c r="I1643" s="21">
        <v>0</v>
      </c>
      <c r="J1643" s="21">
        <v>0</v>
      </c>
      <c r="K1643" s="21">
        <v>0</v>
      </c>
      <c r="L1643" s="21">
        <v>-0.12</v>
      </c>
    </row>
    <row r="1644" spans="1:12" ht="30" x14ac:dyDescent="0.25">
      <c r="A1644" s="10">
        <v>1639</v>
      </c>
      <c r="B1644" t="s">
        <v>550</v>
      </c>
      <c r="C1644" t="s">
        <v>17</v>
      </c>
      <c r="D1644" t="s">
        <v>428</v>
      </c>
      <c r="E1644" s="52" t="s">
        <v>429</v>
      </c>
      <c r="F1644" t="s">
        <v>552</v>
      </c>
      <c r="G1644" s="21">
        <v>-0.04</v>
      </c>
      <c r="H1644" s="21">
        <v>0</v>
      </c>
      <c r="I1644" s="21">
        <v>0</v>
      </c>
      <c r="J1644" s="21">
        <v>0</v>
      </c>
      <c r="K1644" s="21">
        <v>0</v>
      </c>
      <c r="L1644" s="21">
        <v>-0.04</v>
      </c>
    </row>
    <row r="1645" spans="1:12" x14ac:dyDescent="0.25">
      <c r="A1645" s="10">
        <v>1640</v>
      </c>
      <c r="B1645" t="s">
        <v>18</v>
      </c>
      <c r="C1645" t="s">
        <v>17</v>
      </c>
      <c r="D1645" t="s">
        <v>430</v>
      </c>
      <c r="E1645" s="52" t="s">
        <v>431</v>
      </c>
      <c r="F1645" t="s">
        <v>19</v>
      </c>
      <c r="G1645" s="21">
        <v>0</v>
      </c>
      <c r="H1645" s="21">
        <v>0</v>
      </c>
      <c r="I1645" s="21">
        <v>-0.67</v>
      </c>
      <c r="J1645" s="21">
        <v>0</v>
      </c>
      <c r="K1645" s="21">
        <v>0.08</v>
      </c>
      <c r="L1645" s="21">
        <v>-0.59</v>
      </c>
    </row>
    <row r="1646" spans="1:12" x14ac:dyDescent="0.25">
      <c r="A1646" s="10">
        <v>1641</v>
      </c>
      <c r="B1646" t="s">
        <v>550</v>
      </c>
      <c r="C1646" t="s">
        <v>17</v>
      </c>
      <c r="D1646" t="s">
        <v>430</v>
      </c>
      <c r="E1646" s="52" t="s">
        <v>431</v>
      </c>
      <c r="F1646" t="s">
        <v>551</v>
      </c>
      <c r="G1646" s="21">
        <v>0</v>
      </c>
      <c r="H1646" s="21">
        <v>0</v>
      </c>
      <c r="I1646" s="21">
        <v>-7.82</v>
      </c>
      <c r="J1646" s="21">
        <v>0</v>
      </c>
      <c r="K1646" s="21">
        <v>0.16</v>
      </c>
      <c r="L1646" s="21">
        <v>-7.66</v>
      </c>
    </row>
    <row r="1647" spans="1:12" x14ac:dyDescent="0.25">
      <c r="A1647" s="10">
        <v>1642</v>
      </c>
      <c r="B1647" t="s">
        <v>550</v>
      </c>
      <c r="C1647" t="s">
        <v>17</v>
      </c>
      <c r="D1647" t="s">
        <v>430</v>
      </c>
      <c r="E1647" s="52" t="s">
        <v>431</v>
      </c>
      <c r="F1647" t="s">
        <v>551</v>
      </c>
      <c r="G1647" s="21">
        <v>0</v>
      </c>
      <c r="H1647" s="21">
        <v>0</v>
      </c>
      <c r="I1647" s="21">
        <v>-1081.2</v>
      </c>
      <c r="J1647" s="21">
        <v>0</v>
      </c>
      <c r="K1647" s="21">
        <v>21.62</v>
      </c>
      <c r="L1647" s="21">
        <v>-1059.58</v>
      </c>
    </row>
    <row r="1648" spans="1:12" x14ac:dyDescent="0.25">
      <c r="A1648" s="10">
        <v>1643</v>
      </c>
      <c r="B1648" t="s">
        <v>550</v>
      </c>
      <c r="C1648" t="s">
        <v>17</v>
      </c>
      <c r="D1648" t="s">
        <v>430</v>
      </c>
      <c r="E1648" s="52" t="s">
        <v>431</v>
      </c>
      <c r="F1648" t="s">
        <v>552</v>
      </c>
      <c r="G1648" s="21">
        <v>0</v>
      </c>
      <c r="H1648" s="21">
        <v>0</v>
      </c>
      <c r="I1648" s="21">
        <v>-0.08</v>
      </c>
      <c r="J1648" s="21">
        <v>0</v>
      </c>
      <c r="K1648" s="21">
        <v>0</v>
      </c>
      <c r="L1648" s="21">
        <v>-0.08</v>
      </c>
    </row>
    <row r="1649" spans="1:12" x14ac:dyDescent="0.25">
      <c r="A1649" s="10">
        <v>1644</v>
      </c>
      <c r="B1649" t="s">
        <v>555</v>
      </c>
      <c r="C1649" t="s">
        <v>17</v>
      </c>
      <c r="D1649" t="s">
        <v>432</v>
      </c>
      <c r="E1649" s="52" t="s">
        <v>433</v>
      </c>
      <c r="F1649" t="s">
        <v>556</v>
      </c>
      <c r="G1649" s="21">
        <v>0</v>
      </c>
      <c r="H1649" s="21">
        <v>0</v>
      </c>
      <c r="I1649" s="21">
        <v>-19.64</v>
      </c>
      <c r="J1649" s="21">
        <v>0</v>
      </c>
      <c r="K1649" s="21">
        <v>0</v>
      </c>
      <c r="L1649" s="21">
        <v>-19.64</v>
      </c>
    </row>
    <row r="1650" spans="1:12" x14ac:dyDescent="0.25">
      <c r="A1650" s="10">
        <v>1645</v>
      </c>
      <c r="B1650" t="s">
        <v>557</v>
      </c>
      <c r="C1650" t="s">
        <v>17</v>
      </c>
      <c r="D1650" t="s">
        <v>432</v>
      </c>
      <c r="E1650" s="52" t="s">
        <v>433</v>
      </c>
      <c r="F1650" t="s">
        <v>558</v>
      </c>
      <c r="G1650" s="21">
        <v>0</v>
      </c>
      <c r="H1650" s="21">
        <v>0</v>
      </c>
      <c r="I1650" s="21">
        <v>-5.53</v>
      </c>
      <c r="J1650" s="21">
        <v>0</v>
      </c>
      <c r="K1650" s="21">
        <v>0</v>
      </c>
      <c r="L1650" s="21">
        <v>-5.53</v>
      </c>
    </row>
    <row r="1651" spans="1:12" x14ac:dyDescent="0.25">
      <c r="A1651" s="10">
        <v>1646</v>
      </c>
      <c r="B1651" t="s">
        <v>18</v>
      </c>
      <c r="C1651" t="s">
        <v>17</v>
      </c>
      <c r="D1651" t="s">
        <v>432</v>
      </c>
      <c r="E1651" s="52" t="s">
        <v>433</v>
      </c>
      <c r="F1651" t="s">
        <v>19</v>
      </c>
      <c r="G1651" s="21">
        <v>0</v>
      </c>
      <c r="H1651" s="21">
        <v>0</v>
      </c>
      <c r="I1651" s="21">
        <v>-0.63</v>
      </c>
      <c r="J1651" s="21">
        <v>0</v>
      </c>
      <c r="K1651" s="21">
        <v>7.0000000000000007E-2</v>
      </c>
      <c r="L1651" s="21">
        <v>-0.56000000000000005</v>
      </c>
    </row>
    <row r="1652" spans="1:12" x14ac:dyDescent="0.25">
      <c r="A1652" s="10">
        <v>1647</v>
      </c>
      <c r="B1652" t="s">
        <v>550</v>
      </c>
      <c r="C1652" t="s">
        <v>17</v>
      </c>
      <c r="D1652" t="s">
        <v>432</v>
      </c>
      <c r="E1652" s="52" t="s">
        <v>433</v>
      </c>
      <c r="F1652" t="s">
        <v>551</v>
      </c>
      <c r="G1652" s="21">
        <v>0</v>
      </c>
      <c r="H1652" s="21">
        <v>0</v>
      </c>
      <c r="I1652" s="21">
        <v>-2.5299999999999998</v>
      </c>
      <c r="J1652" s="21">
        <v>0</v>
      </c>
      <c r="K1652" s="21">
        <v>0</v>
      </c>
      <c r="L1652" s="21">
        <v>-2.5299999999999998</v>
      </c>
    </row>
    <row r="1653" spans="1:12" x14ac:dyDescent="0.25">
      <c r="A1653" s="10">
        <v>1648</v>
      </c>
      <c r="B1653" t="s">
        <v>550</v>
      </c>
      <c r="C1653" t="s">
        <v>17</v>
      </c>
      <c r="D1653" t="s">
        <v>432</v>
      </c>
      <c r="E1653" s="52" t="s">
        <v>433</v>
      </c>
      <c r="F1653" t="s">
        <v>551</v>
      </c>
      <c r="G1653" s="21">
        <v>0</v>
      </c>
      <c r="H1653" s="21">
        <v>0</v>
      </c>
      <c r="I1653" s="21">
        <v>-4194.3100000000004</v>
      </c>
      <c r="J1653" s="21">
        <v>0</v>
      </c>
      <c r="K1653" s="21">
        <v>0</v>
      </c>
      <c r="L1653" s="21">
        <v>-4194.3100000000004</v>
      </c>
    </row>
    <row r="1654" spans="1:12" x14ac:dyDescent="0.25">
      <c r="A1654" s="10">
        <v>1649</v>
      </c>
      <c r="B1654" t="s">
        <v>550</v>
      </c>
      <c r="C1654" t="s">
        <v>17</v>
      </c>
      <c r="D1654" t="s">
        <v>432</v>
      </c>
      <c r="E1654" s="52" t="s">
        <v>433</v>
      </c>
      <c r="F1654" t="s">
        <v>552</v>
      </c>
      <c r="G1654" s="21">
        <v>0</v>
      </c>
      <c r="H1654" s="21">
        <v>0</v>
      </c>
      <c r="I1654" s="21">
        <v>-0.3</v>
      </c>
      <c r="J1654" s="21">
        <v>0</v>
      </c>
      <c r="K1654" s="21">
        <v>0</v>
      </c>
      <c r="L1654" s="21">
        <v>-0.3</v>
      </c>
    </row>
    <row r="1655" spans="1:12" ht="30" x14ac:dyDescent="0.25">
      <c r="A1655" s="10">
        <v>1650</v>
      </c>
      <c r="B1655" t="s">
        <v>555</v>
      </c>
      <c r="C1655" t="s">
        <v>17</v>
      </c>
      <c r="D1655" t="s">
        <v>434</v>
      </c>
      <c r="E1655" s="52" t="s">
        <v>435</v>
      </c>
      <c r="F1655" t="s">
        <v>556</v>
      </c>
      <c r="G1655" s="21">
        <v>0</v>
      </c>
      <c r="H1655" s="21">
        <v>0</v>
      </c>
      <c r="I1655" s="21">
        <v>-6.46</v>
      </c>
      <c r="J1655" s="21">
        <v>0</v>
      </c>
      <c r="K1655" s="21">
        <v>0.13</v>
      </c>
      <c r="L1655" s="21">
        <v>-6.33</v>
      </c>
    </row>
    <row r="1656" spans="1:12" ht="30" x14ac:dyDescent="0.25">
      <c r="A1656" s="10">
        <v>1651</v>
      </c>
      <c r="B1656" t="s">
        <v>557</v>
      </c>
      <c r="C1656" t="s">
        <v>17</v>
      </c>
      <c r="D1656" t="s">
        <v>434</v>
      </c>
      <c r="E1656" s="52" t="s">
        <v>435</v>
      </c>
      <c r="F1656" t="s">
        <v>558</v>
      </c>
      <c r="G1656" s="21">
        <v>0</v>
      </c>
      <c r="H1656" s="21">
        <v>0</v>
      </c>
      <c r="I1656" s="21">
        <v>-4.04</v>
      </c>
      <c r="J1656" s="21">
        <v>0</v>
      </c>
      <c r="K1656" s="21">
        <v>0.08</v>
      </c>
      <c r="L1656" s="21">
        <v>-3.96</v>
      </c>
    </row>
    <row r="1657" spans="1:12" ht="30" x14ac:dyDescent="0.25">
      <c r="A1657" s="10">
        <v>1652</v>
      </c>
      <c r="B1657" t="s">
        <v>550</v>
      </c>
      <c r="C1657" t="s">
        <v>17</v>
      </c>
      <c r="D1657" t="s">
        <v>434</v>
      </c>
      <c r="E1657" s="52" t="s">
        <v>435</v>
      </c>
      <c r="F1657" t="s">
        <v>551</v>
      </c>
      <c r="G1657" s="21">
        <v>0</v>
      </c>
      <c r="H1657" s="21">
        <v>0</v>
      </c>
      <c r="I1657" s="21">
        <v>-104.29</v>
      </c>
      <c r="J1657" s="21">
        <v>0</v>
      </c>
      <c r="K1657" s="21">
        <v>2.09</v>
      </c>
      <c r="L1657" s="21">
        <v>-102.2</v>
      </c>
    </row>
    <row r="1658" spans="1:12" ht="30" x14ac:dyDescent="0.25">
      <c r="A1658" s="10">
        <v>1653</v>
      </c>
      <c r="B1658" t="s">
        <v>550</v>
      </c>
      <c r="C1658" t="s">
        <v>17</v>
      </c>
      <c r="D1658" t="s">
        <v>434</v>
      </c>
      <c r="E1658" s="52" t="s">
        <v>435</v>
      </c>
      <c r="F1658" t="s">
        <v>552</v>
      </c>
      <c r="G1658" s="21">
        <v>0</v>
      </c>
      <c r="H1658" s="21">
        <v>0</v>
      </c>
      <c r="I1658" s="21">
        <v>-0.01</v>
      </c>
      <c r="J1658" s="21">
        <v>0</v>
      </c>
      <c r="K1658" s="21">
        <v>0</v>
      </c>
      <c r="L1658" s="21">
        <v>-0.01</v>
      </c>
    </row>
    <row r="1659" spans="1:12" ht="30" x14ac:dyDescent="0.25">
      <c r="A1659" s="10">
        <v>1654</v>
      </c>
      <c r="B1659" t="s">
        <v>12</v>
      </c>
      <c r="C1659" t="s">
        <v>17</v>
      </c>
      <c r="D1659" t="s">
        <v>436</v>
      </c>
      <c r="E1659" s="52" t="s">
        <v>437</v>
      </c>
      <c r="F1659" t="s">
        <v>16</v>
      </c>
      <c r="G1659" s="21">
        <v>-8.3000000000000007</v>
      </c>
      <c r="H1659" s="21">
        <v>0</v>
      </c>
      <c r="I1659" s="21">
        <v>0</v>
      </c>
      <c r="J1659" s="21">
        <v>0</v>
      </c>
      <c r="K1659" s="21">
        <v>0.17</v>
      </c>
      <c r="L1659" s="21">
        <v>-8.1300000000000008</v>
      </c>
    </row>
    <row r="1660" spans="1:12" ht="30" x14ac:dyDescent="0.25">
      <c r="A1660" s="10">
        <v>1655</v>
      </c>
      <c r="B1660" t="s">
        <v>12</v>
      </c>
      <c r="C1660" t="s">
        <v>17</v>
      </c>
      <c r="D1660" t="s">
        <v>436</v>
      </c>
      <c r="E1660" s="52" t="s">
        <v>437</v>
      </c>
      <c r="F1660" t="s">
        <v>16</v>
      </c>
      <c r="G1660" s="21">
        <v>-32.869999999999997</v>
      </c>
      <c r="H1660" s="21">
        <v>0</v>
      </c>
      <c r="I1660" s="21">
        <v>0</v>
      </c>
      <c r="J1660" s="21">
        <v>0</v>
      </c>
      <c r="K1660" s="21">
        <v>0.66</v>
      </c>
      <c r="L1660" s="21">
        <v>-32.21</v>
      </c>
    </row>
    <row r="1661" spans="1:12" ht="30" x14ac:dyDescent="0.25">
      <c r="A1661" s="10">
        <v>1656</v>
      </c>
      <c r="B1661" t="s">
        <v>12</v>
      </c>
      <c r="C1661" t="s">
        <v>49</v>
      </c>
      <c r="D1661" t="s">
        <v>436</v>
      </c>
      <c r="E1661" s="52" t="s">
        <v>437</v>
      </c>
      <c r="F1661" t="s">
        <v>16</v>
      </c>
      <c r="G1661" s="21">
        <v>-0.01</v>
      </c>
      <c r="H1661" s="21">
        <v>0</v>
      </c>
      <c r="I1661" s="21">
        <v>0</v>
      </c>
      <c r="J1661" s="21">
        <v>0</v>
      </c>
      <c r="K1661" s="21">
        <v>0</v>
      </c>
      <c r="L1661" s="21">
        <v>-0.01</v>
      </c>
    </row>
    <row r="1662" spans="1:12" ht="30" x14ac:dyDescent="0.25">
      <c r="A1662" s="10">
        <v>1657</v>
      </c>
      <c r="B1662" t="s">
        <v>12</v>
      </c>
      <c r="C1662" t="s">
        <v>49</v>
      </c>
      <c r="D1662" t="s">
        <v>436</v>
      </c>
      <c r="E1662" s="52" t="s">
        <v>437</v>
      </c>
      <c r="F1662" t="s">
        <v>16</v>
      </c>
      <c r="G1662" s="21">
        <v>-0.02</v>
      </c>
      <c r="H1662" s="21">
        <v>0</v>
      </c>
      <c r="I1662" s="21">
        <v>0</v>
      </c>
      <c r="J1662" s="21">
        <v>0</v>
      </c>
      <c r="K1662" s="21">
        <v>0</v>
      </c>
      <c r="L1662" s="21">
        <v>-0.02</v>
      </c>
    </row>
    <row r="1663" spans="1:12" ht="30" x14ac:dyDescent="0.25">
      <c r="A1663" s="10">
        <v>1658</v>
      </c>
      <c r="B1663" t="s">
        <v>12</v>
      </c>
      <c r="C1663" t="s">
        <v>13</v>
      </c>
      <c r="D1663" t="s">
        <v>436</v>
      </c>
      <c r="E1663" s="52" t="s">
        <v>437</v>
      </c>
      <c r="F1663" t="s">
        <v>16</v>
      </c>
      <c r="G1663" s="21">
        <v>0</v>
      </c>
      <c r="H1663" s="21">
        <v>0</v>
      </c>
      <c r="I1663" s="21">
        <v>0</v>
      </c>
      <c r="J1663" s="21">
        <v>-1</v>
      </c>
      <c r="K1663" s="21">
        <v>0</v>
      </c>
      <c r="L1663" s="21">
        <v>-1</v>
      </c>
    </row>
    <row r="1664" spans="1:12" ht="30" x14ac:dyDescent="0.25">
      <c r="A1664" s="10">
        <v>1659</v>
      </c>
      <c r="B1664" t="s">
        <v>12</v>
      </c>
      <c r="C1664" t="s">
        <v>13</v>
      </c>
      <c r="D1664" t="s">
        <v>436</v>
      </c>
      <c r="E1664" s="52" t="s">
        <v>437</v>
      </c>
      <c r="F1664" t="s">
        <v>16</v>
      </c>
      <c r="G1664" s="21">
        <v>0</v>
      </c>
      <c r="H1664" s="21">
        <v>0</v>
      </c>
      <c r="I1664" s="21">
        <v>0</v>
      </c>
      <c r="J1664" s="21">
        <v>-3.94</v>
      </c>
      <c r="K1664" s="21">
        <v>0</v>
      </c>
      <c r="L1664" s="21">
        <v>-3.94</v>
      </c>
    </row>
    <row r="1665" spans="1:12" ht="30" x14ac:dyDescent="0.25">
      <c r="A1665" s="10">
        <v>1660</v>
      </c>
      <c r="B1665" t="s">
        <v>37</v>
      </c>
      <c r="C1665" t="s">
        <v>17</v>
      </c>
      <c r="D1665" t="s">
        <v>436</v>
      </c>
      <c r="E1665" s="52" t="s">
        <v>437</v>
      </c>
      <c r="F1665" t="s">
        <v>38</v>
      </c>
      <c r="G1665" s="21">
        <v>-0.18</v>
      </c>
      <c r="H1665" s="21">
        <v>0</v>
      </c>
      <c r="I1665" s="21">
        <v>0</v>
      </c>
      <c r="J1665" s="21">
        <v>0</v>
      </c>
      <c r="K1665" s="21">
        <v>0</v>
      </c>
      <c r="L1665" s="21">
        <v>-0.18</v>
      </c>
    </row>
    <row r="1666" spans="1:12" ht="30" x14ac:dyDescent="0.25">
      <c r="A1666" s="10">
        <v>1661</v>
      </c>
      <c r="B1666" t="s">
        <v>37</v>
      </c>
      <c r="C1666" t="s">
        <v>13</v>
      </c>
      <c r="D1666" t="s">
        <v>436</v>
      </c>
      <c r="E1666" s="52" t="s">
        <v>437</v>
      </c>
      <c r="F1666" t="s">
        <v>38</v>
      </c>
      <c r="G1666" s="21">
        <v>0</v>
      </c>
      <c r="H1666" s="21">
        <v>0</v>
      </c>
      <c r="I1666" s="21">
        <v>0</v>
      </c>
      <c r="J1666" s="21">
        <v>-0.02</v>
      </c>
      <c r="K1666" s="21">
        <v>0</v>
      </c>
      <c r="L1666" s="21">
        <v>-0.02</v>
      </c>
    </row>
    <row r="1667" spans="1:12" ht="30" x14ac:dyDescent="0.25">
      <c r="A1667" s="10">
        <v>1662</v>
      </c>
      <c r="B1667" t="s">
        <v>29</v>
      </c>
      <c r="C1667" t="s">
        <v>17</v>
      </c>
      <c r="D1667" t="s">
        <v>436</v>
      </c>
      <c r="E1667" s="52" t="s">
        <v>437</v>
      </c>
      <c r="F1667" t="s">
        <v>30</v>
      </c>
      <c r="G1667" s="21">
        <v>-1.45</v>
      </c>
      <c r="H1667" s="21">
        <v>0</v>
      </c>
      <c r="I1667" s="21">
        <v>0</v>
      </c>
      <c r="J1667" s="21">
        <v>0</v>
      </c>
      <c r="K1667" s="21">
        <v>0.03</v>
      </c>
      <c r="L1667" s="21">
        <v>-1.42</v>
      </c>
    </row>
    <row r="1668" spans="1:12" ht="30" x14ac:dyDescent="0.25">
      <c r="A1668" s="10">
        <v>1663</v>
      </c>
      <c r="B1668" t="s">
        <v>29</v>
      </c>
      <c r="C1668" t="s">
        <v>17</v>
      </c>
      <c r="D1668" t="s">
        <v>436</v>
      </c>
      <c r="E1668" s="52" t="s">
        <v>437</v>
      </c>
      <c r="F1668" t="s">
        <v>30</v>
      </c>
      <c r="G1668" s="21">
        <v>-0.42</v>
      </c>
      <c r="H1668" s="21">
        <v>0</v>
      </c>
      <c r="I1668" s="21">
        <v>0</v>
      </c>
      <c r="J1668" s="21">
        <v>0</v>
      </c>
      <c r="K1668" s="21">
        <v>0.01</v>
      </c>
      <c r="L1668" s="21">
        <v>-0.41</v>
      </c>
    </row>
    <row r="1669" spans="1:12" ht="30" x14ac:dyDescent="0.25">
      <c r="A1669" s="10">
        <v>1664</v>
      </c>
      <c r="B1669" t="s">
        <v>29</v>
      </c>
      <c r="C1669" t="s">
        <v>13</v>
      </c>
      <c r="D1669" t="s">
        <v>436</v>
      </c>
      <c r="E1669" s="52" t="s">
        <v>437</v>
      </c>
      <c r="F1669" t="s">
        <v>30</v>
      </c>
      <c r="G1669" s="21">
        <v>0</v>
      </c>
      <c r="H1669" s="21">
        <v>0</v>
      </c>
      <c r="I1669" s="21">
        <v>0</v>
      </c>
      <c r="J1669" s="21">
        <v>-0.19</v>
      </c>
      <c r="K1669" s="21">
        <v>0</v>
      </c>
      <c r="L1669" s="21">
        <v>-0.19</v>
      </c>
    </row>
    <row r="1670" spans="1:12" ht="30" x14ac:dyDescent="0.25">
      <c r="A1670" s="10">
        <v>1665</v>
      </c>
      <c r="B1670" t="s">
        <v>29</v>
      </c>
      <c r="C1670" t="s">
        <v>13</v>
      </c>
      <c r="D1670" t="s">
        <v>436</v>
      </c>
      <c r="E1670" s="52" t="s">
        <v>437</v>
      </c>
      <c r="F1670" t="s">
        <v>30</v>
      </c>
      <c r="G1670" s="21">
        <v>0</v>
      </c>
      <c r="H1670" s="21">
        <v>0</v>
      </c>
      <c r="I1670" s="21">
        <v>0</v>
      </c>
      <c r="J1670" s="21">
        <v>-0.05</v>
      </c>
      <c r="K1670" s="21">
        <v>0</v>
      </c>
      <c r="L1670" s="21">
        <v>-0.05</v>
      </c>
    </row>
    <row r="1671" spans="1:12" ht="30" x14ac:dyDescent="0.25">
      <c r="A1671" s="10">
        <v>1666</v>
      </c>
      <c r="B1671" t="s">
        <v>559</v>
      </c>
      <c r="C1671" t="s">
        <v>17</v>
      </c>
      <c r="D1671" t="s">
        <v>436</v>
      </c>
      <c r="E1671" s="52" t="s">
        <v>437</v>
      </c>
      <c r="F1671" t="s">
        <v>560</v>
      </c>
      <c r="G1671" s="21">
        <v>-0.93</v>
      </c>
      <c r="H1671" s="21">
        <v>0</v>
      </c>
      <c r="I1671" s="21">
        <v>0</v>
      </c>
      <c r="J1671" s="21">
        <v>0</v>
      </c>
      <c r="K1671" s="21">
        <v>0.02</v>
      </c>
      <c r="L1671" s="21">
        <v>-0.91</v>
      </c>
    </row>
    <row r="1672" spans="1:12" ht="30" x14ac:dyDescent="0.25">
      <c r="A1672" s="10">
        <v>1667</v>
      </c>
      <c r="B1672" t="s">
        <v>559</v>
      </c>
      <c r="C1672" t="s">
        <v>13</v>
      </c>
      <c r="D1672" t="s">
        <v>436</v>
      </c>
      <c r="E1672" s="52" t="s">
        <v>437</v>
      </c>
      <c r="F1672" t="s">
        <v>560</v>
      </c>
      <c r="G1672" s="21">
        <v>0</v>
      </c>
      <c r="H1672" s="21">
        <v>0</v>
      </c>
      <c r="I1672" s="21">
        <v>0</v>
      </c>
      <c r="J1672" s="21">
        <v>-0.11</v>
      </c>
      <c r="K1672" s="21">
        <v>0</v>
      </c>
      <c r="L1672" s="21">
        <v>-0.11</v>
      </c>
    </row>
    <row r="1673" spans="1:12" ht="30" x14ac:dyDescent="0.25">
      <c r="A1673" s="10">
        <v>1668</v>
      </c>
      <c r="B1673" t="s">
        <v>18</v>
      </c>
      <c r="C1673" t="s">
        <v>17</v>
      </c>
      <c r="D1673" t="s">
        <v>436</v>
      </c>
      <c r="E1673" s="52" t="s">
        <v>437</v>
      </c>
      <c r="F1673" t="s">
        <v>19</v>
      </c>
      <c r="G1673" s="21">
        <v>-0.01</v>
      </c>
      <c r="H1673" s="21">
        <v>0</v>
      </c>
      <c r="I1673" s="21">
        <v>0</v>
      </c>
      <c r="J1673" s="21">
        <v>0</v>
      </c>
      <c r="K1673" s="21">
        <v>0.01</v>
      </c>
      <c r="L1673" s="21">
        <v>0</v>
      </c>
    </row>
    <row r="1674" spans="1:12" ht="30" x14ac:dyDescent="0.25">
      <c r="A1674" s="10">
        <v>1669</v>
      </c>
      <c r="B1674" t="s">
        <v>18</v>
      </c>
      <c r="C1674" t="s">
        <v>17</v>
      </c>
      <c r="D1674" t="s">
        <v>436</v>
      </c>
      <c r="E1674" s="52" t="s">
        <v>437</v>
      </c>
      <c r="F1674" t="s">
        <v>19</v>
      </c>
      <c r="G1674" s="21">
        <v>0</v>
      </c>
      <c r="H1674" s="21">
        <v>0</v>
      </c>
      <c r="I1674" s="21">
        <v>0</v>
      </c>
      <c r="J1674" s="21">
        <v>0</v>
      </c>
      <c r="K1674" s="21">
        <v>0</v>
      </c>
      <c r="L1674" s="21">
        <v>0</v>
      </c>
    </row>
    <row r="1675" spans="1:12" ht="30" x14ac:dyDescent="0.25">
      <c r="A1675" s="10">
        <v>1670</v>
      </c>
      <c r="B1675" t="s">
        <v>550</v>
      </c>
      <c r="C1675" t="s">
        <v>17</v>
      </c>
      <c r="D1675" t="s">
        <v>436</v>
      </c>
      <c r="E1675" s="52" t="s">
        <v>437</v>
      </c>
      <c r="F1675" t="s">
        <v>551</v>
      </c>
      <c r="G1675" s="21">
        <v>-21.33</v>
      </c>
      <c r="H1675" s="21">
        <v>0</v>
      </c>
      <c r="I1675" s="21">
        <v>0</v>
      </c>
      <c r="J1675" s="21">
        <v>0</v>
      </c>
      <c r="K1675" s="21">
        <v>0.43</v>
      </c>
      <c r="L1675" s="21">
        <v>-20.9</v>
      </c>
    </row>
    <row r="1676" spans="1:12" ht="30" x14ac:dyDescent="0.25">
      <c r="A1676" s="10">
        <v>1671</v>
      </c>
      <c r="B1676" t="s">
        <v>550</v>
      </c>
      <c r="C1676" t="s">
        <v>13</v>
      </c>
      <c r="D1676" t="s">
        <v>436</v>
      </c>
      <c r="E1676" s="52" t="s">
        <v>437</v>
      </c>
      <c r="F1676" t="s">
        <v>551</v>
      </c>
      <c r="G1676" s="21">
        <v>0</v>
      </c>
      <c r="H1676" s="21">
        <v>0</v>
      </c>
      <c r="I1676" s="21">
        <v>0</v>
      </c>
      <c r="J1676" s="21">
        <v>-9266.17</v>
      </c>
      <c r="K1676" s="21">
        <v>0</v>
      </c>
      <c r="L1676" s="21">
        <v>-9266.17</v>
      </c>
    </row>
    <row r="1677" spans="1:12" ht="30" x14ac:dyDescent="0.25">
      <c r="A1677" s="10">
        <v>1672</v>
      </c>
      <c r="B1677" t="s">
        <v>550</v>
      </c>
      <c r="C1677" t="s">
        <v>13</v>
      </c>
      <c r="D1677" t="s">
        <v>436</v>
      </c>
      <c r="E1677" s="52" t="s">
        <v>437</v>
      </c>
      <c r="F1677" t="s">
        <v>551</v>
      </c>
      <c r="G1677" s="21">
        <v>0</v>
      </c>
      <c r="H1677" s="21">
        <v>0</v>
      </c>
      <c r="I1677" s="21">
        <v>0</v>
      </c>
      <c r="J1677" s="21">
        <v>-33.29</v>
      </c>
      <c r="K1677" s="21">
        <v>0</v>
      </c>
      <c r="L1677" s="21">
        <v>-33.29</v>
      </c>
    </row>
    <row r="1678" spans="1:12" ht="30" x14ac:dyDescent="0.25">
      <c r="A1678" s="10">
        <v>1673</v>
      </c>
      <c r="B1678" t="s">
        <v>550</v>
      </c>
      <c r="C1678" t="s">
        <v>17</v>
      </c>
      <c r="D1678" t="s">
        <v>436</v>
      </c>
      <c r="E1678" s="52" t="s">
        <v>437</v>
      </c>
      <c r="F1678" t="s">
        <v>551</v>
      </c>
      <c r="G1678" s="21">
        <v>-77218.05</v>
      </c>
      <c r="H1678" s="21">
        <v>0</v>
      </c>
      <c r="I1678" s="21">
        <v>0</v>
      </c>
      <c r="J1678" s="21">
        <v>0</v>
      </c>
      <c r="K1678" s="21">
        <v>1544.36</v>
      </c>
      <c r="L1678" s="21">
        <v>-75673.69</v>
      </c>
    </row>
    <row r="1679" spans="1:12" ht="30" x14ac:dyDescent="0.25">
      <c r="A1679" s="10">
        <v>1674</v>
      </c>
      <c r="B1679" t="s">
        <v>550</v>
      </c>
      <c r="C1679" t="s">
        <v>17</v>
      </c>
      <c r="D1679" t="s">
        <v>436</v>
      </c>
      <c r="E1679" s="52" t="s">
        <v>437</v>
      </c>
      <c r="F1679" t="s">
        <v>551</v>
      </c>
      <c r="G1679" s="21">
        <v>-277.45</v>
      </c>
      <c r="H1679" s="21">
        <v>0</v>
      </c>
      <c r="I1679" s="21">
        <v>0</v>
      </c>
      <c r="J1679" s="21">
        <v>0</v>
      </c>
      <c r="K1679" s="21">
        <v>5.55</v>
      </c>
      <c r="L1679" s="21">
        <v>-271.89999999999998</v>
      </c>
    </row>
    <row r="1680" spans="1:12" ht="30" x14ac:dyDescent="0.25">
      <c r="A1680" s="10">
        <v>1675</v>
      </c>
      <c r="B1680" t="s">
        <v>550</v>
      </c>
      <c r="C1680" t="s">
        <v>13</v>
      </c>
      <c r="D1680" t="s">
        <v>436</v>
      </c>
      <c r="E1680" s="52" t="s">
        <v>437</v>
      </c>
      <c r="F1680" t="s">
        <v>551</v>
      </c>
      <c r="G1680" s="21">
        <v>0</v>
      </c>
      <c r="H1680" s="21">
        <v>0</v>
      </c>
      <c r="I1680" s="21">
        <v>0</v>
      </c>
      <c r="J1680" s="21">
        <v>-2.56</v>
      </c>
      <c r="K1680" s="21">
        <v>0</v>
      </c>
      <c r="L1680" s="21">
        <v>-2.56</v>
      </c>
    </row>
    <row r="1681" spans="1:12" ht="30" x14ac:dyDescent="0.25">
      <c r="A1681" s="10">
        <v>1676</v>
      </c>
      <c r="B1681" t="s">
        <v>550</v>
      </c>
      <c r="C1681" t="s">
        <v>13</v>
      </c>
      <c r="D1681" t="s">
        <v>436</v>
      </c>
      <c r="E1681" s="52" t="s">
        <v>437</v>
      </c>
      <c r="F1681" t="s">
        <v>552</v>
      </c>
      <c r="G1681" s="21">
        <v>0</v>
      </c>
      <c r="H1681" s="21">
        <v>0</v>
      </c>
      <c r="I1681" s="21">
        <v>0</v>
      </c>
      <c r="J1681" s="21">
        <v>-0.67</v>
      </c>
      <c r="K1681" s="21">
        <v>0</v>
      </c>
      <c r="L1681" s="21">
        <v>-0.67</v>
      </c>
    </row>
    <row r="1682" spans="1:12" ht="30" x14ac:dyDescent="0.25">
      <c r="A1682" s="10">
        <v>1677</v>
      </c>
      <c r="B1682" t="s">
        <v>550</v>
      </c>
      <c r="C1682" t="s">
        <v>13</v>
      </c>
      <c r="D1682" t="s">
        <v>436</v>
      </c>
      <c r="E1682" s="52" t="s">
        <v>437</v>
      </c>
      <c r="F1682" t="s">
        <v>552</v>
      </c>
      <c r="G1682" s="21">
        <v>0</v>
      </c>
      <c r="H1682" s="21">
        <v>0</v>
      </c>
      <c r="I1682" s="21">
        <v>0</v>
      </c>
      <c r="J1682" s="21">
        <v>0</v>
      </c>
      <c r="K1682" s="21">
        <v>0</v>
      </c>
      <c r="L1682" s="21">
        <v>0</v>
      </c>
    </row>
    <row r="1683" spans="1:12" ht="30" x14ac:dyDescent="0.25">
      <c r="A1683" s="10">
        <v>1678</v>
      </c>
      <c r="B1683" t="s">
        <v>550</v>
      </c>
      <c r="C1683" t="s">
        <v>17</v>
      </c>
      <c r="D1683" t="s">
        <v>436</v>
      </c>
      <c r="E1683" s="52" t="s">
        <v>437</v>
      </c>
      <c r="F1683" t="s">
        <v>552</v>
      </c>
      <c r="G1683" s="21">
        <v>-5.55</v>
      </c>
      <c r="H1683" s="21">
        <v>0</v>
      </c>
      <c r="I1683" s="21">
        <v>0</v>
      </c>
      <c r="J1683" s="21">
        <v>0</v>
      </c>
      <c r="K1683" s="21">
        <v>0.11</v>
      </c>
      <c r="L1683" s="21">
        <v>-5.44</v>
      </c>
    </row>
    <row r="1684" spans="1:12" ht="30" x14ac:dyDescent="0.25">
      <c r="A1684" s="10">
        <v>1679</v>
      </c>
      <c r="B1684" t="s">
        <v>550</v>
      </c>
      <c r="C1684" t="s">
        <v>17</v>
      </c>
      <c r="D1684" t="s">
        <v>436</v>
      </c>
      <c r="E1684" s="52" t="s">
        <v>437</v>
      </c>
      <c r="F1684" t="s">
        <v>552</v>
      </c>
      <c r="G1684" s="21">
        <v>-0.02</v>
      </c>
      <c r="H1684" s="21">
        <v>0</v>
      </c>
      <c r="I1684" s="21">
        <v>0</v>
      </c>
      <c r="J1684" s="21">
        <v>0</v>
      </c>
      <c r="K1684" s="21">
        <v>0</v>
      </c>
      <c r="L1684" s="21">
        <v>-0.02</v>
      </c>
    </row>
    <row r="1685" spans="1:12" ht="30" x14ac:dyDescent="0.25">
      <c r="A1685" s="10">
        <v>1680</v>
      </c>
      <c r="B1685" t="s">
        <v>37</v>
      </c>
      <c r="C1685" t="s">
        <v>13</v>
      </c>
      <c r="D1685" t="s">
        <v>438</v>
      </c>
      <c r="E1685" s="52" t="s">
        <v>439</v>
      </c>
      <c r="F1685" t="s">
        <v>38</v>
      </c>
      <c r="G1685" s="21">
        <v>0</v>
      </c>
      <c r="H1685" s="21">
        <v>0</v>
      </c>
      <c r="I1685" s="21">
        <v>0</v>
      </c>
      <c r="J1685" s="21">
        <v>0</v>
      </c>
      <c r="K1685" s="21">
        <v>0</v>
      </c>
      <c r="L1685" s="21">
        <v>0</v>
      </c>
    </row>
    <row r="1686" spans="1:12" ht="30" x14ac:dyDescent="0.25">
      <c r="A1686" s="10">
        <v>1681</v>
      </c>
      <c r="B1686" t="s">
        <v>18</v>
      </c>
      <c r="C1686" t="s">
        <v>17</v>
      </c>
      <c r="D1686" t="s">
        <v>438</v>
      </c>
      <c r="E1686" s="52" t="s">
        <v>439</v>
      </c>
      <c r="F1686" t="s">
        <v>19</v>
      </c>
      <c r="G1686" s="21">
        <v>-0.2</v>
      </c>
      <c r="H1686" s="21">
        <v>0</v>
      </c>
      <c r="I1686" s="21">
        <v>0</v>
      </c>
      <c r="J1686" s="21">
        <v>0</v>
      </c>
      <c r="K1686" s="21">
        <v>0.17</v>
      </c>
      <c r="L1686" s="21">
        <v>-0.03</v>
      </c>
    </row>
    <row r="1687" spans="1:12" ht="30" x14ac:dyDescent="0.25">
      <c r="A1687" s="10">
        <v>1682</v>
      </c>
      <c r="B1687" t="s">
        <v>22</v>
      </c>
      <c r="C1687" t="s">
        <v>13</v>
      </c>
      <c r="D1687" t="s">
        <v>438</v>
      </c>
      <c r="E1687" s="52" t="s">
        <v>439</v>
      </c>
      <c r="F1687" t="s">
        <v>23</v>
      </c>
      <c r="G1687" s="21">
        <v>0</v>
      </c>
      <c r="H1687" s="21">
        <v>0</v>
      </c>
      <c r="I1687" s="21">
        <v>0</v>
      </c>
      <c r="J1687" s="21">
        <v>-0.09</v>
      </c>
      <c r="K1687" s="21">
        <v>0</v>
      </c>
      <c r="L1687" s="21">
        <v>-0.09</v>
      </c>
    </row>
    <row r="1688" spans="1:12" ht="30" x14ac:dyDescent="0.25">
      <c r="A1688" s="10">
        <v>1683</v>
      </c>
      <c r="B1688" t="s">
        <v>22</v>
      </c>
      <c r="C1688" t="s">
        <v>13</v>
      </c>
      <c r="D1688" t="s">
        <v>438</v>
      </c>
      <c r="E1688" s="52" t="s">
        <v>439</v>
      </c>
      <c r="F1688" t="s">
        <v>24</v>
      </c>
      <c r="G1688" s="21">
        <v>0</v>
      </c>
      <c r="H1688" s="21">
        <v>0</v>
      </c>
      <c r="I1688" s="21">
        <v>0</v>
      </c>
      <c r="J1688" s="21">
        <v>0</v>
      </c>
      <c r="K1688" s="21">
        <v>0</v>
      </c>
      <c r="L1688" s="21">
        <v>0</v>
      </c>
    </row>
    <row r="1689" spans="1:12" ht="30" x14ac:dyDescent="0.25">
      <c r="A1689" s="10">
        <v>1684</v>
      </c>
      <c r="B1689" t="s">
        <v>550</v>
      </c>
      <c r="C1689" t="s">
        <v>13</v>
      </c>
      <c r="D1689" t="s">
        <v>438</v>
      </c>
      <c r="E1689" s="52" t="s">
        <v>439</v>
      </c>
      <c r="F1689" t="s">
        <v>551</v>
      </c>
      <c r="G1689" s="21">
        <v>0</v>
      </c>
      <c r="H1689" s="21">
        <v>0</v>
      </c>
      <c r="I1689" s="21">
        <v>0</v>
      </c>
      <c r="J1689" s="21">
        <v>-66.709999999999994</v>
      </c>
      <c r="K1689" s="21">
        <v>0</v>
      </c>
      <c r="L1689" s="21">
        <v>-66.709999999999994</v>
      </c>
    </row>
    <row r="1690" spans="1:12" ht="30" x14ac:dyDescent="0.25">
      <c r="A1690" s="10">
        <v>1685</v>
      </c>
      <c r="B1690" t="s">
        <v>550</v>
      </c>
      <c r="C1690" t="s">
        <v>17</v>
      </c>
      <c r="D1690" t="s">
        <v>438</v>
      </c>
      <c r="E1690" s="52" t="s">
        <v>439</v>
      </c>
      <c r="F1690" t="s">
        <v>551</v>
      </c>
      <c r="G1690" s="21">
        <v>-555.91</v>
      </c>
      <c r="H1690" s="21">
        <v>0</v>
      </c>
      <c r="I1690" s="21">
        <v>0</v>
      </c>
      <c r="J1690" s="21">
        <v>0</v>
      </c>
      <c r="K1690" s="21">
        <v>11.12</v>
      </c>
      <c r="L1690" s="21">
        <v>-544.79</v>
      </c>
    </row>
    <row r="1691" spans="1:12" ht="30" x14ac:dyDescent="0.25">
      <c r="A1691" s="10">
        <v>1686</v>
      </c>
      <c r="B1691" t="s">
        <v>550</v>
      </c>
      <c r="C1691" t="s">
        <v>13</v>
      </c>
      <c r="D1691" t="s">
        <v>438</v>
      </c>
      <c r="E1691" s="52" t="s">
        <v>439</v>
      </c>
      <c r="F1691" t="s">
        <v>552</v>
      </c>
      <c r="G1691" s="21">
        <v>0</v>
      </c>
      <c r="H1691" s="21">
        <v>0</v>
      </c>
      <c r="I1691" s="21">
        <v>0</v>
      </c>
      <c r="J1691" s="21">
        <v>0</v>
      </c>
      <c r="K1691" s="21">
        <v>0</v>
      </c>
      <c r="L1691" s="21">
        <v>0</v>
      </c>
    </row>
    <row r="1692" spans="1:12" ht="30" x14ac:dyDescent="0.25">
      <c r="A1692" s="10">
        <v>1687</v>
      </c>
      <c r="B1692" t="s">
        <v>550</v>
      </c>
      <c r="C1692" t="s">
        <v>17</v>
      </c>
      <c r="D1692" t="s">
        <v>438</v>
      </c>
      <c r="E1692" s="52" t="s">
        <v>439</v>
      </c>
      <c r="F1692" t="s">
        <v>552</v>
      </c>
      <c r="G1692" s="21">
        <v>-0.04</v>
      </c>
      <c r="H1692" s="21">
        <v>0</v>
      </c>
      <c r="I1692" s="21">
        <v>0</v>
      </c>
      <c r="J1692" s="21">
        <v>0</v>
      </c>
      <c r="K1692" s="21">
        <v>0</v>
      </c>
      <c r="L1692" s="21">
        <v>-0.04</v>
      </c>
    </row>
    <row r="1693" spans="1:12" ht="30" x14ac:dyDescent="0.25">
      <c r="A1693" s="10">
        <v>1688</v>
      </c>
      <c r="B1693" t="s">
        <v>22</v>
      </c>
      <c r="C1693" t="s">
        <v>17</v>
      </c>
      <c r="D1693" t="s">
        <v>636</v>
      </c>
      <c r="E1693" s="52" t="s">
        <v>637</v>
      </c>
      <c r="F1693" t="s">
        <v>23</v>
      </c>
      <c r="G1693" s="21">
        <v>0</v>
      </c>
      <c r="H1693" s="21">
        <v>0</v>
      </c>
      <c r="I1693" s="21">
        <v>-1.78</v>
      </c>
      <c r="J1693" s="21">
        <v>0</v>
      </c>
      <c r="K1693" s="21">
        <v>0.04</v>
      </c>
      <c r="L1693" s="21">
        <v>-1.74</v>
      </c>
    </row>
    <row r="1694" spans="1:12" ht="30" x14ac:dyDescent="0.25">
      <c r="A1694" s="10">
        <v>1689</v>
      </c>
      <c r="B1694" t="s">
        <v>22</v>
      </c>
      <c r="C1694" t="s">
        <v>17</v>
      </c>
      <c r="D1694" t="s">
        <v>636</v>
      </c>
      <c r="E1694" s="52" t="s">
        <v>637</v>
      </c>
      <c r="F1694" t="s">
        <v>23</v>
      </c>
      <c r="G1694" s="21">
        <v>0</v>
      </c>
      <c r="H1694" s="21">
        <v>0</v>
      </c>
      <c r="I1694" s="21">
        <v>0</v>
      </c>
      <c r="J1694" s="21">
        <v>0</v>
      </c>
      <c r="K1694" s="21">
        <v>0</v>
      </c>
      <c r="L1694" s="21">
        <v>0</v>
      </c>
    </row>
    <row r="1695" spans="1:12" ht="30" x14ac:dyDescent="0.25">
      <c r="A1695" s="10">
        <v>1690</v>
      </c>
      <c r="B1695" t="s">
        <v>550</v>
      </c>
      <c r="C1695" t="s">
        <v>17</v>
      </c>
      <c r="D1695" t="s">
        <v>636</v>
      </c>
      <c r="E1695" s="52" t="s">
        <v>637</v>
      </c>
      <c r="F1695" t="s">
        <v>551</v>
      </c>
      <c r="G1695" s="21">
        <v>0</v>
      </c>
      <c r="H1695" s="21">
        <v>0</v>
      </c>
      <c r="I1695" s="21">
        <v>-36.229999999999997</v>
      </c>
      <c r="J1695" s="21">
        <v>0</v>
      </c>
      <c r="K1695" s="21">
        <v>0.72</v>
      </c>
      <c r="L1695" s="21">
        <v>-35.51</v>
      </c>
    </row>
    <row r="1696" spans="1:12" ht="30" x14ac:dyDescent="0.25">
      <c r="A1696" s="10">
        <v>1691</v>
      </c>
      <c r="B1696" t="s">
        <v>18</v>
      </c>
      <c r="C1696" t="s">
        <v>17</v>
      </c>
      <c r="D1696" t="s">
        <v>440</v>
      </c>
      <c r="E1696" s="52" t="s">
        <v>441</v>
      </c>
      <c r="F1696" t="s">
        <v>19</v>
      </c>
      <c r="G1696" s="21">
        <v>0</v>
      </c>
      <c r="H1696" s="21">
        <v>0</v>
      </c>
      <c r="I1696" s="21">
        <v>-7.88</v>
      </c>
      <c r="J1696" s="21">
        <v>0</v>
      </c>
      <c r="K1696" s="21">
        <v>0.93</v>
      </c>
      <c r="L1696" s="21">
        <v>-6.95</v>
      </c>
    </row>
    <row r="1697" spans="1:12" ht="30" x14ac:dyDescent="0.25">
      <c r="A1697" s="10">
        <v>1692</v>
      </c>
      <c r="B1697" t="s">
        <v>550</v>
      </c>
      <c r="C1697" t="s">
        <v>17</v>
      </c>
      <c r="D1697" t="s">
        <v>440</v>
      </c>
      <c r="E1697" s="52" t="s">
        <v>441</v>
      </c>
      <c r="F1697" t="s">
        <v>551</v>
      </c>
      <c r="G1697" s="21">
        <v>0</v>
      </c>
      <c r="H1697" s="21">
        <v>0</v>
      </c>
      <c r="I1697" s="21">
        <v>-31021.94</v>
      </c>
      <c r="J1697" s="21">
        <v>0</v>
      </c>
      <c r="K1697" s="21">
        <v>620.44000000000005</v>
      </c>
      <c r="L1697" s="21">
        <v>-30401.5</v>
      </c>
    </row>
    <row r="1698" spans="1:12" ht="30" x14ac:dyDescent="0.25">
      <c r="A1698" s="10">
        <v>1693</v>
      </c>
      <c r="B1698" t="s">
        <v>550</v>
      </c>
      <c r="C1698" t="s">
        <v>17</v>
      </c>
      <c r="D1698" t="s">
        <v>440</v>
      </c>
      <c r="E1698" s="52" t="s">
        <v>441</v>
      </c>
      <c r="F1698" t="s">
        <v>552</v>
      </c>
      <c r="G1698" s="21">
        <v>0</v>
      </c>
      <c r="H1698" s="21">
        <v>0</v>
      </c>
      <c r="I1698" s="21">
        <v>-2.23</v>
      </c>
      <c r="J1698" s="21">
        <v>0</v>
      </c>
      <c r="K1698" s="21">
        <v>0.04</v>
      </c>
      <c r="L1698" s="21">
        <v>-2.19</v>
      </c>
    </row>
    <row r="1699" spans="1:12" ht="30" x14ac:dyDescent="0.25">
      <c r="A1699" s="10">
        <v>1694</v>
      </c>
      <c r="B1699" t="s">
        <v>18</v>
      </c>
      <c r="C1699" t="s">
        <v>17</v>
      </c>
      <c r="D1699" t="s">
        <v>442</v>
      </c>
      <c r="E1699" s="52" t="s">
        <v>443</v>
      </c>
      <c r="F1699" t="s">
        <v>19</v>
      </c>
      <c r="G1699" s="21">
        <v>-0.56000000000000005</v>
      </c>
      <c r="H1699" s="21">
        <v>0</v>
      </c>
      <c r="I1699" s="21">
        <v>0</v>
      </c>
      <c r="J1699" s="21">
        <v>0</v>
      </c>
      <c r="K1699" s="21">
        <v>0.5</v>
      </c>
      <c r="L1699" s="21">
        <v>-0.06</v>
      </c>
    </row>
    <row r="1700" spans="1:12" x14ac:dyDescent="0.25">
      <c r="A1700" s="10">
        <v>1695</v>
      </c>
      <c r="B1700" t="s">
        <v>18</v>
      </c>
      <c r="C1700" t="s">
        <v>17</v>
      </c>
      <c r="D1700" t="s">
        <v>444</v>
      </c>
      <c r="E1700" s="52" t="s">
        <v>445</v>
      </c>
      <c r="F1700" t="s">
        <v>19</v>
      </c>
      <c r="G1700" s="21">
        <v>0</v>
      </c>
      <c r="H1700" s="21">
        <v>0</v>
      </c>
      <c r="I1700" s="21">
        <v>-0.1</v>
      </c>
      <c r="J1700" s="21">
        <v>0</v>
      </c>
      <c r="K1700" s="21">
        <v>0.01</v>
      </c>
      <c r="L1700" s="21">
        <v>-0.09</v>
      </c>
    </row>
    <row r="1701" spans="1:12" x14ac:dyDescent="0.25">
      <c r="A1701" s="10">
        <v>1696</v>
      </c>
      <c r="B1701" t="s">
        <v>18</v>
      </c>
      <c r="C1701" t="s">
        <v>17</v>
      </c>
      <c r="D1701" t="s">
        <v>444</v>
      </c>
      <c r="E1701" s="52" t="s">
        <v>445</v>
      </c>
      <c r="F1701" t="s">
        <v>19</v>
      </c>
      <c r="G1701" s="21">
        <v>0</v>
      </c>
      <c r="H1701" s="21">
        <v>0</v>
      </c>
      <c r="I1701" s="21">
        <v>-5.57</v>
      </c>
      <c r="J1701" s="21">
        <v>0</v>
      </c>
      <c r="K1701" s="21">
        <v>0.11</v>
      </c>
      <c r="L1701" s="21">
        <v>-5.46</v>
      </c>
    </row>
    <row r="1702" spans="1:12" x14ac:dyDescent="0.25">
      <c r="A1702" s="10">
        <v>1697</v>
      </c>
      <c r="B1702" t="s">
        <v>550</v>
      </c>
      <c r="C1702" t="s">
        <v>17</v>
      </c>
      <c r="D1702" t="s">
        <v>444</v>
      </c>
      <c r="E1702" s="52" t="s">
        <v>445</v>
      </c>
      <c r="F1702" t="s">
        <v>551</v>
      </c>
      <c r="G1702" s="21">
        <v>0</v>
      </c>
      <c r="H1702" s="21">
        <v>0</v>
      </c>
      <c r="I1702" s="21">
        <v>-172.98</v>
      </c>
      <c r="J1702" s="21">
        <v>0</v>
      </c>
      <c r="K1702" s="21">
        <v>0</v>
      </c>
      <c r="L1702" s="21">
        <v>-172.98</v>
      </c>
    </row>
    <row r="1703" spans="1:12" x14ac:dyDescent="0.25">
      <c r="A1703" s="10">
        <v>1698</v>
      </c>
      <c r="B1703" t="s">
        <v>550</v>
      </c>
      <c r="C1703" t="s">
        <v>17</v>
      </c>
      <c r="D1703" t="s">
        <v>444</v>
      </c>
      <c r="E1703" s="52" t="s">
        <v>445</v>
      </c>
      <c r="F1703" t="s">
        <v>551</v>
      </c>
      <c r="G1703" s="21">
        <v>0</v>
      </c>
      <c r="H1703" s="21">
        <v>0</v>
      </c>
      <c r="I1703" s="21">
        <v>-243.63</v>
      </c>
      <c r="J1703" s="21">
        <v>0</v>
      </c>
      <c r="K1703" s="21">
        <v>0</v>
      </c>
      <c r="L1703" s="21">
        <v>-243.63</v>
      </c>
    </row>
    <row r="1704" spans="1:12" x14ac:dyDescent="0.25">
      <c r="A1704" s="10">
        <v>1699</v>
      </c>
      <c r="B1704" t="s">
        <v>550</v>
      </c>
      <c r="C1704" t="s">
        <v>17</v>
      </c>
      <c r="D1704" t="s">
        <v>444</v>
      </c>
      <c r="E1704" s="52" t="s">
        <v>445</v>
      </c>
      <c r="F1704" t="s">
        <v>552</v>
      </c>
      <c r="G1704" s="21">
        <v>0</v>
      </c>
      <c r="H1704" s="21">
        <v>0</v>
      </c>
      <c r="I1704" s="21">
        <v>-0.01</v>
      </c>
      <c r="J1704" s="21">
        <v>0</v>
      </c>
      <c r="K1704" s="21">
        <v>0</v>
      </c>
      <c r="L1704" s="21">
        <v>-0.01</v>
      </c>
    </row>
    <row r="1705" spans="1:12" x14ac:dyDescent="0.25">
      <c r="A1705" s="10">
        <v>1700</v>
      </c>
      <c r="B1705" t="s">
        <v>550</v>
      </c>
      <c r="C1705" t="s">
        <v>17</v>
      </c>
      <c r="D1705" t="s">
        <v>444</v>
      </c>
      <c r="E1705" s="52" t="s">
        <v>445</v>
      </c>
      <c r="F1705" t="s">
        <v>552</v>
      </c>
      <c r="G1705" s="21">
        <v>0</v>
      </c>
      <c r="H1705" s="21">
        <v>0</v>
      </c>
      <c r="I1705" s="21">
        <v>-0.02</v>
      </c>
      <c r="J1705" s="21">
        <v>0</v>
      </c>
      <c r="K1705" s="21">
        <v>0</v>
      </c>
      <c r="L1705" s="21">
        <v>-0.02</v>
      </c>
    </row>
    <row r="1706" spans="1:12" ht="30" x14ac:dyDescent="0.25">
      <c r="A1706" s="10">
        <v>1701</v>
      </c>
      <c r="B1706" t="s">
        <v>555</v>
      </c>
      <c r="C1706" t="s">
        <v>17</v>
      </c>
      <c r="D1706" t="s">
        <v>446</v>
      </c>
      <c r="E1706" s="52" t="s">
        <v>447</v>
      </c>
      <c r="F1706" t="s">
        <v>556</v>
      </c>
      <c r="G1706" s="21">
        <v>-2.69</v>
      </c>
      <c r="H1706" s="21">
        <v>0</v>
      </c>
      <c r="I1706" s="21">
        <v>0</v>
      </c>
      <c r="J1706" s="21">
        <v>0</v>
      </c>
      <c r="K1706" s="21">
        <v>0.05</v>
      </c>
      <c r="L1706" s="21">
        <v>-2.64</v>
      </c>
    </row>
    <row r="1707" spans="1:12" ht="30" x14ac:dyDescent="0.25">
      <c r="A1707" s="10">
        <v>1702</v>
      </c>
      <c r="B1707" t="s">
        <v>555</v>
      </c>
      <c r="C1707" t="s">
        <v>17</v>
      </c>
      <c r="D1707" t="s">
        <v>446</v>
      </c>
      <c r="E1707" s="52" t="s">
        <v>447</v>
      </c>
      <c r="F1707" t="s">
        <v>556</v>
      </c>
      <c r="G1707" s="21">
        <v>-4.78</v>
      </c>
      <c r="H1707" s="21">
        <v>0</v>
      </c>
      <c r="I1707" s="21">
        <v>0</v>
      </c>
      <c r="J1707" s="21">
        <v>0</v>
      </c>
      <c r="K1707" s="21">
        <v>0.1</v>
      </c>
      <c r="L1707" s="21">
        <v>-4.68</v>
      </c>
    </row>
    <row r="1708" spans="1:12" ht="30" x14ac:dyDescent="0.25">
      <c r="A1708" s="10">
        <v>1703</v>
      </c>
      <c r="B1708" t="s">
        <v>555</v>
      </c>
      <c r="C1708" t="s">
        <v>13</v>
      </c>
      <c r="D1708" t="s">
        <v>446</v>
      </c>
      <c r="E1708" s="52" t="s">
        <v>447</v>
      </c>
      <c r="F1708" t="s">
        <v>556</v>
      </c>
      <c r="G1708" s="21">
        <v>0</v>
      </c>
      <c r="H1708" s="21">
        <v>0</v>
      </c>
      <c r="I1708" s="21">
        <v>0</v>
      </c>
      <c r="J1708" s="21">
        <v>-0.32</v>
      </c>
      <c r="K1708" s="21">
        <v>0</v>
      </c>
      <c r="L1708" s="21">
        <v>-0.32</v>
      </c>
    </row>
    <row r="1709" spans="1:12" ht="30" x14ac:dyDescent="0.25">
      <c r="A1709" s="10">
        <v>1704</v>
      </c>
      <c r="B1709" t="s">
        <v>555</v>
      </c>
      <c r="C1709" t="s">
        <v>13</v>
      </c>
      <c r="D1709" t="s">
        <v>446</v>
      </c>
      <c r="E1709" s="52" t="s">
        <v>447</v>
      </c>
      <c r="F1709" t="s">
        <v>556</v>
      </c>
      <c r="G1709" s="21">
        <v>0</v>
      </c>
      <c r="H1709" s="21">
        <v>0</v>
      </c>
      <c r="I1709" s="21">
        <v>0</v>
      </c>
      <c r="J1709" s="21">
        <v>-0.56999999999999995</v>
      </c>
      <c r="K1709" s="21">
        <v>0</v>
      </c>
      <c r="L1709" s="21">
        <v>-0.56999999999999995</v>
      </c>
    </row>
    <row r="1710" spans="1:12" ht="30" x14ac:dyDescent="0.25">
      <c r="A1710" s="10">
        <v>1705</v>
      </c>
      <c r="B1710" t="s">
        <v>557</v>
      </c>
      <c r="C1710" t="s">
        <v>17</v>
      </c>
      <c r="D1710" t="s">
        <v>446</v>
      </c>
      <c r="E1710" s="52" t="s">
        <v>447</v>
      </c>
      <c r="F1710" t="s">
        <v>558</v>
      </c>
      <c r="G1710" s="21">
        <v>-2.6</v>
      </c>
      <c r="H1710" s="21">
        <v>0</v>
      </c>
      <c r="I1710" s="21">
        <v>0</v>
      </c>
      <c r="J1710" s="21">
        <v>0</v>
      </c>
      <c r="K1710" s="21">
        <v>0.05</v>
      </c>
      <c r="L1710" s="21">
        <v>-2.5499999999999998</v>
      </c>
    </row>
    <row r="1711" spans="1:12" ht="30" x14ac:dyDescent="0.25">
      <c r="A1711" s="10">
        <v>1706</v>
      </c>
      <c r="B1711" t="s">
        <v>557</v>
      </c>
      <c r="C1711" t="s">
        <v>13</v>
      </c>
      <c r="D1711" t="s">
        <v>446</v>
      </c>
      <c r="E1711" s="52" t="s">
        <v>447</v>
      </c>
      <c r="F1711" t="s">
        <v>558</v>
      </c>
      <c r="G1711" s="21">
        <v>0</v>
      </c>
      <c r="H1711" s="21">
        <v>0</v>
      </c>
      <c r="I1711" s="21">
        <v>0</v>
      </c>
      <c r="J1711" s="21">
        <v>-0.31</v>
      </c>
      <c r="K1711" s="21">
        <v>0</v>
      </c>
      <c r="L1711" s="21">
        <v>-0.31</v>
      </c>
    </row>
    <row r="1712" spans="1:12" ht="30" x14ac:dyDescent="0.25">
      <c r="A1712" s="10">
        <v>1707</v>
      </c>
      <c r="B1712" t="s">
        <v>18</v>
      </c>
      <c r="C1712" t="s">
        <v>17</v>
      </c>
      <c r="D1712" t="s">
        <v>446</v>
      </c>
      <c r="E1712" s="52" t="s">
        <v>447</v>
      </c>
      <c r="F1712" t="s">
        <v>19</v>
      </c>
      <c r="G1712" s="21">
        <v>-0.14000000000000001</v>
      </c>
      <c r="H1712" s="21">
        <v>0</v>
      </c>
      <c r="I1712" s="21">
        <v>0</v>
      </c>
      <c r="J1712" s="21">
        <v>0</v>
      </c>
      <c r="K1712" s="21">
        <v>0.13</v>
      </c>
      <c r="L1712" s="21">
        <v>-0.01</v>
      </c>
    </row>
    <row r="1713" spans="1:12" ht="30" x14ac:dyDescent="0.25">
      <c r="A1713" s="10">
        <v>1708</v>
      </c>
      <c r="B1713" t="s">
        <v>550</v>
      </c>
      <c r="C1713" t="s">
        <v>13</v>
      </c>
      <c r="D1713" t="s">
        <v>446</v>
      </c>
      <c r="E1713" s="52" t="s">
        <v>447</v>
      </c>
      <c r="F1713" t="s">
        <v>551</v>
      </c>
      <c r="G1713" s="21">
        <v>0</v>
      </c>
      <c r="H1713" s="21">
        <v>0</v>
      </c>
      <c r="I1713" s="21">
        <v>0</v>
      </c>
      <c r="J1713" s="21">
        <v>-32.31</v>
      </c>
      <c r="K1713" s="21">
        <v>0</v>
      </c>
      <c r="L1713" s="21">
        <v>-32.31</v>
      </c>
    </row>
    <row r="1714" spans="1:12" ht="30" x14ac:dyDescent="0.25">
      <c r="A1714" s="10">
        <v>1709</v>
      </c>
      <c r="B1714" t="s">
        <v>550</v>
      </c>
      <c r="C1714" t="s">
        <v>13</v>
      </c>
      <c r="D1714" t="s">
        <v>446</v>
      </c>
      <c r="E1714" s="52" t="s">
        <v>447</v>
      </c>
      <c r="F1714" t="s">
        <v>551</v>
      </c>
      <c r="G1714" s="21">
        <v>0</v>
      </c>
      <c r="H1714" s="21">
        <v>0</v>
      </c>
      <c r="I1714" s="21">
        <v>0</v>
      </c>
      <c r="J1714" s="21">
        <v>-189.61</v>
      </c>
      <c r="K1714" s="21">
        <v>0</v>
      </c>
      <c r="L1714" s="21">
        <v>-189.61</v>
      </c>
    </row>
    <row r="1715" spans="1:12" ht="30" x14ac:dyDescent="0.25">
      <c r="A1715" s="10">
        <v>1710</v>
      </c>
      <c r="B1715" t="s">
        <v>550</v>
      </c>
      <c r="C1715" t="s">
        <v>17</v>
      </c>
      <c r="D1715" t="s">
        <v>446</v>
      </c>
      <c r="E1715" s="52" t="s">
        <v>447</v>
      </c>
      <c r="F1715" t="s">
        <v>551</v>
      </c>
      <c r="G1715" s="21">
        <v>-269.27999999999997</v>
      </c>
      <c r="H1715" s="21">
        <v>0</v>
      </c>
      <c r="I1715" s="21">
        <v>0</v>
      </c>
      <c r="J1715" s="21">
        <v>0</v>
      </c>
      <c r="K1715" s="21">
        <v>5.39</v>
      </c>
      <c r="L1715" s="21">
        <v>-263.89</v>
      </c>
    </row>
    <row r="1716" spans="1:12" ht="30" x14ac:dyDescent="0.25">
      <c r="A1716" s="10">
        <v>1711</v>
      </c>
      <c r="B1716" t="s">
        <v>550</v>
      </c>
      <c r="C1716" t="s">
        <v>17</v>
      </c>
      <c r="D1716" t="s">
        <v>446</v>
      </c>
      <c r="E1716" s="52" t="s">
        <v>447</v>
      </c>
      <c r="F1716" t="s">
        <v>551</v>
      </c>
      <c r="G1716" s="21">
        <v>-1580.07</v>
      </c>
      <c r="H1716" s="21">
        <v>0</v>
      </c>
      <c r="I1716" s="21">
        <v>0</v>
      </c>
      <c r="J1716" s="21">
        <v>0</v>
      </c>
      <c r="K1716" s="21">
        <v>31.6</v>
      </c>
      <c r="L1716" s="21">
        <v>-1548.47</v>
      </c>
    </row>
    <row r="1717" spans="1:12" ht="30" x14ac:dyDescent="0.25">
      <c r="A1717" s="10">
        <v>1712</v>
      </c>
      <c r="B1717" t="s">
        <v>550</v>
      </c>
      <c r="C1717" t="s">
        <v>13</v>
      </c>
      <c r="D1717" t="s">
        <v>446</v>
      </c>
      <c r="E1717" s="52" t="s">
        <v>447</v>
      </c>
      <c r="F1717" t="s">
        <v>552</v>
      </c>
      <c r="G1717" s="21">
        <v>0</v>
      </c>
      <c r="H1717" s="21">
        <v>0</v>
      </c>
      <c r="I1717" s="21">
        <v>0</v>
      </c>
      <c r="J1717" s="21">
        <v>0</v>
      </c>
      <c r="K1717" s="21">
        <v>0</v>
      </c>
      <c r="L1717" s="21">
        <v>0</v>
      </c>
    </row>
    <row r="1718" spans="1:12" ht="30" x14ac:dyDescent="0.25">
      <c r="A1718" s="10">
        <v>1713</v>
      </c>
      <c r="B1718" t="s">
        <v>550</v>
      </c>
      <c r="C1718" t="s">
        <v>13</v>
      </c>
      <c r="D1718" t="s">
        <v>446</v>
      </c>
      <c r="E1718" s="52" t="s">
        <v>447</v>
      </c>
      <c r="F1718" t="s">
        <v>552</v>
      </c>
      <c r="G1718" s="21">
        <v>0</v>
      </c>
      <c r="H1718" s="21">
        <v>0</v>
      </c>
      <c r="I1718" s="21">
        <v>0</v>
      </c>
      <c r="J1718" s="21">
        <v>-0.01</v>
      </c>
      <c r="K1718" s="21">
        <v>0</v>
      </c>
      <c r="L1718" s="21">
        <v>-0.01</v>
      </c>
    </row>
    <row r="1719" spans="1:12" ht="30" x14ac:dyDescent="0.25">
      <c r="A1719" s="10">
        <v>1714</v>
      </c>
      <c r="B1719" t="s">
        <v>550</v>
      </c>
      <c r="C1719" t="s">
        <v>17</v>
      </c>
      <c r="D1719" t="s">
        <v>446</v>
      </c>
      <c r="E1719" s="52" t="s">
        <v>447</v>
      </c>
      <c r="F1719" t="s">
        <v>552</v>
      </c>
      <c r="G1719" s="21">
        <v>-0.02</v>
      </c>
      <c r="H1719" s="21">
        <v>0</v>
      </c>
      <c r="I1719" s="21">
        <v>0</v>
      </c>
      <c r="J1719" s="21">
        <v>0</v>
      </c>
      <c r="K1719" s="21">
        <v>0</v>
      </c>
      <c r="L1719" s="21">
        <v>-0.02</v>
      </c>
    </row>
    <row r="1720" spans="1:12" ht="30" x14ac:dyDescent="0.25">
      <c r="A1720" s="10">
        <v>1715</v>
      </c>
      <c r="B1720" t="s">
        <v>550</v>
      </c>
      <c r="C1720" t="s">
        <v>17</v>
      </c>
      <c r="D1720" t="s">
        <v>446</v>
      </c>
      <c r="E1720" s="52" t="s">
        <v>447</v>
      </c>
      <c r="F1720" t="s">
        <v>552</v>
      </c>
      <c r="G1720" s="21">
        <v>-0.11</v>
      </c>
      <c r="H1720" s="21">
        <v>0</v>
      </c>
      <c r="I1720" s="21">
        <v>0</v>
      </c>
      <c r="J1720" s="21">
        <v>0</v>
      </c>
      <c r="K1720" s="21">
        <v>0</v>
      </c>
      <c r="L1720" s="21">
        <v>-0.11</v>
      </c>
    </row>
    <row r="1721" spans="1:12" ht="30" x14ac:dyDescent="0.25">
      <c r="A1721" s="10">
        <v>1716</v>
      </c>
      <c r="B1721" t="s">
        <v>559</v>
      </c>
      <c r="C1721" t="s">
        <v>17</v>
      </c>
      <c r="D1721" t="s">
        <v>448</v>
      </c>
      <c r="E1721" s="52" t="s">
        <v>449</v>
      </c>
      <c r="F1721" t="s">
        <v>560</v>
      </c>
      <c r="G1721" s="21">
        <v>-0.01</v>
      </c>
      <c r="H1721" s="21">
        <v>0</v>
      </c>
      <c r="I1721" s="21">
        <v>0</v>
      </c>
      <c r="J1721" s="21">
        <v>0</v>
      </c>
      <c r="K1721" s="21">
        <v>0</v>
      </c>
      <c r="L1721" s="21">
        <v>-0.01</v>
      </c>
    </row>
    <row r="1722" spans="1:12" ht="30" x14ac:dyDescent="0.25">
      <c r="A1722" s="10">
        <v>1717</v>
      </c>
      <c r="B1722" t="s">
        <v>559</v>
      </c>
      <c r="C1722" t="s">
        <v>13</v>
      </c>
      <c r="D1722" t="s">
        <v>448</v>
      </c>
      <c r="E1722" s="52" t="s">
        <v>449</v>
      </c>
      <c r="F1722" t="s">
        <v>560</v>
      </c>
      <c r="G1722" s="21">
        <v>0</v>
      </c>
      <c r="H1722" s="21">
        <v>0</v>
      </c>
      <c r="I1722" s="21">
        <v>0</v>
      </c>
      <c r="J1722" s="21">
        <v>0</v>
      </c>
      <c r="K1722" s="21">
        <v>0</v>
      </c>
      <c r="L1722" s="21">
        <v>0</v>
      </c>
    </row>
    <row r="1723" spans="1:12" ht="30" x14ac:dyDescent="0.25">
      <c r="A1723" s="10">
        <v>1718</v>
      </c>
      <c r="B1723" t="s">
        <v>18</v>
      </c>
      <c r="C1723" t="s">
        <v>17</v>
      </c>
      <c r="D1723" t="s">
        <v>448</v>
      </c>
      <c r="E1723" s="52" t="s">
        <v>449</v>
      </c>
      <c r="F1723" t="s">
        <v>19</v>
      </c>
      <c r="G1723" s="21">
        <v>-0.28999999999999998</v>
      </c>
      <c r="H1723" s="21">
        <v>0</v>
      </c>
      <c r="I1723" s="21">
        <v>0</v>
      </c>
      <c r="J1723" s="21">
        <v>0</v>
      </c>
      <c r="K1723" s="21">
        <v>0.26</v>
      </c>
      <c r="L1723" s="21">
        <v>-0.03</v>
      </c>
    </row>
    <row r="1724" spans="1:12" ht="30" x14ac:dyDescent="0.25">
      <c r="A1724" s="10">
        <v>1719</v>
      </c>
      <c r="B1724" t="s">
        <v>18</v>
      </c>
      <c r="C1724" t="s">
        <v>17</v>
      </c>
      <c r="D1724" t="s">
        <v>448</v>
      </c>
      <c r="E1724" s="52" t="s">
        <v>449</v>
      </c>
      <c r="F1724" t="s">
        <v>19</v>
      </c>
      <c r="G1724" s="21">
        <v>-10.74</v>
      </c>
      <c r="H1724" s="21">
        <v>0</v>
      </c>
      <c r="I1724" s="21">
        <v>0</v>
      </c>
      <c r="J1724" s="21">
        <v>0</v>
      </c>
      <c r="K1724" s="21">
        <v>9.5299999999999994</v>
      </c>
      <c r="L1724" s="21">
        <v>-1.21</v>
      </c>
    </row>
    <row r="1725" spans="1:12" ht="30" x14ac:dyDescent="0.25">
      <c r="A1725" s="10">
        <v>1720</v>
      </c>
      <c r="B1725" t="s">
        <v>550</v>
      </c>
      <c r="C1725" t="s">
        <v>13</v>
      </c>
      <c r="D1725" t="s">
        <v>448</v>
      </c>
      <c r="E1725" s="52" t="s">
        <v>449</v>
      </c>
      <c r="F1725" t="s">
        <v>551</v>
      </c>
      <c r="G1725" s="21">
        <v>0</v>
      </c>
      <c r="H1725" s="21">
        <v>0</v>
      </c>
      <c r="I1725" s="21">
        <v>0</v>
      </c>
      <c r="J1725" s="21">
        <v>-5432.58</v>
      </c>
      <c r="K1725" s="21">
        <v>0</v>
      </c>
      <c r="L1725" s="21">
        <v>-5432.58</v>
      </c>
    </row>
    <row r="1726" spans="1:12" ht="30" x14ac:dyDescent="0.25">
      <c r="A1726" s="10">
        <v>1721</v>
      </c>
      <c r="B1726" t="s">
        <v>550</v>
      </c>
      <c r="C1726" t="s">
        <v>17</v>
      </c>
      <c r="D1726" t="s">
        <v>448</v>
      </c>
      <c r="E1726" s="52" t="s">
        <v>449</v>
      </c>
      <c r="F1726" t="s">
        <v>551</v>
      </c>
      <c r="G1726" s="21">
        <v>-45271.54</v>
      </c>
      <c r="H1726" s="21">
        <v>0</v>
      </c>
      <c r="I1726" s="21">
        <v>0</v>
      </c>
      <c r="J1726" s="21">
        <v>0</v>
      </c>
      <c r="K1726" s="21">
        <v>905.43</v>
      </c>
      <c r="L1726" s="21">
        <v>-44366.11</v>
      </c>
    </row>
    <row r="1727" spans="1:12" ht="30" x14ac:dyDescent="0.25">
      <c r="A1727" s="10">
        <v>1722</v>
      </c>
      <c r="B1727" t="s">
        <v>550</v>
      </c>
      <c r="C1727" t="s">
        <v>13</v>
      </c>
      <c r="D1727" t="s">
        <v>448</v>
      </c>
      <c r="E1727" s="52" t="s">
        <v>449</v>
      </c>
      <c r="F1727" t="s">
        <v>552</v>
      </c>
      <c r="G1727" s="21">
        <v>0</v>
      </c>
      <c r="H1727" s="21">
        <v>0</v>
      </c>
      <c r="I1727" s="21">
        <v>0</v>
      </c>
      <c r="J1727" s="21">
        <v>-0.39</v>
      </c>
      <c r="K1727" s="21">
        <v>0</v>
      </c>
      <c r="L1727" s="21">
        <v>-0.39</v>
      </c>
    </row>
    <row r="1728" spans="1:12" ht="30" x14ac:dyDescent="0.25">
      <c r="A1728" s="10">
        <v>1723</v>
      </c>
      <c r="B1728" t="s">
        <v>550</v>
      </c>
      <c r="C1728" t="s">
        <v>17</v>
      </c>
      <c r="D1728" t="s">
        <v>448</v>
      </c>
      <c r="E1728" s="52" t="s">
        <v>449</v>
      </c>
      <c r="F1728" t="s">
        <v>552</v>
      </c>
      <c r="G1728" s="21">
        <v>-3.26</v>
      </c>
      <c r="H1728" s="21">
        <v>0</v>
      </c>
      <c r="I1728" s="21">
        <v>0</v>
      </c>
      <c r="J1728" s="21">
        <v>0</v>
      </c>
      <c r="K1728" s="21">
        <v>7.0000000000000007E-2</v>
      </c>
      <c r="L1728" s="21">
        <v>-3.19</v>
      </c>
    </row>
    <row r="1729" spans="1:12" ht="30" x14ac:dyDescent="0.25">
      <c r="A1729" s="10">
        <v>1724</v>
      </c>
      <c r="B1729" t="s">
        <v>559</v>
      </c>
      <c r="C1729" t="s">
        <v>17</v>
      </c>
      <c r="D1729" t="s">
        <v>450</v>
      </c>
      <c r="E1729" s="52" t="s">
        <v>451</v>
      </c>
      <c r="F1729" t="s">
        <v>560</v>
      </c>
      <c r="G1729" s="21">
        <v>-1.91</v>
      </c>
      <c r="H1729" s="21">
        <v>0</v>
      </c>
      <c r="I1729" s="21">
        <v>0</v>
      </c>
      <c r="J1729" s="21">
        <v>0</v>
      </c>
      <c r="K1729" s="21">
        <v>0.04</v>
      </c>
      <c r="L1729" s="21">
        <v>-1.87</v>
      </c>
    </row>
    <row r="1730" spans="1:12" ht="30" x14ac:dyDescent="0.25">
      <c r="A1730" s="10">
        <v>1725</v>
      </c>
      <c r="B1730" t="s">
        <v>559</v>
      </c>
      <c r="C1730" t="s">
        <v>13</v>
      </c>
      <c r="D1730" t="s">
        <v>450</v>
      </c>
      <c r="E1730" s="52" t="s">
        <v>451</v>
      </c>
      <c r="F1730" t="s">
        <v>560</v>
      </c>
      <c r="G1730" s="21">
        <v>0</v>
      </c>
      <c r="H1730" s="21">
        <v>0</v>
      </c>
      <c r="I1730" s="21">
        <v>0</v>
      </c>
      <c r="J1730" s="21">
        <v>-0.23</v>
      </c>
      <c r="K1730" s="21">
        <v>0</v>
      </c>
      <c r="L1730" s="21">
        <v>-0.23</v>
      </c>
    </row>
    <row r="1731" spans="1:12" ht="30" x14ac:dyDescent="0.25">
      <c r="A1731" s="10">
        <v>1726</v>
      </c>
      <c r="B1731" t="s">
        <v>18</v>
      </c>
      <c r="C1731" t="s">
        <v>17</v>
      </c>
      <c r="D1731" t="s">
        <v>450</v>
      </c>
      <c r="E1731" s="52" t="s">
        <v>451</v>
      </c>
      <c r="F1731" t="s">
        <v>19</v>
      </c>
      <c r="G1731" s="21">
        <v>-68.55</v>
      </c>
      <c r="H1731" s="21">
        <v>0</v>
      </c>
      <c r="I1731" s="21">
        <v>0</v>
      </c>
      <c r="J1731" s="21">
        <v>0</v>
      </c>
      <c r="K1731" s="21">
        <v>60.82</v>
      </c>
      <c r="L1731" s="21">
        <v>-7.73</v>
      </c>
    </row>
    <row r="1732" spans="1:12" ht="30" x14ac:dyDescent="0.25">
      <c r="A1732" s="10">
        <v>1727</v>
      </c>
      <c r="B1732" t="s">
        <v>18</v>
      </c>
      <c r="C1732" t="s">
        <v>17</v>
      </c>
      <c r="D1732" t="s">
        <v>450</v>
      </c>
      <c r="E1732" s="52" t="s">
        <v>451</v>
      </c>
      <c r="F1732" t="s">
        <v>19</v>
      </c>
      <c r="G1732" s="21">
        <v>-0.49</v>
      </c>
      <c r="H1732" s="21">
        <v>0</v>
      </c>
      <c r="I1732" s="21">
        <v>0</v>
      </c>
      <c r="J1732" s="21">
        <v>0</v>
      </c>
      <c r="K1732" s="21">
        <v>0.44</v>
      </c>
      <c r="L1732" s="21">
        <v>-0.05</v>
      </c>
    </row>
    <row r="1733" spans="1:12" ht="30" x14ac:dyDescent="0.25">
      <c r="A1733" s="10">
        <v>1728</v>
      </c>
      <c r="B1733" t="s">
        <v>550</v>
      </c>
      <c r="C1733" t="s">
        <v>17</v>
      </c>
      <c r="D1733" t="s">
        <v>450</v>
      </c>
      <c r="E1733" s="52" t="s">
        <v>451</v>
      </c>
      <c r="F1733" t="s">
        <v>551</v>
      </c>
      <c r="G1733" s="21">
        <v>-7944.86</v>
      </c>
      <c r="H1733" s="21">
        <v>0</v>
      </c>
      <c r="I1733" s="21">
        <v>0</v>
      </c>
      <c r="J1733" s="21">
        <v>0</v>
      </c>
      <c r="K1733" s="21">
        <v>158.9</v>
      </c>
      <c r="L1733" s="21">
        <v>-7785.96</v>
      </c>
    </row>
    <row r="1734" spans="1:12" ht="30" x14ac:dyDescent="0.25">
      <c r="A1734" s="10">
        <v>1729</v>
      </c>
      <c r="B1734" t="s">
        <v>550</v>
      </c>
      <c r="C1734" t="s">
        <v>13</v>
      </c>
      <c r="D1734" t="s">
        <v>450</v>
      </c>
      <c r="E1734" s="52" t="s">
        <v>451</v>
      </c>
      <c r="F1734" t="s">
        <v>551</v>
      </c>
      <c r="G1734" s="21">
        <v>0</v>
      </c>
      <c r="H1734" s="21">
        <v>0</v>
      </c>
      <c r="I1734" s="21">
        <v>0</v>
      </c>
      <c r="J1734" s="21">
        <v>-194832.81</v>
      </c>
      <c r="K1734" s="21">
        <v>0</v>
      </c>
      <c r="L1734" s="21">
        <v>-194832.81</v>
      </c>
    </row>
    <row r="1735" spans="1:12" ht="30" x14ac:dyDescent="0.25">
      <c r="A1735" s="10">
        <v>1730</v>
      </c>
      <c r="B1735" t="s">
        <v>550</v>
      </c>
      <c r="C1735" t="s">
        <v>17</v>
      </c>
      <c r="D1735" t="s">
        <v>450</v>
      </c>
      <c r="E1735" s="52" t="s">
        <v>451</v>
      </c>
      <c r="F1735" t="s">
        <v>551</v>
      </c>
      <c r="G1735" s="21">
        <v>-1623606.77</v>
      </c>
      <c r="H1735" s="21">
        <v>0</v>
      </c>
      <c r="I1735" s="21">
        <v>0</v>
      </c>
      <c r="J1735" s="21">
        <v>0</v>
      </c>
      <c r="K1735" s="21">
        <v>32472.14</v>
      </c>
      <c r="L1735" s="21">
        <v>-1591134.63</v>
      </c>
    </row>
    <row r="1736" spans="1:12" ht="30" x14ac:dyDescent="0.25">
      <c r="A1736" s="10">
        <v>1731</v>
      </c>
      <c r="B1736" t="s">
        <v>550</v>
      </c>
      <c r="C1736" t="s">
        <v>13</v>
      </c>
      <c r="D1736" t="s">
        <v>450</v>
      </c>
      <c r="E1736" s="52" t="s">
        <v>451</v>
      </c>
      <c r="F1736" t="s">
        <v>551</v>
      </c>
      <c r="G1736" s="21">
        <v>0</v>
      </c>
      <c r="H1736" s="21">
        <v>0</v>
      </c>
      <c r="I1736" s="21">
        <v>0</v>
      </c>
      <c r="J1736" s="21">
        <v>-953.38</v>
      </c>
      <c r="K1736" s="21">
        <v>0</v>
      </c>
      <c r="L1736" s="21">
        <v>-953.38</v>
      </c>
    </row>
    <row r="1737" spans="1:12" ht="30" x14ac:dyDescent="0.25">
      <c r="A1737" s="10">
        <v>1732</v>
      </c>
      <c r="B1737" t="s">
        <v>550</v>
      </c>
      <c r="C1737" t="s">
        <v>17</v>
      </c>
      <c r="D1737" t="s">
        <v>450</v>
      </c>
      <c r="E1737" s="52" t="s">
        <v>451</v>
      </c>
      <c r="F1737" t="s">
        <v>552</v>
      </c>
      <c r="G1737" s="21">
        <v>-0.56999999999999995</v>
      </c>
      <c r="H1737" s="21">
        <v>0</v>
      </c>
      <c r="I1737" s="21">
        <v>0</v>
      </c>
      <c r="J1737" s="21">
        <v>0</v>
      </c>
      <c r="K1737" s="21">
        <v>0.01</v>
      </c>
      <c r="L1737" s="21">
        <v>-0.56000000000000005</v>
      </c>
    </row>
    <row r="1738" spans="1:12" ht="30" x14ac:dyDescent="0.25">
      <c r="A1738" s="10">
        <v>1733</v>
      </c>
      <c r="B1738" t="s">
        <v>550</v>
      </c>
      <c r="C1738" t="s">
        <v>13</v>
      </c>
      <c r="D1738" t="s">
        <v>450</v>
      </c>
      <c r="E1738" s="52" t="s">
        <v>451</v>
      </c>
      <c r="F1738" t="s">
        <v>552</v>
      </c>
      <c r="G1738" s="21">
        <v>0</v>
      </c>
      <c r="H1738" s="21">
        <v>0</v>
      </c>
      <c r="I1738" s="21">
        <v>0</v>
      </c>
      <c r="J1738" s="21">
        <v>-14.01</v>
      </c>
      <c r="K1738" s="21">
        <v>0</v>
      </c>
      <c r="L1738" s="21">
        <v>-14.01</v>
      </c>
    </row>
    <row r="1739" spans="1:12" ht="30" x14ac:dyDescent="0.25">
      <c r="A1739" s="10">
        <v>1734</v>
      </c>
      <c r="B1739" t="s">
        <v>550</v>
      </c>
      <c r="C1739" t="s">
        <v>17</v>
      </c>
      <c r="D1739" t="s">
        <v>450</v>
      </c>
      <c r="E1739" s="52" t="s">
        <v>451</v>
      </c>
      <c r="F1739" t="s">
        <v>552</v>
      </c>
      <c r="G1739" s="21">
        <v>-116.78</v>
      </c>
      <c r="H1739" s="21">
        <v>0</v>
      </c>
      <c r="I1739" s="21">
        <v>0</v>
      </c>
      <c r="J1739" s="21">
        <v>0</v>
      </c>
      <c r="K1739" s="21">
        <v>2.34</v>
      </c>
      <c r="L1739" s="21">
        <v>-114.44</v>
      </c>
    </row>
    <row r="1740" spans="1:12" ht="30" x14ac:dyDescent="0.25">
      <c r="A1740" s="10">
        <v>1735</v>
      </c>
      <c r="B1740" t="s">
        <v>550</v>
      </c>
      <c r="C1740" t="s">
        <v>13</v>
      </c>
      <c r="D1740" t="s">
        <v>450</v>
      </c>
      <c r="E1740" s="52" t="s">
        <v>451</v>
      </c>
      <c r="F1740" t="s">
        <v>552</v>
      </c>
      <c r="G1740" s="21">
        <v>0</v>
      </c>
      <c r="H1740" s="21">
        <v>0</v>
      </c>
      <c r="I1740" s="21">
        <v>0</v>
      </c>
      <c r="J1740" s="21">
        <v>-7.0000000000000007E-2</v>
      </c>
      <c r="K1740" s="21">
        <v>0</v>
      </c>
      <c r="L1740" s="21">
        <v>-7.0000000000000007E-2</v>
      </c>
    </row>
    <row r="1741" spans="1:12" ht="30" x14ac:dyDescent="0.25">
      <c r="A1741" s="10">
        <v>1736</v>
      </c>
      <c r="B1741" t="s">
        <v>559</v>
      </c>
      <c r="C1741" t="s">
        <v>17</v>
      </c>
      <c r="D1741" t="s">
        <v>452</v>
      </c>
      <c r="E1741" s="52" t="s">
        <v>453</v>
      </c>
      <c r="F1741" t="s">
        <v>560</v>
      </c>
      <c r="G1741" s="21">
        <v>-0.04</v>
      </c>
      <c r="H1741" s="21">
        <v>0</v>
      </c>
      <c r="I1741" s="21">
        <v>0</v>
      </c>
      <c r="J1741" s="21">
        <v>0</v>
      </c>
      <c r="K1741" s="21">
        <v>0</v>
      </c>
      <c r="L1741" s="21">
        <v>-0.04</v>
      </c>
    </row>
    <row r="1742" spans="1:12" ht="30" x14ac:dyDescent="0.25">
      <c r="A1742" s="10">
        <v>1737</v>
      </c>
      <c r="B1742" t="s">
        <v>559</v>
      </c>
      <c r="C1742" t="s">
        <v>13</v>
      </c>
      <c r="D1742" t="s">
        <v>452</v>
      </c>
      <c r="E1742" s="52" t="s">
        <v>453</v>
      </c>
      <c r="F1742" t="s">
        <v>560</v>
      </c>
      <c r="G1742" s="21">
        <v>0</v>
      </c>
      <c r="H1742" s="21">
        <v>0</v>
      </c>
      <c r="I1742" s="21">
        <v>0</v>
      </c>
      <c r="J1742" s="21">
        <v>0</v>
      </c>
      <c r="K1742" s="21">
        <v>0</v>
      </c>
      <c r="L1742" s="21">
        <v>0</v>
      </c>
    </row>
    <row r="1743" spans="1:12" ht="30" x14ac:dyDescent="0.25">
      <c r="A1743" s="10">
        <v>1738</v>
      </c>
      <c r="B1743" t="s">
        <v>550</v>
      </c>
      <c r="C1743" t="s">
        <v>13</v>
      </c>
      <c r="D1743" t="s">
        <v>452</v>
      </c>
      <c r="E1743" s="52" t="s">
        <v>453</v>
      </c>
      <c r="F1743" t="s">
        <v>551</v>
      </c>
      <c r="G1743" s="21">
        <v>0</v>
      </c>
      <c r="H1743" s="21">
        <v>0</v>
      </c>
      <c r="I1743" s="21">
        <v>0</v>
      </c>
      <c r="J1743" s="21">
        <v>-10248.26</v>
      </c>
      <c r="K1743" s="21">
        <v>0</v>
      </c>
      <c r="L1743" s="21">
        <v>-10248.26</v>
      </c>
    </row>
    <row r="1744" spans="1:12" ht="30" x14ac:dyDescent="0.25">
      <c r="A1744" s="10">
        <v>1739</v>
      </c>
      <c r="B1744" t="s">
        <v>550</v>
      </c>
      <c r="C1744" t="s">
        <v>13</v>
      </c>
      <c r="D1744" t="s">
        <v>452</v>
      </c>
      <c r="E1744" s="52" t="s">
        <v>453</v>
      </c>
      <c r="F1744" t="s">
        <v>551</v>
      </c>
      <c r="G1744" s="21">
        <v>0</v>
      </c>
      <c r="H1744" s="21">
        <v>0</v>
      </c>
      <c r="I1744" s="21">
        <v>0</v>
      </c>
      <c r="J1744" s="21">
        <v>-1356.69</v>
      </c>
      <c r="K1744" s="21">
        <v>0</v>
      </c>
      <c r="L1744" s="21">
        <v>-1356.69</v>
      </c>
    </row>
    <row r="1745" spans="1:12" ht="30" x14ac:dyDescent="0.25">
      <c r="A1745" s="10">
        <v>1740</v>
      </c>
      <c r="B1745" t="s">
        <v>550</v>
      </c>
      <c r="C1745" t="s">
        <v>17</v>
      </c>
      <c r="D1745" t="s">
        <v>452</v>
      </c>
      <c r="E1745" s="52" t="s">
        <v>453</v>
      </c>
      <c r="F1745" t="s">
        <v>551</v>
      </c>
      <c r="G1745" s="21">
        <v>-85402.19</v>
      </c>
      <c r="H1745" s="21">
        <v>0</v>
      </c>
      <c r="I1745" s="21">
        <v>0</v>
      </c>
      <c r="J1745" s="21">
        <v>0</v>
      </c>
      <c r="K1745" s="21">
        <v>1708.04</v>
      </c>
      <c r="L1745" s="21">
        <v>-83694.149999999994</v>
      </c>
    </row>
    <row r="1746" spans="1:12" ht="30" x14ac:dyDescent="0.25">
      <c r="A1746" s="10">
        <v>1741</v>
      </c>
      <c r="B1746" t="s">
        <v>550</v>
      </c>
      <c r="C1746" t="s">
        <v>17</v>
      </c>
      <c r="D1746" t="s">
        <v>452</v>
      </c>
      <c r="E1746" s="52" t="s">
        <v>453</v>
      </c>
      <c r="F1746" t="s">
        <v>551</v>
      </c>
      <c r="G1746" s="21">
        <v>-11305.79</v>
      </c>
      <c r="H1746" s="21">
        <v>0</v>
      </c>
      <c r="I1746" s="21">
        <v>0</v>
      </c>
      <c r="J1746" s="21">
        <v>0</v>
      </c>
      <c r="K1746" s="21">
        <v>226.12</v>
      </c>
      <c r="L1746" s="21">
        <v>-11079.67</v>
      </c>
    </row>
    <row r="1747" spans="1:12" ht="30" x14ac:dyDescent="0.25">
      <c r="A1747" s="10">
        <v>1742</v>
      </c>
      <c r="B1747" t="s">
        <v>550</v>
      </c>
      <c r="C1747" t="s">
        <v>13</v>
      </c>
      <c r="D1747" t="s">
        <v>452</v>
      </c>
      <c r="E1747" s="52" t="s">
        <v>453</v>
      </c>
      <c r="F1747" t="s">
        <v>552</v>
      </c>
      <c r="G1747" s="21">
        <v>0</v>
      </c>
      <c r="H1747" s="21">
        <v>0</v>
      </c>
      <c r="I1747" s="21">
        <v>0</v>
      </c>
      <c r="J1747" s="21">
        <v>-0.74</v>
      </c>
      <c r="K1747" s="21">
        <v>0</v>
      </c>
      <c r="L1747" s="21">
        <v>-0.74</v>
      </c>
    </row>
    <row r="1748" spans="1:12" ht="30" x14ac:dyDescent="0.25">
      <c r="A1748" s="10">
        <v>1743</v>
      </c>
      <c r="B1748" t="s">
        <v>550</v>
      </c>
      <c r="C1748" t="s">
        <v>13</v>
      </c>
      <c r="D1748" t="s">
        <v>452</v>
      </c>
      <c r="E1748" s="52" t="s">
        <v>453</v>
      </c>
      <c r="F1748" t="s">
        <v>552</v>
      </c>
      <c r="G1748" s="21">
        <v>0</v>
      </c>
      <c r="H1748" s="21">
        <v>0</v>
      </c>
      <c r="I1748" s="21">
        <v>0</v>
      </c>
      <c r="J1748" s="21">
        <v>-0.1</v>
      </c>
      <c r="K1748" s="21">
        <v>0</v>
      </c>
      <c r="L1748" s="21">
        <v>-0.1</v>
      </c>
    </row>
    <row r="1749" spans="1:12" ht="30" x14ac:dyDescent="0.25">
      <c r="A1749" s="10">
        <v>1744</v>
      </c>
      <c r="B1749" t="s">
        <v>550</v>
      </c>
      <c r="C1749" t="s">
        <v>17</v>
      </c>
      <c r="D1749" t="s">
        <v>452</v>
      </c>
      <c r="E1749" s="52" t="s">
        <v>453</v>
      </c>
      <c r="F1749" t="s">
        <v>552</v>
      </c>
      <c r="G1749" s="21">
        <v>-6.14</v>
      </c>
      <c r="H1749" s="21">
        <v>0</v>
      </c>
      <c r="I1749" s="21">
        <v>0</v>
      </c>
      <c r="J1749" s="21">
        <v>0</v>
      </c>
      <c r="K1749" s="21">
        <v>0.12</v>
      </c>
      <c r="L1749" s="21">
        <v>-6.02</v>
      </c>
    </row>
    <row r="1750" spans="1:12" ht="30" x14ac:dyDescent="0.25">
      <c r="A1750" s="10">
        <v>1745</v>
      </c>
      <c r="B1750" t="s">
        <v>550</v>
      </c>
      <c r="C1750" t="s">
        <v>17</v>
      </c>
      <c r="D1750" t="s">
        <v>452</v>
      </c>
      <c r="E1750" s="52" t="s">
        <v>453</v>
      </c>
      <c r="F1750" t="s">
        <v>552</v>
      </c>
      <c r="G1750" s="21">
        <v>-0.81</v>
      </c>
      <c r="H1750" s="21">
        <v>0</v>
      </c>
      <c r="I1750" s="21">
        <v>0</v>
      </c>
      <c r="J1750" s="21">
        <v>0</v>
      </c>
      <c r="K1750" s="21">
        <v>0.02</v>
      </c>
      <c r="L1750" s="21">
        <v>-0.79</v>
      </c>
    </row>
    <row r="1751" spans="1:12" ht="30" x14ac:dyDescent="0.25">
      <c r="A1751" s="10">
        <v>1746</v>
      </c>
      <c r="B1751" t="s">
        <v>555</v>
      </c>
      <c r="C1751" t="s">
        <v>17</v>
      </c>
      <c r="D1751" t="s">
        <v>454</v>
      </c>
      <c r="E1751" s="52" t="s">
        <v>455</v>
      </c>
      <c r="F1751" t="s">
        <v>556</v>
      </c>
      <c r="G1751" s="21">
        <v>-543</v>
      </c>
      <c r="H1751" s="21">
        <v>0</v>
      </c>
      <c r="I1751" s="21">
        <v>0</v>
      </c>
      <c r="J1751" s="21">
        <v>0</v>
      </c>
      <c r="K1751" s="21">
        <v>10.86</v>
      </c>
      <c r="L1751" s="21">
        <v>-532.14</v>
      </c>
    </row>
    <row r="1752" spans="1:12" ht="30" x14ac:dyDescent="0.25">
      <c r="A1752" s="10">
        <v>1747</v>
      </c>
      <c r="B1752" t="s">
        <v>555</v>
      </c>
      <c r="C1752" t="s">
        <v>13</v>
      </c>
      <c r="D1752" t="s">
        <v>454</v>
      </c>
      <c r="E1752" s="52" t="s">
        <v>455</v>
      </c>
      <c r="F1752" t="s">
        <v>556</v>
      </c>
      <c r="G1752" s="21">
        <v>0</v>
      </c>
      <c r="H1752" s="21">
        <v>0</v>
      </c>
      <c r="I1752" s="21">
        <v>0</v>
      </c>
      <c r="J1752" s="21">
        <v>-65.16</v>
      </c>
      <c r="K1752" s="21">
        <v>0</v>
      </c>
      <c r="L1752" s="21">
        <v>-65.16</v>
      </c>
    </row>
    <row r="1753" spans="1:12" ht="30" x14ac:dyDescent="0.25">
      <c r="A1753" s="10">
        <v>1748</v>
      </c>
      <c r="B1753" t="s">
        <v>557</v>
      </c>
      <c r="C1753" t="s">
        <v>17</v>
      </c>
      <c r="D1753" t="s">
        <v>454</v>
      </c>
      <c r="E1753" s="52" t="s">
        <v>455</v>
      </c>
      <c r="F1753" t="s">
        <v>558</v>
      </c>
      <c r="G1753" s="21">
        <v>-275.36</v>
      </c>
      <c r="H1753" s="21">
        <v>0</v>
      </c>
      <c r="I1753" s="21">
        <v>0</v>
      </c>
      <c r="J1753" s="21">
        <v>0</v>
      </c>
      <c r="K1753" s="21">
        <v>5.51</v>
      </c>
      <c r="L1753" s="21">
        <v>-269.85000000000002</v>
      </c>
    </row>
    <row r="1754" spans="1:12" ht="30" x14ac:dyDescent="0.25">
      <c r="A1754" s="10">
        <v>1749</v>
      </c>
      <c r="B1754" t="s">
        <v>557</v>
      </c>
      <c r="C1754" t="s">
        <v>13</v>
      </c>
      <c r="D1754" t="s">
        <v>454</v>
      </c>
      <c r="E1754" s="52" t="s">
        <v>455</v>
      </c>
      <c r="F1754" t="s">
        <v>558</v>
      </c>
      <c r="G1754" s="21">
        <v>0</v>
      </c>
      <c r="H1754" s="21">
        <v>0</v>
      </c>
      <c r="I1754" s="21">
        <v>0</v>
      </c>
      <c r="J1754" s="21">
        <v>-33.04</v>
      </c>
      <c r="K1754" s="21">
        <v>0</v>
      </c>
      <c r="L1754" s="21">
        <v>-33.04</v>
      </c>
    </row>
    <row r="1755" spans="1:12" ht="30" x14ac:dyDescent="0.25">
      <c r="A1755" s="10">
        <v>1750</v>
      </c>
      <c r="B1755" t="s">
        <v>18</v>
      </c>
      <c r="C1755" t="s">
        <v>17</v>
      </c>
      <c r="D1755" t="s">
        <v>454</v>
      </c>
      <c r="E1755" s="52" t="s">
        <v>455</v>
      </c>
      <c r="F1755" t="s">
        <v>19</v>
      </c>
      <c r="G1755" s="21">
        <v>-0.96</v>
      </c>
      <c r="H1755" s="21">
        <v>0</v>
      </c>
      <c r="I1755" s="21">
        <v>0</v>
      </c>
      <c r="J1755" s="21">
        <v>0</v>
      </c>
      <c r="K1755" s="21">
        <v>0.85</v>
      </c>
      <c r="L1755" s="21">
        <v>-0.11</v>
      </c>
    </row>
    <row r="1756" spans="1:12" ht="30" x14ac:dyDescent="0.25">
      <c r="A1756" s="10">
        <v>1751</v>
      </c>
      <c r="B1756" t="s">
        <v>550</v>
      </c>
      <c r="C1756" t="s">
        <v>13</v>
      </c>
      <c r="D1756" t="s">
        <v>454</v>
      </c>
      <c r="E1756" s="52" t="s">
        <v>455</v>
      </c>
      <c r="F1756" t="s">
        <v>551</v>
      </c>
      <c r="G1756" s="21">
        <v>0</v>
      </c>
      <c r="H1756" s="21">
        <v>0</v>
      </c>
      <c r="I1756" s="21">
        <v>0</v>
      </c>
      <c r="J1756" s="21">
        <v>-11890.56</v>
      </c>
      <c r="K1756" s="21">
        <v>0</v>
      </c>
      <c r="L1756" s="21">
        <v>-11890.56</v>
      </c>
    </row>
    <row r="1757" spans="1:12" ht="30" x14ac:dyDescent="0.25">
      <c r="A1757" s="10">
        <v>1752</v>
      </c>
      <c r="B1757" t="s">
        <v>550</v>
      </c>
      <c r="C1757" t="s">
        <v>13</v>
      </c>
      <c r="D1757" t="s">
        <v>454</v>
      </c>
      <c r="E1757" s="52" t="s">
        <v>455</v>
      </c>
      <c r="F1757" t="s">
        <v>551</v>
      </c>
      <c r="G1757" s="21">
        <v>0</v>
      </c>
      <c r="H1757" s="21">
        <v>0</v>
      </c>
      <c r="I1757" s="21">
        <v>0</v>
      </c>
      <c r="J1757" s="21">
        <v>-2067.83</v>
      </c>
      <c r="K1757" s="21">
        <v>0</v>
      </c>
      <c r="L1757" s="21">
        <v>-2067.83</v>
      </c>
    </row>
    <row r="1758" spans="1:12" ht="30" x14ac:dyDescent="0.25">
      <c r="A1758" s="10">
        <v>1753</v>
      </c>
      <c r="B1758" t="s">
        <v>550</v>
      </c>
      <c r="C1758" t="s">
        <v>17</v>
      </c>
      <c r="D1758" t="s">
        <v>454</v>
      </c>
      <c r="E1758" s="52" t="s">
        <v>455</v>
      </c>
      <c r="F1758" t="s">
        <v>551</v>
      </c>
      <c r="G1758" s="21">
        <v>-99088.03</v>
      </c>
      <c r="H1758" s="21">
        <v>0</v>
      </c>
      <c r="I1758" s="21">
        <v>0</v>
      </c>
      <c r="J1758" s="21">
        <v>0</v>
      </c>
      <c r="K1758" s="21">
        <v>1981.76</v>
      </c>
      <c r="L1758" s="21">
        <v>-97106.27</v>
      </c>
    </row>
    <row r="1759" spans="1:12" ht="30" x14ac:dyDescent="0.25">
      <c r="A1759" s="10">
        <v>1754</v>
      </c>
      <c r="B1759" t="s">
        <v>550</v>
      </c>
      <c r="C1759" t="s">
        <v>17</v>
      </c>
      <c r="D1759" t="s">
        <v>454</v>
      </c>
      <c r="E1759" s="52" t="s">
        <v>455</v>
      </c>
      <c r="F1759" t="s">
        <v>551</v>
      </c>
      <c r="G1759" s="21">
        <v>-17231.939999999999</v>
      </c>
      <c r="H1759" s="21">
        <v>0</v>
      </c>
      <c r="I1759" s="21">
        <v>0</v>
      </c>
      <c r="J1759" s="21">
        <v>0</v>
      </c>
      <c r="K1759" s="21">
        <v>344.64</v>
      </c>
      <c r="L1759" s="21">
        <v>-16887.3</v>
      </c>
    </row>
    <row r="1760" spans="1:12" ht="30" x14ac:dyDescent="0.25">
      <c r="A1760" s="10">
        <v>1755</v>
      </c>
      <c r="B1760" t="s">
        <v>550</v>
      </c>
      <c r="C1760" t="s">
        <v>13</v>
      </c>
      <c r="D1760" t="s">
        <v>454</v>
      </c>
      <c r="E1760" s="52" t="s">
        <v>455</v>
      </c>
      <c r="F1760" t="s">
        <v>552</v>
      </c>
      <c r="G1760" s="21">
        <v>0</v>
      </c>
      <c r="H1760" s="21">
        <v>0</v>
      </c>
      <c r="I1760" s="21">
        <v>0</v>
      </c>
      <c r="J1760" s="21">
        <v>-0.86</v>
      </c>
      <c r="K1760" s="21">
        <v>0</v>
      </c>
      <c r="L1760" s="21">
        <v>-0.86</v>
      </c>
    </row>
    <row r="1761" spans="1:12" ht="30" x14ac:dyDescent="0.25">
      <c r="A1761" s="10">
        <v>1756</v>
      </c>
      <c r="B1761" t="s">
        <v>550</v>
      </c>
      <c r="C1761" t="s">
        <v>13</v>
      </c>
      <c r="D1761" t="s">
        <v>454</v>
      </c>
      <c r="E1761" s="52" t="s">
        <v>455</v>
      </c>
      <c r="F1761" t="s">
        <v>552</v>
      </c>
      <c r="G1761" s="21">
        <v>0</v>
      </c>
      <c r="H1761" s="21">
        <v>0</v>
      </c>
      <c r="I1761" s="21">
        <v>0</v>
      </c>
      <c r="J1761" s="21">
        <v>-0.15</v>
      </c>
      <c r="K1761" s="21">
        <v>0</v>
      </c>
      <c r="L1761" s="21">
        <v>-0.15</v>
      </c>
    </row>
    <row r="1762" spans="1:12" ht="30" x14ac:dyDescent="0.25">
      <c r="A1762" s="10">
        <v>1757</v>
      </c>
      <c r="B1762" t="s">
        <v>550</v>
      </c>
      <c r="C1762" t="s">
        <v>17</v>
      </c>
      <c r="D1762" t="s">
        <v>454</v>
      </c>
      <c r="E1762" s="52" t="s">
        <v>455</v>
      </c>
      <c r="F1762" t="s">
        <v>552</v>
      </c>
      <c r="G1762" s="21">
        <v>-7.13</v>
      </c>
      <c r="H1762" s="21">
        <v>0</v>
      </c>
      <c r="I1762" s="21">
        <v>0</v>
      </c>
      <c r="J1762" s="21">
        <v>0</v>
      </c>
      <c r="K1762" s="21">
        <v>0.14000000000000001</v>
      </c>
      <c r="L1762" s="21">
        <v>-6.99</v>
      </c>
    </row>
    <row r="1763" spans="1:12" ht="30" x14ac:dyDescent="0.25">
      <c r="A1763" s="10">
        <v>1758</v>
      </c>
      <c r="B1763" t="s">
        <v>550</v>
      </c>
      <c r="C1763" t="s">
        <v>17</v>
      </c>
      <c r="D1763" t="s">
        <v>454</v>
      </c>
      <c r="E1763" s="52" t="s">
        <v>455</v>
      </c>
      <c r="F1763" t="s">
        <v>552</v>
      </c>
      <c r="G1763" s="21">
        <v>-1.24</v>
      </c>
      <c r="H1763" s="21">
        <v>0</v>
      </c>
      <c r="I1763" s="21">
        <v>0</v>
      </c>
      <c r="J1763" s="21">
        <v>0</v>
      </c>
      <c r="K1763" s="21">
        <v>0.02</v>
      </c>
      <c r="L1763" s="21">
        <v>-1.22</v>
      </c>
    </row>
    <row r="1764" spans="1:12" ht="30" x14ac:dyDescent="0.25">
      <c r="A1764" s="10">
        <v>1759</v>
      </c>
      <c r="B1764" t="s">
        <v>555</v>
      </c>
      <c r="C1764" t="s">
        <v>17</v>
      </c>
      <c r="D1764" t="s">
        <v>456</v>
      </c>
      <c r="E1764" s="52" t="s">
        <v>457</v>
      </c>
      <c r="F1764" t="s">
        <v>556</v>
      </c>
      <c r="G1764" s="21">
        <v>-92.13</v>
      </c>
      <c r="H1764" s="21">
        <v>0</v>
      </c>
      <c r="I1764" s="21">
        <v>0</v>
      </c>
      <c r="J1764" s="21">
        <v>0</v>
      </c>
      <c r="K1764" s="21">
        <v>1.84</v>
      </c>
      <c r="L1764" s="21">
        <v>-90.29</v>
      </c>
    </row>
    <row r="1765" spans="1:12" ht="30" x14ac:dyDescent="0.25">
      <c r="A1765" s="10">
        <v>1760</v>
      </c>
      <c r="B1765" t="s">
        <v>555</v>
      </c>
      <c r="C1765" t="s">
        <v>13</v>
      </c>
      <c r="D1765" t="s">
        <v>456</v>
      </c>
      <c r="E1765" s="52" t="s">
        <v>457</v>
      </c>
      <c r="F1765" t="s">
        <v>556</v>
      </c>
      <c r="G1765" s="21">
        <v>0</v>
      </c>
      <c r="H1765" s="21">
        <v>0</v>
      </c>
      <c r="I1765" s="21">
        <v>0</v>
      </c>
      <c r="J1765" s="21">
        <v>-11.06</v>
      </c>
      <c r="K1765" s="21">
        <v>0</v>
      </c>
      <c r="L1765" s="21">
        <v>-11.06</v>
      </c>
    </row>
    <row r="1766" spans="1:12" ht="30" x14ac:dyDescent="0.25">
      <c r="A1766" s="10">
        <v>1761</v>
      </c>
      <c r="B1766" t="s">
        <v>557</v>
      </c>
      <c r="C1766" t="s">
        <v>17</v>
      </c>
      <c r="D1766" t="s">
        <v>456</v>
      </c>
      <c r="E1766" s="52" t="s">
        <v>457</v>
      </c>
      <c r="F1766" t="s">
        <v>558</v>
      </c>
      <c r="G1766" s="21">
        <v>-54.02</v>
      </c>
      <c r="H1766" s="21">
        <v>0</v>
      </c>
      <c r="I1766" s="21">
        <v>0</v>
      </c>
      <c r="J1766" s="21">
        <v>0</v>
      </c>
      <c r="K1766" s="21">
        <v>1.08</v>
      </c>
      <c r="L1766" s="21">
        <v>-52.94</v>
      </c>
    </row>
    <row r="1767" spans="1:12" ht="30" x14ac:dyDescent="0.25">
      <c r="A1767" s="10">
        <v>1762</v>
      </c>
      <c r="B1767" t="s">
        <v>557</v>
      </c>
      <c r="C1767" t="s">
        <v>13</v>
      </c>
      <c r="D1767" t="s">
        <v>456</v>
      </c>
      <c r="E1767" s="52" t="s">
        <v>457</v>
      </c>
      <c r="F1767" t="s">
        <v>558</v>
      </c>
      <c r="G1767" s="21">
        <v>0</v>
      </c>
      <c r="H1767" s="21">
        <v>0</v>
      </c>
      <c r="I1767" s="21">
        <v>0</v>
      </c>
      <c r="J1767" s="21">
        <v>-6.48</v>
      </c>
      <c r="K1767" s="21">
        <v>0</v>
      </c>
      <c r="L1767" s="21">
        <v>-6.48</v>
      </c>
    </row>
    <row r="1768" spans="1:12" ht="30" x14ac:dyDescent="0.25">
      <c r="A1768" s="10">
        <v>1763</v>
      </c>
      <c r="B1768" t="s">
        <v>559</v>
      </c>
      <c r="C1768" t="s">
        <v>17</v>
      </c>
      <c r="D1768" t="s">
        <v>456</v>
      </c>
      <c r="E1768" s="52" t="s">
        <v>457</v>
      </c>
      <c r="F1768" t="s">
        <v>560</v>
      </c>
      <c r="G1768" s="21">
        <v>-0.62</v>
      </c>
      <c r="H1768" s="21">
        <v>0</v>
      </c>
      <c r="I1768" s="21">
        <v>0</v>
      </c>
      <c r="J1768" s="21">
        <v>0</v>
      </c>
      <c r="K1768" s="21">
        <v>0.01</v>
      </c>
      <c r="L1768" s="21">
        <v>-0.61</v>
      </c>
    </row>
    <row r="1769" spans="1:12" ht="30" x14ac:dyDescent="0.25">
      <c r="A1769" s="10">
        <v>1764</v>
      </c>
      <c r="B1769" t="s">
        <v>559</v>
      </c>
      <c r="C1769" t="s">
        <v>17</v>
      </c>
      <c r="D1769" t="s">
        <v>456</v>
      </c>
      <c r="E1769" s="52" t="s">
        <v>457</v>
      </c>
      <c r="F1769" t="s">
        <v>560</v>
      </c>
      <c r="G1769" s="21">
        <v>-1.18</v>
      </c>
      <c r="H1769" s="21">
        <v>0</v>
      </c>
      <c r="I1769" s="21">
        <v>0</v>
      </c>
      <c r="J1769" s="21">
        <v>0</v>
      </c>
      <c r="K1769" s="21">
        <v>0.02</v>
      </c>
      <c r="L1769" s="21">
        <v>-1.1599999999999999</v>
      </c>
    </row>
    <row r="1770" spans="1:12" ht="30" x14ac:dyDescent="0.25">
      <c r="A1770" s="10">
        <v>1765</v>
      </c>
      <c r="B1770" t="s">
        <v>559</v>
      </c>
      <c r="C1770" t="s">
        <v>17</v>
      </c>
      <c r="D1770" t="s">
        <v>456</v>
      </c>
      <c r="E1770" s="52" t="s">
        <v>457</v>
      </c>
      <c r="F1770" t="s">
        <v>560</v>
      </c>
      <c r="G1770" s="21">
        <v>-0.01</v>
      </c>
      <c r="H1770" s="21">
        <v>0</v>
      </c>
      <c r="I1770" s="21">
        <v>0</v>
      </c>
      <c r="J1770" s="21">
        <v>0</v>
      </c>
      <c r="K1770" s="21">
        <v>0</v>
      </c>
      <c r="L1770" s="21">
        <v>-0.01</v>
      </c>
    </row>
    <row r="1771" spans="1:12" ht="30" x14ac:dyDescent="0.25">
      <c r="A1771" s="10">
        <v>1766</v>
      </c>
      <c r="B1771" t="s">
        <v>559</v>
      </c>
      <c r="C1771" t="s">
        <v>17</v>
      </c>
      <c r="D1771" t="s">
        <v>456</v>
      </c>
      <c r="E1771" s="52" t="s">
        <v>457</v>
      </c>
      <c r="F1771" t="s">
        <v>560</v>
      </c>
      <c r="G1771" s="21">
        <v>-0.02</v>
      </c>
      <c r="H1771" s="21">
        <v>0</v>
      </c>
      <c r="I1771" s="21">
        <v>0</v>
      </c>
      <c r="J1771" s="21">
        <v>0</v>
      </c>
      <c r="K1771" s="21">
        <v>0</v>
      </c>
      <c r="L1771" s="21">
        <v>-0.02</v>
      </c>
    </row>
    <row r="1772" spans="1:12" ht="30" x14ac:dyDescent="0.25">
      <c r="A1772" s="10">
        <v>1767</v>
      </c>
      <c r="B1772" t="s">
        <v>559</v>
      </c>
      <c r="C1772" t="s">
        <v>17</v>
      </c>
      <c r="D1772" t="s">
        <v>456</v>
      </c>
      <c r="E1772" s="52" t="s">
        <v>457</v>
      </c>
      <c r="F1772" t="s">
        <v>560</v>
      </c>
      <c r="G1772" s="21">
        <v>-10.19</v>
      </c>
      <c r="H1772" s="21">
        <v>0</v>
      </c>
      <c r="I1772" s="21">
        <v>0</v>
      </c>
      <c r="J1772" s="21">
        <v>0</v>
      </c>
      <c r="K1772" s="21">
        <v>0.2</v>
      </c>
      <c r="L1772" s="21">
        <v>-9.99</v>
      </c>
    </row>
    <row r="1773" spans="1:12" ht="30" x14ac:dyDescent="0.25">
      <c r="A1773" s="10">
        <v>1768</v>
      </c>
      <c r="B1773" t="s">
        <v>559</v>
      </c>
      <c r="C1773" t="s">
        <v>17</v>
      </c>
      <c r="D1773" t="s">
        <v>456</v>
      </c>
      <c r="E1773" s="52" t="s">
        <v>457</v>
      </c>
      <c r="F1773" t="s">
        <v>560</v>
      </c>
      <c r="G1773" s="21">
        <v>-0.05</v>
      </c>
      <c r="H1773" s="21">
        <v>0</v>
      </c>
      <c r="I1773" s="21">
        <v>0</v>
      </c>
      <c r="J1773" s="21">
        <v>0</v>
      </c>
      <c r="K1773" s="21">
        <v>0</v>
      </c>
      <c r="L1773" s="21">
        <v>-0.05</v>
      </c>
    </row>
    <row r="1774" spans="1:12" ht="30" x14ac:dyDescent="0.25">
      <c r="A1774" s="10">
        <v>1769</v>
      </c>
      <c r="B1774" t="s">
        <v>559</v>
      </c>
      <c r="C1774" t="s">
        <v>17</v>
      </c>
      <c r="D1774" t="s">
        <v>456</v>
      </c>
      <c r="E1774" s="52" t="s">
        <v>457</v>
      </c>
      <c r="F1774" t="s">
        <v>560</v>
      </c>
      <c r="G1774" s="21">
        <v>-0.19</v>
      </c>
      <c r="H1774" s="21">
        <v>0</v>
      </c>
      <c r="I1774" s="21">
        <v>0</v>
      </c>
      <c r="J1774" s="21">
        <v>0</v>
      </c>
      <c r="K1774" s="21">
        <v>0</v>
      </c>
      <c r="L1774" s="21">
        <v>-0.19</v>
      </c>
    </row>
    <row r="1775" spans="1:12" ht="30" x14ac:dyDescent="0.25">
      <c r="A1775" s="10">
        <v>1770</v>
      </c>
      <c r="B1775" t="s">
        <v>559</v>
      </c>
      <c r="C1775" t="s">
        <v>13</v>
      </c>
      <c r="D1775" t="s">
        <v>456</v>
      </c>
      <c r="E1775" s="52" t="s">
        <v>457</v>
      </c>
      <c r="F1775" t="s">
        <v>560</v>
      </c>
      <c r="G1775" s="21">
        <v>0</v>
      </c>
      <c r="H1775" s="21">
        <v>0</v>
      </c>
      <c r="I1775" s="21">
        <v>0</v>
      </c>
      <c r="J1775" s="21">
        <v>-7.0000000000000007E-2</v>
      </c>
      <c r="K1775" s="21">
        <v>0</v>
      </c>
      <c r="L1775" s="21">
        <v>-7.0000000000000007E-2</v>
      </c>
    </row>
    <row r="1776" spans="1:12" ht="30" x14ac:dyDescent="0.25">
      <c r="A1776" s="10">
        <v>1771</v>
      </c>
      <c r="B1776" t="s">
        <v>559</v>
      </c>
      <c r="C1776" t="s">
        <v>13</v>
      </c>
      <c r="D1776" t="s">
        <v>456</v>
      </c>
      <c r="E1776" s="52" t="s">
        <v>457</v>
      </c>
      <c r="F1776" t="s">
        <v>560</v>
      </c>
      <c r="G1776" s="21">
        <v>0</v>
      </c>
      <c r="H1776" s="21">
        <v>0</v>
      </c>
      <c r="I1776" s="21">
        <v>0</v>
      </c>
      <c r="J1776" s="21">
        <v>-0.14000000000000001</v>
      </c>
      <c r="K1776" s="21">
        <v>0</v>
      </c>
      <c r="L1776" s="21">
        <v>-0.14000000000000001</v>
      </c>
    </row>
    <row r="1777" spans="1:12" ht="30" x14ac:dyDescent="0.25">
      <c r="A1777" s="10">
        <v>1772</v>
      </c>
      <c r="B1777" t="s">
        <v>559</v>
      </c>
      <c r="C1777" t="s">
        <v>13</v>
      </c>
      <c r="D1777" t="s">
        <v>456</v>
      </c>
      <c r="E1777" s="52" t="s">
        <v>457</v>
      </c>
      <c r="F1777" t="s">
        <v>560</v>
      </c>
      <c r="G1777" s="21">
        <v>0</v>
      </c>
      <c r="H1777" s="21">
        <v>0</v>
      </c>
      <c r="I1777" s="21">
        <v>0</v>
      </c>
      <c r="J1777" s="21">
        <v>0</v>
      </c>
      <c r="K1777" s="21">
        <v>0</v>
      </c>
      <c r="L1777" s="21">
        <v>0</v>
      </c>
    </row>
    <row r="1778" spans="1:12" ht="30" x14ac:dyDescent="0.25">
      <c r="A1778" s="10">
        <v>1773</v>
      </c>
      <c r="B1778" t="s">
        <v>559</v>
      </c>
      <c r="C1778" t="s">
        <v>13</v>
      </c>
      <c r="D1778" t="s">
        <v>456</v>
      </c>
      <c r="E1778" s="52" t="s">
        <v>457</v>
      </c>
      <c r="F1778" t="s">
        <v>560</v>
      </c>
      <c r="G1778" s="21">
        <v>0</v>
      </c>
      <c r="H1778" s="21">
        <v>0</v>
      </c>
      <c r="I1778" s="21">
        <v>0</v>
      </c>
      <c r="J1778" s="21">
        <v>0</v>
      </c>
      <c r="K1778" s="21">
        <v>0</v>
      </c>
      <c r="L1778" s="21">
        <v>0</v>
      </c>
    </row>
    <row r="1779" spans="1:12" ht="30" x14ac:dyDescent="0.25">
      <c r="A1779" s="10">
        <v>1774</v>
      </c>
      <c r="B1779" t="s">
        <v>559</v>
      </c>
      <c r="C1779" t="s">
        <v>13</v>
      </c>
      <c r="D1779" t="s">
        <v>456</v>
      </c>
      <c r="E1779" s="52" t="s">
        <v>457</v>
      </c>
      <c r="F1779" t="s">
        <v>560</v>
      </c>
      <c r="G1779" s="21">
        <v>0</v>
      </c>
      <c r="H1779" s="21">
        <v>0</v>
      </c>
      <c r="I1779" s="21">
        <v>0</v>
      </c>
      <c r="J1779" s="21">
        <v>-1.22</v>
      </c>
      <c r="K1779" s="21">
        <v>0</v>
      </c>
      <c r="L1779" s="21">
        <v>-1.22</v>
      </c>
    </row>
    <row r="1780" spans="1:12" ht="30" x14ac:dyDescent="0.25">
      <c r="A1780" s="10">
        <v>1775</v>
      </c>
      <c r="B1780" t="s">
        <v>559</v>
      </c>
      <c r="C1780" t="s">
        <v>13</v>
      </c>
      <c r="D1780" t="s">
        <v>456</v>
      </c>
      <c r="E1780" s="52" t="s">
        <v>457</v>
      </c>
      <c r="F1780" t="s">
        <v>560</v>
      </c>
      <c r="G1780" s="21">
        <v>0</v>
      </c>
      <c r="H1780" s="21">
        <v>0</v>
      </c>
      <c r="I1780" s="21">
        <v>0</v>
      </c>
      <c r="J1780" s="21">
        <v>-0.01</v>
      </c>
      <c r="K1780" s="21">
        <v>0</v>
      </c>
      <c r="L1780" s="21">
        <v>-0.01</v>
      </c>
    </row>
    <row r="1781" spans="1:12" ht="30" x14ac:dyDescent="0.25">
      <c r="A1781" s="10">
        <v>1776</v>
      </c>
      <c r="B1781" t="s">
        <v>559</v>
      </c>
      <c r="C1781" t="s">
        <v>13</v>
      </c>
      <c r="D1781" t="s">
        <v>456</v>
      </c>
      <c r="E1781" s="52" t="s">
        <v>457</v>
      </c>
      <c r="F1781" t="s">
        <v>560</v>
      </c>
      <c r="G1781" s="21">
        <v>0</v>
      </c>
      <c r="H1781" s="21">
        <v>0</v>
      </c>
      <c r="I1781" s="21">
        <v>0</v>
      </c>
      <c r="J1781" s="21">
        <v>-0.02</v>
      </c>
      <c r="K1781" s="21">
        <v>0</v>
      </c>
      <c r="L1781" s="21">
        <v>-0.02</v>
      </c>
    </row>
    <row r="1782" spans="1:12" ht="30" x14ac:dyDescent="0.25">
      <c r="A1782" s="10">
        <v>1777</v>
      </c>
      <c r="B1782" t="s">
        <v>18</v>
      </c>
      <c r="C1782" t="s">
        <v>17</v>
      </c>
      <c r="D1782" t="s">
        <v>456</v>
      </c>
      <c r="E1782" s="52" t="s">
        <v>457</v>
      </c>
      <c r="F1782" t="s">
        <v>19</v>
      </c>
      <c r="G1782" s="21">
        <v>-10.66</v>
      </c>
      <c r="H1782" s="21">
        <v>0</v>
      </c>
      <c r="I1782" s="21">
        <v>0</v>
      </c>
      <c r="J1782" s="21">
        <v>0</v>
      </c>
      <c r="K1782" s="21">
        <v>9.4600000000000009</v>
      </c>
      <c r="L1782" s="21">
        <v>-1.2</v>
      </c>
    </row>
    <row r="1783" spans="1:12" ht="30" x14ac:dyDescent="0.25">
      <c r="A1783" s="10">
        <v>1778</v>
      </c>
      <c r="B1783" t="s">
        <v>18</v>
      </c>
      <c r="C1783" t="s">
        <v>17</v>
      </c>
      <c r="D1783" t="s">
        <v>456</v>
      </c>
      <c r="E1783" s="52" t="s">
        <v>457</v>
      </c>
      <c r="F1783" t="s">
        <v>19</v>
      </c>
      <c r="G1783" s="21">
        <v>-0.01</v>
      </c>
      <c r="H1783" s="21">
        <v>0</v>
      </c>
      <c r="I1783" s="21">
        <v>0</v>
      </c>
      <c r="J1783" s="21">
        <v>0</v>
      </c>
      <c r="K1783" s="21">
        <v>0.01</v>
      </c>
      <c r="L1783" s="21">
        <v>0</v>
      </c>
    </row>
    <row r="1784" spans="1:12" ht="30" x14ac:dyDescent="0.25">
      <c r="A1784" s="10">
        <v>1779</v>
      </c>
      <c r="B1784" t="s">
        <v>18</v>
      </c>
      <c r="C1784" t="s">
        <v>17</v>
      </c>
      <c r="D1784" t="s">
        <v>456</v>
      </c>
      <c r="E1784" s="52" t="s">
        <v>457</v>
      </c>
      <c r="F1784" t="s">
        <v>19</v>
      </c>
      <c r="G1784" s="21">
        <v>-0.01</v>
      </c>
      <c r="H1784" s="21">
        <v>0</v>
      </c>
      <c r="I1784" s="21">
        <v>0</v>
      </c>
      <c r="J1784" s="21">
        <v>0</v>
      </c>
      <c r="K1784" s="21">
        <v>0.01</v>
      </c>
      <c r="L1784" s="21">
        <v>0</v>
      </c>
    </row>
    <row r="1785" spans="1:12" ht="30" x14ac:dyDescent="0.25">
      <c r="A1785" s="10">
        <v>1780</v>
      </c>
      <c r="B1785" t="s">
        <v>18</v>
      </c>
      <c r="C1785" t="s">
        <v>17</v>
      </c>
      <c r="D1785" t="s">
        <v>456</v>
      </c>
      <c r="E1785" s="52" t="s">
        <v>457</v>
      </c>
      <c r="F1785" t="s">
        <v>19</v>
      </c>
      <c r="G1785" s="21">
        <v>0</v>
      </c>
      <c r="H1785" s="21">
        <v>0</v>
      </c>
      <c r="I1785" s="21">
        <v>0</v>
      </c>
      <c r="J1785" s="21">
        <v>0</v>
      </c>
      <c r="K1785" s="21">
        <v>0</v>
      </c>
      <c r="L1785" s="21">
        <v>0</v>
      </c>
    </row>
    <row r="1786" spans="1:12" ht="30" x14ac:dyDescent="0.25">
      <c r="A1786" s="10">
        <v>1781</v>
      </c>
      <c r="B1786" t="s">
        <v>18</v>
      </c>
      <c r="C1786" t="s">
        <v>17</v>
      </c>
      <c r="D1786" t="s">
        <v>456</v>
      </c>
      <c r="E1786" s="52" t="s">
        <v>457</v>
      </c>
      <c r="F1786" t="s">
        <v>19</v>
      </c>
      <c r="G1786" s="21">
        <v>-25.77</v>
      </c>
      <c r="H1786" s="21">
        <v>0</v>
      </c>
      <c r="I1786" s="21">
        <v>0</v>
      </c>
      <c r="J1786" s="21">
        <v>0</v>
      </c>
      <c r="K1786" s="21">
        <v>22.86</v>
      </c>
      <c r="L1786" s="21">
        <v>-2.91</v>
      </c>
    </row>
    <row r="1787" spans="1:12" ht="30" x14ac:dyDescent="0.25">
      <c r="A1787" s="10">
        <v>1782</v>
      </c>
      <c r="B1787" t="s">
        <v>18</v>
      </c>
      <c r="C1787" t="s">
        <v>17</v>
      </c>
      <c r="D1787" t="s">
        <v>456</v>
      </c>
      <c r="E1787" s="52" t="s">
        <v>457</v>
      </c>
      <c r="F1787" t="s">
        <v>19</v>
      </c>
      <c r="G1787" s="21">
        <v>-8.6</v>
      </c>
      <c r="H1787" s="21">
        <v>0</v>
      </c>
      <c r="I1787" s="21">
        <v>0</v>
      </c>
      <c r="J1787" s="21">
        <v>0</v>
      </c>
      <c r="K1787" s="21">
        <v>7.63</v>
      </c>
      <c r="L1787" s="21">
        <v>-0.97</v>
      </c>
    </row>
    <row r="1788" spans="1:12" ht="30" x14ac:dyDescent="0.25">
      <c r="A1788" s="10">
        <v>1783</v>
      </c>
      <c r="B1788" t="s">
        <v>18</v>
      </c>
      <c r="C1788" t="s">
        <v>17</v>
      </c>
      <c r="D1788" t="s">
        <v>456</v>
      </c>
      <c r="E1788" s="52" t="s">
        <v>457</v>
      </c>
      <c r="F1788" t="s">
        <v>19</v>
      </c>
      <c r="G1788" s="21">
        <v>-0.19</v>
      </c>
      <c r="H1788" s="21">
        <v>0</v>
      </c>
      <c r="I1788" s="21">
        <v>0</v>
      </c>
      <c r="J1788" s="21">
        <v>0</v>
      </c>
      <c r="K1788" s="21">
        <v>0.17</v>
      </c>
      <c r="L1788" s="21">
        <v>-0.02</v>
      </c>
    </row>
    <row r="1789" spans="1:12" ht="30" x14ac:dyDescent="0.25">
      <c r="A1789" s="10">
        <v>1784</v>
      </c>
      <c r="B1789" t="s">
        <v>18</v>
      </c>
      <c r="C1789" t="s">
        <v>17</v>
      </c>
      <c r="D1789" t="s">
        <v>456</v>
      </c>
      <c r="E1789" s="52" t="s">
        <v>457</v>
      </c>
      <c r="F1789" t="s">
        <v>19</v>
      </c>
      <c r="G1789" s="21">
        <v>0</v>
      </c>
      <c r="H1789" s="21">
        <v>0</v>
      </c>
      <c r="I1789" s="21">
        <v>0</v>
      </c>
      <c r="J1789" s="21">
        <v>0</v>
      </c>
      <c r="K1789" s="21">
        <v>0</v>
      </c>
      <c r="L1789" s="21">
        <v>0</v>
      </c>
    </row>
    <row r="1790" spans="1:12" ht="30" x14ac:dyDescent="0.25">
      <c r="A1790" s="10">
        <v>1785</v>
      </c>
      <c r="B1790" t="s">
        <v>18</v>
      </c>
      <c r="C1790" t="s">
        <v>17</v>
      </c>
      <c r="D1790" t="s">
        <v>456</v>
      </c>
      <c r="E1790" s="52" t="s">
        <v>457</v>
      </c>
      <c r="F1790" t="s">
        <v>19</v>
      </c>
      <c r="G1790" s="21">
        <v>-12.05</v>
      </c>
      <c r="H1790" s="21">
        <v>0</v>
      </c>
      <c r="I1790" s="21">
        <v>0</v>
      </c>
      <c r="J1790" s="21">
        <v>0</v>
      </c>
      <c r="K1790" s="21">
        <v>10.69</v>
      </c>
      <c r="L1790" s="21">
        <v>-1.36</v>
      </c>
    </row>
    <row r="1791" spans="1:12" ht="30" x14ac:dyDescent="0.25">
      <c r="A1791" s="10">
        <v>1786</v>
      </c>
      <c r="B1791" t="s">
        <v>18</v>
      </c>
      <c r="C1791" t="s">
        <v>17</v>
      </c>
      <c r="D1791" t="s">
        <v>456</v>
      </c>
      <c r="E1791" s="52" t="s">
        <v>457</v>
      </c>
      <c r="F1791" t="s">
        <v>19</v>
      </c>
      <c r="G1791" s="21">
        <v>-0.01</v>
      </c>
      <c r="H1791" s="21">
        <v>0</v>
      </c>
      <c r="I1791" s="21">
        <v>0</v>
      </c>
      <c r="J1791" s="21">
        <v>0</v>
      </c>
      <c r="K1791" s="21">
        <v>0.01</v>
      </c>
      <c r="L1791" s="21">
        <v>0</v>
      </c>
    </row>
    <row r="1792" spans="1:12" ht="30" x14ac:dyDescent="0.25">
      <c r="A1792" s="10">
        <v>1787</v>
      </c>
      <c r="B1792" t="s">
        <v>550</v>
      </c>
      <c r="C1792" t="s">
        <v>17</v>
      </c>
      <c r="D1792" t="s">
        <v>456</v>
      </c>
      <c r="E1792" s="52" t="s">
        <v>457</v>
      </c>
      <c r="F1792" t="s">
        <v>551</v>
      </c>
      <c r="G1792" s="21">
        <v>-88.12</v>
      </c>
      <c r="H1792" s="21">
        <v>0</v>
      </c>
      <c r="I1792" s="21">
        <v>0</v>
      </c>
      <c r="J1792" s="21">
        <v>0</v>
      </c>
      <c r="K1792" s="21">
        <v>1.76</v>
      </c>
      <c r="L1792" s="21">
        <v>-86.36</v>
      </c>
    </row>
    <row r="1793" spans="1:12" ht="30" x14ac:dyDescent="0.25">
      <c r="A1793" s="10">
        <v>1788</v>
      </c>
      <c r="B1793" t="s">
        <v>550</v>
      </c>
      <c r="C1793" t="s">
        <v>17</v>
      </c>
      <c r="D1793" t="s">
        <v>456</v>
      </c>
      <c r="E1793" s="52" t="s">
        <v>457</v>
      </c>
      <c r="F1793" t="s">
        <v>551</v>
      </c>
      <c r="G1793" s="21">
        <v>-212987.41</v>
      </c>
      <c r="H1793" s="21">
        <v>0</v>
      </c>
      <c r="I1793" s="21">
        <v>0</v>
      </c>
      <c r="J1793" s="21">
        <v>0</v>
      </c>
      <c r="K1793" s="21">
        <v>4259.75</v>
      </c>
      <c r="L1793" s="21">
        <v>-208727.66</v>
      </c>
    </row>
    <row r="1794" spans="1:12" ht="30" x14ac:dyDescent="0.25">
      <c r="A1794" s="10">
        <v>1789</v>
      </c>
      <c r="B1794" t="s">
        <v>550</v>
      </c>
      <c r="C1794" t="s">
        <v>17</v>
      </c>
      <c r="D1794" t="s">
        <v>456</v>
      </c>
      <c r="E1794" s="52" t="s">
        <v>457</v>
      </c>
      <c r="F1794" t="s">
        <v>551</v>
      </c>
      <c r="G1794" s="21">
        <v>-5.19</v>
      </c>
      <c r="H1794" s="21">
        <v>0</v>
      </c>
      <c r="I1794" s="21">
        <v>0</v>
      </c>
      <c r="J1794" s="21">
        <v>0</v>
      </c>
      <c r="K1794" s="21">
        <v>0.1</v>
      </c>
      <c r="L1794" s="21">
        <v>-5.09</v>
      </c>
    </row>
    <row r="1795" spans="1:12" ht="30" x14ac:dyDescent="0.25">
      <c r="A1795" s="10">
        <v>1790</v>
      </c>
      <c r="B1795" t="s">
        <v>550</v>
      </c>
      <c r="C1795" t="s">
        <v>17</v>
      </c>
      <c r="D1795" t="s">
        <v>456</v>
      </c>
      <c r="E1795" s="52" t="s">
        <v>457</v>
      </c>
      <c r="F1795" t="s">
        <v>551</v>
      </c>
      <c r="G1795" s="21">
        <v>-318.25</v>
      </c>
      <c r="H1795" s="21">
        <v>0</v>
      </c>
      <c r="I1795" s="21">
        <v>0</v>
      </c>
      <c r="J1795" s="21">
        <v>0</v>
      </c>
      <c r="K1795" s="21">
        <v>6.36</v>
      </c>
      <c r="L1795" s="21">
        <v>-311.89</v>
      </c>
    </row>
    <row r="1796" spans="1:12" ht="30" x14ac:dyDescent="0.25">
      <c r="A1796" s="10">
        <v>1791</v>
      </c>
      <c r="B1796" t="s">
        <v>550</v>
      </c>
      <c r="C1796" t="s">
        <v>13</v>
      </c>
      <c r="D1796" t="s">
        <v>456</v>
      </c>
      <c r="E1796" s="52" t="s">
        <v>457</v>
      </c>
      <c r="F1796" t="s">
        <v>551</v>
      </c>
      <c r="G1796" s="21">
        <v>0</v>
      </c>
      <c r="H1796" s="21">
        <v>0</v>
      </c>
      <c r="I1796" s="21">
        <v>0</v>
      </c>
      <c r="J1796" s="21">
        <v>-58</v>
      </c>
      <c r="K1796" s="21">
        <v>0</v>
      </c>
      <c r="L1796" s="21">
        <v>-58</v>
      </c>
    </row>
    <row r="1797" spans="1:12" ht="30" x14ac:dyDescent="0.25">
      <c r="A1797" s="10">
        <v>1792</v>
      </c>
      <c r="B1797" t="s">
        <v>550</v>
      </c>
      <c r="C1797" t="s">
        <v>13</v>
      </c>
      <c r="D1797" t="s">
        <v>456</v>
      </c>
      <c r="E1797" s="52" t="s">
        <v>457</v>
      </c>
      <c r="F1797" t="s">
        <v>551</v>
      </c>
      <c r="G1797" s="21">
        <v>0</v>
      </c>
      <c r="H1797" s="21">
        <v>0</v>
      </c>
      <c r="I1797" s="21">
        <v>0</v>
      </c>
      <c r="J1797" s="21">
        <v>-44.7</v>
      </c>
      <c r="K1797" s="21">
        <v>0</v>
      </c>
      <c r="L1797" s="21">
        <v>-44.7</v>
      </c>
    </row>
    <row r="1798" spans="1:12" ht="30" x14ac:dyDescent="0.25">
      <c r="A1798" s="10">
        <v>1793</v>
      </c>
      <c r="B1798" t="s">
        <v>550</v>
      </c>
      <c r="C1798" t="s">
        <v>13</v>
      </c>
      <c r="D1798" t="s">
        <v>456</v>
      </c>
      <c r="E1798" s="52" t="s">
        <v>457</v>
      </c>
      <c r="F1798" t="s">
        <v>551</v>
      </c>
      <c r="G1798" s="21">
        <v>0</v>
      </c>
      <c r="H1798" s="21">
        <v>0</v>
      </c>
      <c r="I1798" s="21">
        <v>0</v>
      </c>
      <c r="J1798" s="21">
        <v>-35318.26</v>
      </c>
      <c r="K1798" s="21">
        <v>0</v>
      </c>
      <c r="L1798" s="21">
        <v>-35318.26</v>
      </c>
    </row>
    <row r="1799" spans="1:12" ht="30" x14ac:dyDescent="0.25">
      <c r="A1799" s="10">
        <v>1794</v>
      </c>
      <c r="B1799" t="s">
        <v>550</v>
      </c>
      <c r="C1799" t="s">
        <v>13</v>
      </c>
      <c r="D1799" t="s">
        <v>456</v>
      </c>
      <c r="E1799" s="52" t="s">
        <v>457</v>
      </c>
      <c r="F1799" t="s">
        <v>551</v>
      </c>
      <c r="G1799" s="21">
        <v>0</v>
      </c>
      <c r="H1799" s="21">
        <v>0</v>
      </c>
      <c r="I1799" s="21">
        <v>0</v>
      </c>
      <c r="J1799" s="21">
        <v>-17163.32</v>
      </c>
      <c r="K1799" s="21">
        <v>0</v>
      </c>
      <c r="L1799" s="21">
        <v>-17163.32</v>
      </c>
    </row>
    <row r="1800" spans="1:12" ht="30" x14ac:dyDescent="0.25">
      <c r="A1800" s="10">
        <v>1795</v>
      </c>
      <c r="B1800" t="s">
        <v>550</v>
      </c>
      <c r="C1800" t="s">
        <v>13</v>
      </c>
      <c r="D1800" t="s">
        <v>456</v>
      </c>
      <c r="E1800" s="52" t="s">
        <v>457</v>
      </c>
      <c r="F1800" t="s">
        <v>551</v>
      </c>
      <c r="G1800" s="21">
        <v>0</v>
      </c>
      <c r="H1800" s="21">
        <v>0</v>
      </c>
      <c r="I1800" s="21">
        <v>0</v>
      </c>
      <c r="J1800" s="21">
        <v>-153.65</v>
      </c>
      <c r="K1800" s="21">
        <v>0</v>
      </c>
      <c r="L1800" s="21">
        <v>-153.65</v>
      </c>
    </row>
    <row r="1801" spans="1:12" ht="30" x14ac:dyDescent="0.25">
      <c r="A1801" s="10">
        <v>1796</v>
      </c>
      <c r="B1801" t="s">
        <v>550</v>
      </c>
      <c r="C1801" t="s">
        <v>17</v>
      </c>
      <c r="D1801" t="s">
        <v>456</v>
      </c>
      <c r="E1801" s="52" t="s">
        <v>457</v>
      </c>
      <c r="F1801" t="s">
        <v>551</v>
      </c>
      <c r="G1801" s="21">
        <v>-96.42</v>
      </c>
      <c r="H1801" s="21">
        <v>0</v>
      </c>
      <c r="I1801" s="21">
        <v>0</v>
      </c>
      <c r="J1801" s="21">
        <v>0</v>
      </c>
      <c r="K1801" s="21">
        <v>1.93</v>
      </c>
      <c r="L1801" s="21">
        <v>-94.49</v>
      </c>
    </row>
    <row r="1802" spans="1:12" ht="30" x14ac:dyDescent="0.25">
      <c r="A1802" s="10">
        <v>1797</v>
      </c>
      <c r="B1802" t="s">
        <v>550</v>
      </c>
      <c r="C1802" t="s">
        <v>17</v>
      </c>
      <c r="D1802" t="s">
        <v>456</v>
      </c>
      <c r="E1802" s="52" t="s">
        <v>457</v>
      </c>
      <c r="F1802" t="s">
        <v>551</v>
      </c>
      <c r="G1802" s="21">
        <v>-400.35</v>
      </c>
      <c r="H1802" s="21">
        <v>0</v>
      </c>
      <c r="I1802" s="21">
        <v>0</v>
      </c>
      <c r="J1802" s="21">
        <v>0</v>
      </c>
      <c r="K1802" s="21">
        <v>8.01</v>
      </c>
      <c r="L1802" s="21">
        <v>-392.34</v>
      </c>
    </row>
    <row r="1803" spans="1:12" ht="30" x14ac:dyDescent="0.25">
      <c r="A1803" s="10">
        <v>1798</v>
      </c>
      <c r="B1803" t="s">
        <v>550</v>
      </c>
      <c r="C1803" t="s">
        <v>17</v>
      </c>
      <c r="D1803" t="s">
        <v>456</v>
      </c>
      <c r="E1803" s="52" t="s">
        <v>457</v>
      </c>
      <c r="F1803" t="s">
        <v>551</v>
      </c>
      <c r="G1803" s="21">
        <v>-0.91</v>
      </c>
      <c r="H1803" s="21">
        <v>0</v>
      </c>
      <c r="I1803" s="21">
        <v>0</v>
      </c>
      <c r="J1803" s="21">
        <v>0</v>
      </c>
      <c r="K1803" s="21">
        <v>0.02</v>
      </c>
      <c r="L1803" s="21">
        <v>-0.89</v>
      </c>
    </row>
    <row r="1804" spans="1:12" ht="30" x14ac:dyDescent="0.25">
      <c r="A1804" s="10">
        <v>1799</v>
      </c>
      <c r="B1804" t="s">
        <v>550</v>
      </c>
      <c r="C1804" t="s">
        <v>17</v>
      </c>
      <c r="D1804" t="s">
        <v>456</v>
      </c>
      <c r="E1804" s="52" t="s">
        <v>457</v>
      </c>
      <c r="F1804" t="s">
        <v>551</v>
      </c>
      <c r="G1804" s="21">
        <v>-112486.27</v>
      </c>
      <c r="H1804" s="21">
        <v>0</v>
      </c>
      <c r="I1804" s="21">
        <v>0</v>
      </c>
      <c r="J1804" s="21">
        <v>0</v>
      </c>
      <c r="K1804" s="21">
        <v>2249.73</v>
      </c>
      <c r="L1804" s="21">
        <v>-110236.54</v>
      </c>
    </row>
    <row r="1805" spans="1:12" ht="30" x14ac:dyDescent="0.25">
      <c r="A1805" s="10">
        <v>1800</v>
      </c>
      <c r="B1805" t="s">
        <v>550</v>
      </c>
      <c r="C1805" t="s">
        <v>17</v>
      </c>
      <c r="D1805" t="s">
        <v>456</v>
      </c>
      <c r="E1805" s="52" t="s">
        <v>457</v>
      </c>
      <c r="F1805" t="s">
        <v>551</v>
      </c>
      <c r="G1805" s="21">
        <v>-483.33</v>
      </c>
      <c r="H1805" s="21">
        <v>0</v>
      </c>
      <c r="I1805" s="21">
        <v>0</v>
      </c>
      <c r="J1805" s="21">
        <v>0</v>
      </c>
      <c r="K1805" s="21">
        <v>9.67</v>
      </c>
      <c r="L1805" s="21">
        <v>-473.66</v>
      </c>
    </row>
    <row r="1806" spans="1:12" ht="30" x14ac:dyDescent="0.25">
      <c r="A1806" s="10">
        <v>1801</v>
      </c>
      <c r="B1806" t="s">
        <v>550</v>
      </c>
      <c r="C1806" t="s">
        <v>17</v>
      </c>
      <c r="D1806" t="s">
        <v>456</v>
      </c>
      <c r="E1806" s="52" t="s">
        <v>457</v>
      </c>
      <c r="F1806" t="s">
        <v>551</v>
      </c>
      <c r="G1806" s="21">
        <v>-372.49</v>
      </c>
      <c r="H1806" s="21">
        <v>0</v>
      </c>
      <c r="I1806" s="21">
        <v>0</v>
      </c>
      <c r="J1806" s="21">
        <v>0</v>
      </c>
      <c r="K1806" s="21">
        <v>7.45</v>
      </c>
      <c r="L1806" s="21">
        <v>-365.04</v>
      </c>
    </row>
    <row r="1807" spans="1:12" ht="30" x14ac:dyDescent="0.25">
      <c r="A1807" s="10">
        <v>1802</v>
      </c>
      <c r="B1807" t="s">
        <v>550</v>
      </c>
      <c r="C1807" t="s">
        <v>17</v>
      </c>
      <c r="D1807" t="s">
        <v>456</v>
      </c>
      <c r="E1807" s="52" t="s">
        <v>457</v>
      </c>
      <c r="F1807" t="s">
        <v>551</v>
      </c>
      <c r="G1807" s="21">
        <v>-294318.84999999998</v>
      </c>
      <c r="H1807" s="21">
        <v>0</v>
      </c>
      <c r="I1807" s="21">
        <v>0</v>
      </c>
      <c r="J1807" s="21">
        <v>0</v>
      </c>
      <c r="K1807" s="21">
        <v>5886.38</v>
      </c>
      <c r="L1807" s="21">
        <v>-288432.46999999997</v>
      </c>
    </row>
    <row r="1808" spans="1:12" ht="30" x14ac:dyDescent="0.25">
      <c r="A1808" s="10">
        <v>1803</v>
      </c>
      <c r="B1808" t="s">
        <v>550</v>
      </c>
      <c r="C1808" t="s">
        <v>17</v>
      </c>
      <c r="D1808" t="s">
        <v>456</v>
      </c>
      <c r="E1808" s="52" t="s">
        <v>457</v>
      </c>
      <c r="F1808" t="s">
        <v>551</v>
      </c>
      <c r="G1808" s="21">
        <v>-143027.66</v>
      </c>
      <c r="H1808" s="21">
        <v>0</v>
      </c>
      <c r="I1808" s="21">
        <v>0</v>
      </c>
      <c r="J1808" s="21">
        <v>0</v>
      </c>
      <c r="K1808" s="21">
        <v>2860.55</v>
      </c>
      <c r="L1808" s="21">
        <v>-140167.10999999999</v>
      </c>
    </row>
    <row r="1809" spans="1:12" ht="30" x14ac:dyDescent="0.25">
      <c r="A1809" s="10">
        <v>1804</v>
      </c>
      <c r="B1809" t="s">
        <v>550</v>
      </c>
      <c r="C1809" t="s">
        <v>17</v>
      </c>
      <c r="D1809" t="s">
        <v>456</v>
      </c>
      <c r="E1809" s="52" t="s">
        <v>457</v>
      </c>
      <c r="F1809" t="s">
        <v>551</v>
      </c>
      <c r="G1809" s="21">
        <v>-1280.42</v>
      </c>
      <c r="H1809" s="21">
        <v>0</v>
      </c>
      <c r="I1809" s="21">
        <v>0</v>
      </c>
      <c r="J1809" s="21">
        <v>0</v>
      </c>
      <c r="K1809" s="21">
        <v>25.61</v>
      </c>
      <c r="L1809" s="21">
        <v>-1254.81</v>
      </c>
    </row>
    <row r="1810" spans="1:12" ht="30" x14ac:dyDescent="0.25">
      <c r="A1810" s="10">
        <v>1805</v>
      </c>
      <c r="B1810" t="s">
        <v>550</v>
      </c>
      <c r="C1810" t="s">
        <v>13</v>
      </c>
      <c r="D1810" t="s">
        <v>456</v>
      </c>
      <c r="E1810" s="52" t="s">
        <v>457</v>
      </c>
      <c r="F1810" t="s">
        <v>551</v>
      </c>
      <c r="G1810" s="21">
        <v>0</v>
      </c>
      <c r="H1810" s="21">
        <v>0</v>
      </c>
      <c r="I1810" s="21">
        <v>0</v>
      </c>
      <c r="J1810" s="21">
        <v>-10.57</v>
      </c>
      <c r="K1810" s="21">
        <v>0</v>
      </c>
      <c r="L1810" s="21">
        <v>-10.57</v>
      </c>
    </row>
    <row r="1811" spans="1:12" ht="30" x14ac:dyDescent="0.25">
      <c r="A1811" s="10">
        <v>1806</v>
      </c>
      <c r="B1811" t="s">
        <v>550</v>
      </c>
      <c r="C1811" t="s">
        <v>13</v>
      </c>
      <c r="D1811" t="s">
        <v>456</v>
      </c>
      <c r="E1811" s="52" t="s">
        <v>457</v>
      </c>
      <c r="F1811" t="s">
        <v>551</v>
      </c>
      <c r="G1811" s="21">
        <v>0</v>
      </c>
      <c r="H1811" s="21">
        <v>0</v>
      </c>
      <c r="I1811" s="21">
        <v>0</v>
      </c>
      <c r="J1811" s="21">
        <v>-25558.49</v>
      </c>
      <c r="K1811" s="21">
        <v>0</v>
      </c>
      <c r="L1811" s="21">
        <v>-25558.49</v>
      </c>
    </row>
    <row r="1812" spans="1:12" ht="30" x14ac:dyDescent="0.25">
      <c r="A1812" s="10">
        <v>1807</v>
      </c>
      <c r="B1812" t="s">
        <v>550</v>
      </c>
      <c r="C1812" t="s">
        <v>13</v>
      </c>
      <c r="D1812" t="s">
        <v>456</v>
      </c>
      <c r="E1812" s="52" t="s">
        <v>457</v>
      </c>
      <c r="F1812" t="s">
        <v>551</v>
      </c>
      <c r="G1812" s="21">
        <v>0</v>
      </c>
      <c r="H1812" s="21">
        <v>0</v>
      </c>
      <c r="I1812" s="21">
        <v>0</v>
      </c>
      <c r="J1812" s="21">
        <v>-0.62</v>
      </c>
      <c r="K1812" s="21">
        <v>0</v>
      </c>
      <c r="L1812" s="21">
        <v>-0.62</v>
      </c>
    </row>
    <row r="1813" spans="1:12" ht="30" x14ac:dyDescent="0.25">
      <c r="A1813" s="10">
        <v>1808</v>
      </c>
      <c r="B1813" t="s">
        <v>550</v>
      </c>
      <c r="C1813" t="s">
        <v>13</v>
      </c>
      <c r="D1813" t="s">
        <v>456</v>
      </c>
      <c r="E1813" s="52" t="s">
        <v>457</v>
      </c>
      <c r="F1813" t="s">
        <v>551</v>
      </c>
      <c r="G1813" s="21">
        <v>0</v>
      </c>
      <c r="H1813" s="21">
        <v>0</v>
      </c>
      <c r="I1813" s="21">
        <v>0</v>
      </c>
      <c r="J1813" s="21">
        <v>-38.19</v>
      </c>
      <c r="K1813" s="21">
        <v>0</v>
      </c>
      <c r="L1813" s="21">
        <v>-38.19</v>
      </c>
    </row>
    <row r="1814" spans="1:12" ht="30" x14ac:dyDescent="0.25">
      <c r="A1814" s="10">
        <v>1809</v>
      </c>
      <c r="B1814" t="s">
        <v>550</v>
      </c>
      <c r="C1814" t="s">
        <v>13</v>
      </c>
      <c r="D1814" t="s">
        <v>456</v>
      </c>
      <c r="E1814" s="52" t="s">
        <v>457</v>
      </c>
      <c r="F1814" t="s">
        <v>551</v>
      </c>
      <c r="G1814" s="21">
        <v>0</v>
      </c>
      <c r="H1814" s="21">
        <v>0</v>
      </c>
      <c r="I1814" s="21">
        <v>0</v>
      </c>
      <c r="J1814" s="21">
        <v>-11.57</v>
      </c>
      <c r="K1814" s="21">
        <v>0</v>
      </c>
      <c r="L1814" s="21">
        <v>-11.57</v>
      </c>
    </row>
    <row r="1815" spans="1:12" ht="30" x14ac:dyDescent="0.25">
      <c r="A1815" s="10">
        <v>1810</v>
      </c>
      <c r="B1815" t="s">
        <v>550</v>
      </c>
      <c r="C1815" t="s">
        <v>13</v>
      </c>
      <c r="D1815" t="s">
        <v>456</v>
      </c>
      <c r="E1815" s="52" t="s">
        <v>457</v>
      </c>
      <c r="F1815" t="s">
        <v>551</v>
      </c>
      <c r="G1815" s="21">
        <v>0</v>
      </c>
      <c r="H1815" s="21">
        <v>0</v>
      </c>
      <c r="I1815" s="21">
        <v>0</v>
      </c>
      <c r="J1815" s="21">
        <v>-48.04</v>
      </c>
      <c r="K1815" s="21">
        <v>0</v>
      </c>
      <c r="L1815" s="21">
        <v>-48.04</v>
      </c>
    </row>
    <row r="1816" spans="1:12" ht="30" x14ac:dyDescent="0.25">
      <c r="A1816" s="10">
        <v>1811</v>
      </c>
      <c r="B1816" t="s">
        <v>550</v>
      </c>
      <c r="C1816" t="s">
        <v>13</v>
      </c>
      <c r="D1816" t="s">
        <v>456</v>
      </c>
      <c r="E1816" s="52" t="s">
        <v>457</v>
      </c>
      <c r="F1816" t="s">
        <v>551</v>
      </c>
      <c r="G1816" s="21">
        <v>0</v>
      </c>
      <c r="H1816" s="21">
        <v>0</v>
      </c>
      <c r="I1816" s="21">
        <v>0</v>
      </c>
      <c r="J1816" s="21">
        <v>-0.11</v>
      </c>
      <c r="K1816" s="21">
        <v>0</v>
      </c>
      <c r="L1816" s="21">
        <v>-0.11</v>
      </c>
    </row>
    <row r="1817" spans="1:12" ht="30" x14ac:dyDescent="0.25">
      <c r="A1817" s="10">
        <v>1812</v>
      </c>
      <c r="B1817" t="s">
        <v>550</v>
      </c>
      <c r="C1817" t="s">
        <v>13</v>
      </c>
      <c r="D1817" t="s">
        <v>456</v>
      </c>
      <c r="E1817" s="52" t="s">
        <v>457</v>
      </c>
      <c r="F1817" t="s">
        <v>551</v>
      </c>
      <c r="G1817" s="21">
        <v>0</v>
      </c>
      <c r="H1817" s="21">
        <v>0</v>
      </c>
      <c r="I1817" s="21">
        <v>0</v>
      </c>
      <c r="J1817" s="21">
        <v>-13498.35</v>
      </c>
      <c r="K1817" s="21">
        <v>0</v>
      </c>
      <c r="L1817" s="21">
        <v>-13498.35</v>
      </c>
    </row>
    <row r="1818" spans="1:12" ht="30" x14ac:dyDescent="0.25">
      <c r="A1818" s="10">
        <v>1813</v>
      </c>
      <c r="B1818" t="s">
        <v>550</v>
      </c>
      <c r="C1818" t="s">
        <v>17</v>
      </c>
      <c r="D1818" t="s">
        <v>456</v>
      </c>
      <c r="E1818" s="52" t="s">
        <v>457</v>
      </c>
      <c r="F1818" t="s">
        <v>552</v>
      </c>
      <c r="G1818" s="21">
        <v>-0.01</v>
      </c>
      <c r="H1818" s="21">
        <v>0</v>
      </c>
      <c r="I1818" s="21">
        <v>0</v>
      </c>
      <c r="J1818" s="21">
        <v>0</v>
      </c>
      <c r="K1818" s="21">
        <v>0</v>
      </c>
      <c r="L1818" s="21">
        <v>-0.01</v>
      </c>
    </row>
    <row r="1819" spans="1:12" ht="30" x14ac:dyDescent="0.25">
      <c r="A1819" s="10">
        <v>1814</v>
      </c>
      <c r="B1819" t="s">
        <v>550</v>
      </c>
      <c r="C1819" t="s">
        <v>17</v>
      </c>
      <c r="D1819" t="s">
        <v>456</v>
      </c>
      <c r="E1819" s="52" t="s">
        <v>457</v>
      </c>
      <c r="F1819" t="s">
        <v>552</v>
      </c>
      <c r="G1819" s="21">
        <v>-15.32</v>
      </c>
      <c r="H1819" s="21">
        <v>0</v>
      </c>
      <c r="I1819" s="21">
        <v>0</v>
      </c>
      <c r="J1819" s="21">
        <v>0</v>
      </c>
      <c r="K1819" s="21">
        <v>0.31</v>
      </c>
      <c r="L1819" s="21">
        <v>-15.01</v>
      </c>
    </row>
    <row r="1820" spans="1:12" ht="30" x14ac:dyDescent="0.25">
      <c r="A1820" s="10">
        <v>1815</v>
      </c>
      <c r="B1820" t="s">
        <v>550</v>
      </c>
      <c r="C1820" t="s">
        <v>17</v>
      </c>
      <c r="D1820" t="s">
        <v>456</v>
      </c>
      <c r="E1820" s="52" t="s">
        <v>457</v>
      </c>
      <c r="F1820" t="s">
        <v>552</v>
      </c>
      <c r="G1820" s="21">
        <v>-0.02</v>
      </c>
      <c r="H1820" s="21">
        <v>0</v>
      </c>
      <c r="I1820" s="21">
        <v>0</v>
      </c>
      <c r="J1820" s="21">
        <v>0</v>
      </c>
      <c r="K1820" s="21">
        <v>0</v>
      </c>
      <c r="L1820" s="21">
        <v>-0.02</v>
      </c>
    </row>
    <row r="1821" spans="1:12" ht="30" x14ac:dyDescent="0.25">
      <c r="A1821" s="10">
        <v>1816</v>
      </c>
      <c r="B1821" t="s">
        <v>550</v>
      </c>
      <c r="C1821" t="s">
        <v>13</v>
      </c>
      <c r="D1821" t="s">
        <v>456</v>
      </c>
      <c r="E1821" s="52" t="s">
        <v>457</v>
      </c>
      <c r="F1821" t="s">
        <v>552</v>
      </c>
      <c r="G1821" s="21">
        <v>0</v>
      </c>
      <c r="H1821" s="21">
        <v>0</v>
      </c>
      <c r="I1821" s="21">
        <v>0</v>
      </c>
      <c r="J1821" s="21">
        <v>0</v>
      </c>
      <c r="K1821" s="21">
        <v>0</v>
      </c>
      <c r="L1821" s="21">
        <v>0</v>
      </c>
    </row>
    <row r="1822" spans="1:12" ht="30" x14ac:dyDescent="0.25">
      <c r="A1822" s="10">
        <v>1817</v>
      </c>
      <c r="B1822" t="s">
        <v>550</v>
      </c>
      <c r="C1822" t="s">
        <v>13</v>
      </c>
      <c r="D1822" t="s">
        <v>456</v>
      </c>
      <c r="E1822" s="52" t="s">
        <v>457</v>
      </c>
      <c r="F1822" t="s">
        <v>552</v>
      </c>
      <c r="G1822" s="21">
        <v>0</v>
      </c>
      <c r="H1822" s="21">
        <v>0</v>
      </c>
      <c r="I1822" s="21">
        <v>0</v>
      </c>
      <c r="J1822" s="21">
        <v>0</v>
      </c>
      <c r="K1822" s="21">
        <v>0</v>
      </c>
      <c r="L1822" s="21">
        <v>0</v>
      </c>
    </row>
    <row r="1823" spans="1:12" ht="30" x14ac:dyDescent="0.25">
      <c r="A1823" s="10">
        <v>1818</v>
      </c>
      <c r="B1823" t="s">
        <v>550</v>
      </c>
      <c r="C1823" t="s">
        <v>13</v>
      </c>
      <c r="D1823" t="s">
        <v>456</v>
      </c>
      <c r="E1823" s="52" t="s">
        <v>457</v>
      </c>
      <c r="F1823" t="s">
        <v>552</v>
      </c>
      <c r="G1823" s="21">
        <v>0</v>
      </c>
      <c r="H1823" s="21">
        <v>0</v>
      </c>
      <c r="I1823" s="21">
        <v>0</v>
      </c>
      <c r="J1823" s="21">
        <v>-2.54</v>
      </c>
      <c r="K1823" s="21">
        <v>0</v>
      </c>
      <c r="L1823" s="21">
        <v>-2.54</v>
      </c>
    </row>
    <row r="1824" spans="1:12" ht="30" x14ac:dyDescent="0.25">
      <c r="A1824" s="10">
        <v>1819</v>
      </c>
      <c r="B1824" t="s">
        <v>550</v>
      </c>
      <c r="C1824" t="s">
        <v>13</v>
      </c>
      <c r="D1824" t="s">
        <v>456</v>
      </c>
      <c r="E1824" s="52" t="s">
        <v>457</v>
      </c>
      <c r="F1824" t="s">
        <v>552</v>
      </c>
      <c r="G1824" s="21">
        <v>0</v>
      </c>
      <c r="H1824" s="21">
        <v>0</v>
      </c>
      <c r="I1824" s="21">
        <v>0</v>
      </c>
      <c r="J1824" s="21">
        <v>-1.23</v>
      </c>
      <c r="K1824" s="21">
        <v>0</v>
      </c>
      <c r="L1824" s="21">
        <v>-1.23</v>
      </c>
    </row>
    <row r="1825" spans="1:12" ht="30" x14ac:dyDescent="0.25">
      <c r="A1825" s="10">
        <v>1820</v>
      </c>
      <c r="B1825" t="s">
        <v>550</v>
      </c>
      <c r="C1825" t="s">
        <v>13</v>
      </c>
      <c r="D1825" t="s">
        <v>456</v>
      </c>
      <c r="E1825" s="52" t="s">
        <v>457</v>
      </c>
      <c r="F1825" t="s">
        <v>552</v>
      </c>
      <c r="G1825" s="21">
        <v>0</v>
      </c>
      <c r="H1825" s="21">
        <v>0</v>
      </c>
      <c r="I1825" s="21">
        <v>0</v>
      </c>
      <c r="J1825" s="21">
        <v>-0.01</v>
      </c>
      <c r="K1825" s="21">
        <v>0</v>
      </c>
      <c r="L1825" s="21">
        <v>-0.01</v>
      </c>
    </row>
    <row r="1826" spans="1:12" ht="30" x14ac:dyDescent="0.25">
      <c r="A1826" s="10">
        <v>1821</v>
      </c>
      <c r="B1826" t="s">
        <v>550</v>
      </c>
      <c r="C1826" t="s">
        <v>17</v>
      </c>
      <c r="D1826" t="s">
        <v>456</v>
      </c>
      <c r="E1826" s="52" t="s">
        <v>457</v>
      </c>
      <c r="F1826" t="s">
        <v>552</v>
      </c>
      <c r="G1826" s="21">
        <v>-0.01</v>
      </c>
      <c r="H1826" s="21">
        <v>0</v>
      </c>
      <c r="I1826" s="21">
        <v>0</v>
      </c>
      <c r="J1826" s="21">
        <v>0</v>
      </c>
      <c r="K1826" s="21">
        <v>0</v>
      </c>
      <c r="L1826" s="21">
        <v>-0.01</v>
      </c>
    </row>
    <row r="1827" spans="1:12" ht="30" x14ac:dyDescent="0.25">
      <c r="A1827" s="10">
        <v>1822</v>
      </c>
      <c r="B1827" t="s">
        <v>550</v>
      </c>
      <c r="C1827" t="s">
        <v>17</v>
      </c>
      <c r="D1827" t="s">
        <v>456</v>
      </c>
      <c r="E1827" s="52" t="s">
        <v>457</v>
      </c>
      <c r="F1827" t="s">
        <v>552</v>
      </c>
      <c r="G1827" s="21">
        <v>-0.03</v>
      </c>
      <c r="H1827" s="21">
        <v>0</v>
      </c>
      <c r="I1827" s="21">
        <v>0</v>
      </c>
      <c r="J1827" s="21">
        <v>0</v>
      </c>
      <c r="K1827" s="21">
        <v>0</v>
      </c>
      <c r="L1827" s="21">
        <v>-0.03</v>
      </c>
    </row>
    <row r="1828" spans="1:12" ht="30" x14ac:dyDescent="0.25">
      <c r="A1828" s="10">
        <v>1823</v>
      </c>
      <c r="B1828" t="s">
        <v>550</v>
      </c>
      <c r="C1828" t="s">
        <v>17</v>
      </c>
      <c r="D1828" t="s">
        <v>456</v>
      </c>
      <c r="E1828" s="52" t="s">
        <v>457</v>
      </c>
      <c r="F1828" t="s">
        <v>552</v>
      </c>
      <c r="G1828" s="21">
        <v>-8.09</v>
      </c>
      <c r="H1828" s="21">
        <v>0</v>
      </c>
      <c r="I1828" s="21">
        <v>0</v>
      </c>
      <c r="J1828" s="21">
        <v>0</v>
      </c>
      <c r="K1828" s="21">
        <v>0.16</v>
      </c>
      <c r="L1828" s="21">
        <v>-7.93</v>
      </c>
    </row>
    <row r="1829" spans="1:12" ht="30" x14ac:dyDescent="0.25">
      <c r="A1829" s="10">
        <v>1824</v>
      </c>
      <c r="B1829" t="s">
        <v>550</v>
      </c>
      <c r="C1829" t="s">
        <v>17</v>
      </c>
      <c r="D1829" t="s">
        <v>456</v>
      </c>
      <c r="E1829" s="52" t="s">
        <v>457</v>
      </c>
      <c r="F1829" t="s">
        <v>552</v>
      </c>
      <c r="G1829" s="21">
        <v>-0.03</v>
      </c>
      <c r="H1829" s="21">
        <v>0</v>
      </c>
      <c r="I1829" s="21">
        <v>0</v>
      </c>
      <c r="J1829" s="21">
        <v>0</v>
      </c>
      <c r="K1829" s="21">
        <v>0</v>
      </c>
      <c r="L1829" s="21">
        <v>-0.03</v>
      </c>
    </row>
    <row r="1830" spans="1:12" ht="30" x14ac:dyDescent="0.25">
      <c r="A1830" s="10">
        <v>1825</v>
      </c>
      <c r="B1830" t="s">
        <v>550</v>
      </c>
      <c r="C1830" t="s">
        <v>17</v>
      </c>
      <c r="D1830" t="s">
        <v>456</v>
      </c>
      <c r="E1830" s="52" t="s">
        <v>457</v>
      </c>
      <c r="F1830" t="s">
        <v>552</v>
      </c>
      <c r="G1830" s="21">
        <v>-0.03</v>
      </c>
      <c r="H1830" s="21">
        <v>0</v>
      </c>
      <c r="I1830" s="21">
        <v>0</v>
      </c>
      <c r="J1830" s="21">
        <v>0</v>
      </c>
      <c r="K1830" s="21">
        <v>0</v>
      </c>
      <c r="L1830" s="21">
        <v>-0.03</v>
      </c>
    </row>
    <row r="1831" spans="1:12" ht="30" x14ac:dyDescent="0.25">
      <c r="A1831" s="10">
        <v>1826</v>
      </c>
      <c r="B1831" t="s">
        <v>550</v>
      </c>
      <c r="C1831" t="s">
        <v>17</v>
      </c>
      <c r="D1831" t="s">
        <v>456</v>
      </c>
      <c r="E1831" s="52" t="s">
        <v>457</v>
      </c>
      <c r="F1831" t="s">
        <v>552</v>
      </c>
      <c r="G1831" s="21">
        <v>-21.17</v>
      </c>
      <c r="H1831" s="21">
        <v>0</v>
      </c>
      <c r="I1831" s="21">
        <v>0</v>
      </c>
      <c r="J1831" s="21">
        <v>0</v>
      </c>
      <c r="K1831" s="21">
        <v>0.42</v>
      </c>
      <c r="L1831" s="21">
        <v>-20.75</v>
      </c>
    </row>
    <row r="1832" spans="1:12" ht="30" x14ac:dyDescent="0.25">
      <c r="A1832" s="10">
        <v>1827</v>
      </c>
      <c r="B1832" t="s">
        <v>550</v>
      </c>
      <c r="C1832" t="s">
        <v>17</v>
      </c>
      <c r="D1832" t="s">
        <v>456</v>
      </c>
      <c r="E1832" s="52" t="s">
        <v>457</v>
      </c>
      <c r="F1832" t="s">
        <v>552</v>
      </c>
      <c r="G1832" s="21">
        <v>-10.29</v>
      </c>
      <c r="H1832" s="21">
        <v>0</v>
      </c>
      <c r="I1832" s="21">
        <v>0</v>
      </c>
      <c r="J1832" s="21">
        <v>0</v>
      </c>
      <c r="K1832" s="21">
        <v>0.21</v>
      </c>
      <c r="L1832" s="21">
        <v>-10.08</v>
      </c>
    </row>
    <row r="1833" spans="1:12" ht="30" x14ac:dyDescent="0.25">
      <c r="A1833" s="10">
        <v>1828</v>
      </c>
      <c r="B1833" t="s">
        <v>550</v>
      </c>
      <c r="C1833" t="s">
        <v>17</v>
      </c>
      <c r="D1833" t="s">
        <v>456</v>
      </c>
      <c r="E1833" s="52" t="s">
        <v>457</v>
      </c>
      <c r="F1833" t="s">
        <v>552</v>
      </c>
      <c r="G1833" s="21">
        <v>-0.09</v>
      </c>
      <c r="H1833" s="21">
        <v>0</v>
      </c>
      <c r="I1833" s="21">
        <v>0</v>
      </c>
      <c r="J1833" s="21">
        <v>0</v>
      </c>
      <c r="K1833" s="21">
        <v>0</v>
      </c>
      <c r="L1833" s="21">
        <v>-0.09</v>
      </c>
    </row>
    <row r="1834" spans="1:12" ht="30" x14ac:dyDescent="0.25">
      <c r="A1834" s="10">
        <v>1829</v>
      </c>
      <c r="B1834" t="s">
        <v>550</v>
      </c>
      <c r="C1834" t="s">
        <v>13</v>
      </c>
      <c r="D1834" t="s">
        <v>456</v>
      </c>
      <c r="E1834" s="52" t="s">
        <v>457</v>
      </c>
      <c r="F1834" t="s">
        <v>552</v>
      </c>
      <c r="G1834" s="21">
        <v>0</v>
      </c>
      <c r="H1834" s="21">
        <v>0</v>
      </c>
      <c r="I1834" s="21">
        <v>0</v>
      </c>
      <c r="J1834" s="21">
        <v>0</v>
      </c>
      <c r="K1834" s="21">
        <v>0</v>
      </c>
      <c r="L1834" s="21">
        <v>0</v>
      </c>
    </row>
    <row r="1835" spans="1:12" ht="30" x14ac:dyDescent="0.25">
      <c r="A1835" s="10">
        <v>1830</v>
      </c>
      <c r="B1835" t="s">
        <v>550</v>
      </c>
      <c r="C1835" t="s">
        <v>13</v>
      </c>
      <c r="D1835" t="s">
        <v>456</v>
      </c>
      <c r="E1835" s="52" t="s">
        <v>457</v>
      </c>
      <c r="F1835" t="s">
        <v>552</v>
      </c>
      <c r="G1835" s="21">
        <v>0</v>
      </c>
      <c r="H1835" s="21">
        <v>0</v>
      </c>
      <c r="I1835" s="21">
        <v>0</v>
      </c>
      <c r="J1835" s="21">
        <v>-1.84</v>
      </c>
      <c r="K1835" s="21">
        <v>0</v>
      </c>
      <c r="L1835" s="21">
        <v>-1.84</v>
      </c>
    </row>
    <row r="1836" spans="1:12" ht="30" x14ac:dyDescent="0.25">
      <c r="A1836" s="10">
        <v>1831</v>
      </c>
      <c r="B1836" t="s">
        <v>550</v>
      </c>
      <c r="C1836" t="s">
        <v>13</v>
      </c>
      <c r="D1836" t="s">
        <v>456</v>
      </c>
      <c r="E1836" s="52" t="s">
        <v>457</v>
      </c>
      <c r="F1836" t="s">
        <v>552</v>
      </c>
      <c r="G1836" s="21">
        <v>0</v>
      </c>
      <c r="H1836" s="21">
        <v>0</v>
      </c>
      <c r="I1836" s="21">
        <v>0</v>
      </c>
      <c r="J1836" s="21">
        <v>0</v>
      </c>
      <c r="K1836" s="21">
        <v>0</v>
      </c>
      <c r="L1836" s="21">
        <v>0</v>
      </c>
    </row>
    <row r="1837" spans="1:12" ht="30" x14ac:dyDescent="0.25">
      <c r="A1837" s="10">
        <v>1832</v>
      </c>
      <c r="B1837" t="s">
        <v>550</v>
      </c>
      <c r="C1837" t="s">
        <v>13</v>
      </c>
      <c r="D1837" t="s">
        <v>456</v>
      </c>
      <c r="E1837" s="52" t="s">
        <v>457</v>
      </c>
      <c r="F1837" t="s">
        <v>552</v>
      </c>
      <c r="G1837" s="21">
        <v>0</v>
      </c>
      <c r="H1837" s="21">
        <v>0</v>
      </c>
      <c r="I1837" s="21">
        <v>0</v>
      </c>
      <c r="J1837" s="21">
        <v>0</v>
      </c>
      <c r="K1837" s="21">
        <v>0</v>
      </c>
      <c r="L1837" s="21">
        <v>0</v>
      </c>
    </row>
    <row r="1838" spans="1:12" ht="30" x14ac:dyDescent="0.25">
      <c r="A1838" s="10">
        <v>1833</v>
      </c>
      <c r="B1838" t="s">
        <v>550</v>
      </c>
      <c r="C1838" t="s">
        <v>13</v>
      </c>
      <c r="D1838" t="s">
        <v>456</v>
      </c>
      <c r="E1838" s="52" t="s">
        <v>457</v>
      </c>
      <c r="F1838" t="s">
        <v>552</v>
      </c>
      <c r="G1838" s="21">
        <v>0</v>
      </c>
      <c r="H1838" s="21">
        <v>0</v>
      </c>
      <c r="I1838" s="21">
        <v>0</v>
      </c>
      <c r="J1838" s="21">
        <v>0</v>
      </c>
      <c r="K1838" s="21">
        <v>0</v>
      </c>
      <c r="L1838" s="21">
        <v>0</v>
      </c>
    </row>
    <row r="1839" spans="1:12" ht="30" x14ac:dyDescent="0.25">
      <c r="A1839" s="10">
        <v>1834</v>
      </c>
      <c r="B1839" t="s">
        <v>550</v>
      </c>
      <c r="C1839" t="s">
        <v>13</v>
      </c>
      <c r="D1839" t="s">
        <v>456</v>
      </c>
      <c r="E1839" s="52" t="s">
        <v>457</v>
      </c>
      <c r="F1839" t="s">
        <v>552</v>
      </c>
      <c r="G1839" s="21">
        <v>0</v>
      </c>
      <c r="H1839" s="21">
        <v>0</v>
      </c>
      <c r="I1839" s="21">
        <v>0</v>
      </c>
      <c r="J1839" s="21">
        <v>-0.97</v>
      </c>
      <c r="K1839" s="21">
        <v>0</v>
      </c>
      <c r="L1839" s="21">
        <v>-0.97</v>
      </c>
    </row>
    <row r="1840" spans="1:12" ht="30" x14ac:dyDescent="0.25">
      <c r="A1840" s="10">
        <v>1835</v>
      </c>
      <c r="B1840" t="s">
        <v>22</v>
      </c>
      <c r="C1840" t="s">
        <v>17</v>
      </c>
      <c r="D1840" t="s">
        <v>638</v>
      </c>
      <c r="E1840" s="52" t="s">
        <v>639</v>
      </c>
      <c r="F1840" t="s">
        <v>23</v>
      </c>
      <c r="G1840" s="21">
        <v>0</v>
      </c>
      <c r="H1840" s="21">
        <v>0</v>
      </c>
      <c r="I1840" s="21">
        <v>-0.18</v>
      </c>
      <c r="J1840" s="21">
        <v>0</v>
      </c>
      <c r="K1840" s="21">
        <v>0</v>
      </c>
      <c r="L1840" s="21">
        <v>-0.18</v>
      </c>
    </row>
    <row r="1841" spans="1:12" ht="30" x14ac:dyDescent="0.25">
      <c r="A1841" s="10">
        <v>1836</v>
      </c>
      <c r="B1841" t="s">
        <v>22</v>
      </c>
      <c r="C1841" t="s">
        <v>17</v>
      </c>
      <c r="D1841" t="s">
        <v>638</v>
      </c>
      <c r="E1841" s="52" t="s">
        <v>639</v>
      </c>
      <c r="F1841" t="s">
        <v>23</v>
      </c>
      <c r="G1841" s="21">
        <v>0</v>
      </c>
      <c r="H1841" s="21">
        <v>0</v>
      </c>
      <c r="I1841" s="21">
        <v>0</v>
      </c>
      <c r="J1841" s="21">
        <v>0</v>
      </c>
      <c r="K1841" s="21">
        <v>0</v>
      </c>
      <c r="L1841" s="21">
        <v>0</v>
      </c>
    </row>
    <row r="1842" spans="1:12" ht="30" x14ac:dyDescent="0.25">
      <c r="A1842" s="10">
        <v>1837</v>
      </c>
      <c r="B1842" t="s">
        <v>550</v>
      </c>
      <c r="C1842" t="s">
        <v>17</v>
      </c>
      <c r="D1842" t="s">
        <v>638</v>
      </c>
      <c r="E1842" s="52" t="s">
        <v>639</v>
      </c>
      <c r="F1842" t="s">
        <v>551</v>
      </c>
      <c r="G1842" s="21">
        <v>0</v>
      </c>
      <c r="H1842" s="21">
        <v>0</v>
      </c>
      <c r="I1842" s="21">
        <v>-2.85</v>
      </c>
      <c r="J1842" s="21">
        <v>0</v>
      </c>
      <c r="K1842" s="21">
        <v>0.06</v>
      </c>
      <c r="L1842" s="21">
        <v>-2.79</v>
      </c>
    </row>
    <row r="1843" spans="1:12" ht="30" x14ac:dyDescent="0.25">
      <c r="A1843" s="10">
        <v>1838</v>
      </c>
      <c r="B1843" t="s">
        <v>559</v>
      </c>
      <c r="C1843" t="s">
        <v>17</v>
      </c>
      <c r="D1843" t="s">
        <v>458</v>
      </c>
      <c r="E1843" s="52" t="s">
        <v>335</v>
      </c>
      <c r="F1843" t="s">
        <v>560</v>
      </c>
      <c r="G1843" s="21">
        <v>-11.24</v>
      </c>
      <c r="H1843" s="21">
        <v>0</v>
      </c>
      <c r="I1843" s="21">
        <v>0</v>
      </c>
      <c r="J1843" s="21">
        <v>0</v>
      </c>
      <c r="K1843" s="21">
        <v>0.22</v>
      </c>
      <c r="L1843" s="21">
        <v>-11.02</v>
      </c>
    </row>
    <row r="1844" spans="1:12" ht="30" x14ac:dyDescent="0.25">
      <c r="A1844" s="10">
        <v>1839</v>
      </c>
      <c r="B1844" t="s">
        <v>559</v>
      </c>
      <c r="C1844" t="s">
        <v>17</v>
      </c>
      <c r="D1844" t="s">
        <v>458</v>
      </c>
      <c r="E1844" s="52" t="s">
        <v>335</v>
      </c>
      <c r="F1844" t="s">
        <v>560</v>
      </c>
      <c r="G1844" s="21">
        <v>0</v>
      </c>
      <c r="H1844" s="21">
        <v>0</v>
      </c>
      <c r="I1844" s="21">
        <v>-0.03</v>
      </c>
      <c r="J1844" s="21">
        <v>0</v>
      </c>
      <c r="K1844" s="21">
        <v>0</v>
      </c>
      <c r="L1844" s="21">
        <v>-0.03</v>
      </c>
    </row>
    <row r="1845" spans="1:12" ht="30" x14ac:dyDescent="0.25">
      <c r="A1845" s="10">
        <v>1840</v>
      </c>
      <c r="B1845" t="s">
        <v>559</v>
      </c>
      <c r="C1845" t="s">
        <v>13</v>
      </c>
      <c r="D1845" t="s">
        <v>458</v>
      </c>
      <c r="E1845" s="52" t="s">
        <v>335</v>
      </c>
      <c r="F1845" t="s">
        <v>560</v>
      </c>
      <c r="G1845" s="21">
        <v>0</v>
      </c>
      <c r="H1845" s="21">
        <v>0</v>
      </c>
      <c r="I1845" s="21">
        <v>0</v>
      </c>
      <c r="J1845" s="21">
        <v>-1.35</v>
      </c>
      <c r="K1845" s="21">
        <v>0</v>
      </c>
      <c r="L1845" s="21">
        <v>-1.35</v>
      </c>
    </row>
    <row r="1846" spans="1:12" ht="30" x14ac:dyDescent="0.25">
      <c r="A1846" s="10">
        <v>1841</v>
      </c>
      <c r="B1846" t="s">
        <v>18</v>
      </c>
      <c r="C1846" t="s">
        <v>17</v>
      </c>
      <c r="D1846" t="s">
        <v>458</v>
      </c>
      <c r="E1846" s="52" t="s">
        <v>335</v>
      </c>
      <c r="F1846" t="s">
        <v>19</v>
      </c>
      <c r="G1846" s="21">
        <v>-1.68</v>
      </c>
      <c r="H1846" s="21">
        <v>0</v>
      </c>
      <c r="I1846" s="21">
        <v>0</v>
      </c>
      <c r="J1846" s="21">
        <v>0</v>
      </c>
      <c r="K1846" s="21">
        <v>1.49</v>
      </c>
      <c r="L1846" s="21">
        <v>-0.19</v>
      </c>
    </row>
    <row r="1847" spans="1:12" ht="30" x14ac:dyDescent="0.25">
      <c r="A1847" s="10">
        <v>1842</v>
      </c>
      <c r="B1847" t="s">
        <v>18</v>
      </c>
      <c r="C1847" t="s">
        <v>17</v>
      </c>
      <c r="D1847" t="s">
        <v>458</v>
      </c>
      <c r="E1847" s="52" t="s">
        <v>335</v>
      </c>
      <c r="F1847" t="s">
        <v>19</v>
      </c>
      <c r="G1847" s="21">
        <v>-0.02</v>
      </c>
      <c r="H1847" s="21">
        <v>0</v>
      </c>
      <c r="I1847" s="21">
        <v>0</v>
      </c>
      <c r="J1847" s="21">
        <v>0</v>
      </c>
      <c r="K1847" s="21">
        <v>0.02</v>
      </c>
      <c r="L1847" s="21">
        <v>0</v>
      </c>
    </row>
    <row r="1848" spans="1:12" ht="30" x14ac:dyDescent="0.25">
      <c r="A1848" s="10">
        <v>1843</v>
      </c>
      <c r="B1848" t="s">
        <v>18</v>
      </c>
      <c r="C1848" t="s">
        <v>17</v>
      </c>
      <c r="D1848" t="s">
        <v>458</v>
      </c>
      <c r="E1848" s="52" t="s">
        <v>335</v>
      </c>
      <c r="F1848" t="s">
        <v>19</v>
      </c>
      <c r="G1848" s="21">
        <v>-2.41</v>
      </c>
      <c r="H1848" s="21">
        <v>0</v>
      </c>
      <c r="I1848" s="21">
        <v>0</v>
      </c>
      <c r="J1848" s="21">
        <v>0</v>
      </c>
      <c r="K1848" s="21">
        <v>2.14</v>
      </c>
      <c r="L1848" s="21">
        <v>-0.27</v>
      </c>
    </row>
    <row r="1849" spans="1:12" ht="30" x14ac:dyDescent="0.25">
      <c r="A1849" s="10">
        <v>1844</v>
      </c>
      <c r="B1849" t="s">
        <v>18</v>
      </c>
      <c r="C1849" t="s">
        <v>17</v>
      </c>
      <c r="D1849" t="s">
        <v>458</v>
      </c>
      <c r="E1849" s="52" t="s">
        <v>335</v>
      </c>
      <c r="F1849" t="s">
        <v>19</v>
      </c>
      <c r="G1849" s="21">
        <v>0</v>
      </c>
      <c r="H1849" s="21">
        <v>0</v>
      </c>
      <c r="I1849" s="21">
        <v>-0.08</v>
      </c>
      <c r="J1849" s="21">
        <v>0</v>
      </c>
      <c r="K1849" s="21">
        <v>0.01</v>
      </c>
      <c r="L1849" s="21">
        <v>-7.0000000000000007E-2</v>
      </c>
    </row>
    <row r="1850" spans="1:12" ht="30" x14ac:dyDescent="0.25">
      <c r="A1850" s="10">
        <v>1845</v>
      </c>
      <c r="B1850" t="s">
        <v>18</v>
      </c>
      <c r="C1850" t="s">
        <v>17</v>
      </c>
      <c r="D1850" t="s">
        <v>458</v>
      </c>
      <c r="E1850" s="52" t="s">
        <v>335</v>
      </c>
      <c r="F1850" t="s">
        <v>19</v>
      </c>
      <c r="G1850" s="21">
        <v>0</v>
      </c>
      <c r="H1850" s="21">
        <v>0</v>
      </c>
      <c r="I1850" s="21">
        <v>-89.51</v>
      </c>
      <c r="J1850" s="21">
        <v>0</v>
      </c>
      <c r="K1850" s="21">
        <v>10.53</v>
      </c>
      <c r="L1850" s="21">
        <v>-78.98</v>
      </c>
    </row>
    <row r="1851" spans="1:12" ht="30" x14ac:dyDescent="0.25">
      <c r="A1851" s="10">
        <v>1846</v>
      </c>
      <c r="B1851" t="s">
        <v>20</v>
      </c>
      <c r="C1851" t="s">
        <v>13</v>
      </c>
      <c r="D1851" t="s">
        <v>458</v>
      </c>
      <c r="E1851" s="52" t="s">
        <v>335</v>
      </c>
      <c r="F1851" t="s">
        <v>21</v>
      </c>
      <c r="G1851" s="21">
        <v>0</v>
      </c>
      <c r="H1851" s="21">
        <v>0</v>
      </c>
      <c r="I1851" s="21">
        <v>0</v>
      </c>
      <c r="J1851" s="21">
        <v>-0.01</v>
      </c>
      <c r="K1851" s="21">
        <v>0</v>
      </c>
      <c r="L1851" s="21">
        <v>-0.01</v>
      </c>
    </row>
    <row r="1852" spans="1:12" ht="30" x14ac:dyDescent="0.25">
      <c r="A1852" s="10">
        <v>1847</v>
      </c>
      <c r="B1852" t="s">
        <v>550</v>
      </c>
      <c r="C1852" t="s">
        <v>13</v>
      </c>
      <c r="D1852" t="s">
        <v>458</v>
      </c>
      <c r="E1852" s="52" t="s">
        <v>335</v>
      </c>
      <c r="F1852" t="s">
        <v>551</v>
      </c>
      <c r="G1852" s="21">
        <v>0</v>
      </c>
      <c r="H1852" s="21">
        <v>0</v>
      </c>
      <c r="I1852" s="21">
        <v>0</v>
      </c>
      <c r="J1852" s="21">
        <v>-6271.11</v>
      </c>
      <c r="K1852" s="21">
        <v>0</v>
      </c>
      <c r="L1852" s="21">
        <v>-6271.11</v>
      </c>
    </row>
    <row r="1853" spans="1:12" ht="30" x14ac:dyDescent="0.25">
      <c r="A1853" s="10">
        <v>1848</v>
      </c>
      <c r="B1853" t="s">
        <v>550</v>
      </c>
      <c r="C1853" t="s">
        <v>17</v>
      </c>
      <c r="D1853" t="s">
        <v>458</v>
      </c>
      <c r="E1853" s="52" t="s">
        <v>335</v>
      </c>
      <c r="F1853" t="s">
        <v>551</v>
      </c>
      <c r="G1853" s="21">
        <v>-33315.01</v>
      </c>
      <c r="H1853" s="21">
        <v>0</v>
      </c>
      <c r="I1853" s="21">
        <v>0</v>
      </c>
      <c r="J1853" s="21">
        <v>0</v>
      </c>
      <c r="K1853" s="21">
        <v>666.3</v>
      </c>
      <c r="L1853" s="21">
        <v>-32648.71</v>
      </c>
    </row>
    <row r="1854" spans="1:12" ht="30" x14ac:dyDescent="0.25">
      <c r="A1854" s="10">
        <v>1849</v>
      </c>
      <c r="B1854" t="s">
        <v>550</v>
      </c>
      <c r="C1854" t="s">
        <v>17</v>
      </c>
      <c r="D1854" t="s">
        <v>458</v>
      </c>
      <c r="E1854" s="52" t="s">
        <v>335</v>
      </c>
      <c r="F1854" t="s">
        <v>551</v>
      </c>
      <c r="G1854" s="21">
        <v>-153.51</v>
      </c>
      <c r="H1854" s="21">
        <v>0</v>
      </c>
      <c r="I1854" s="21">
        <v>0</v>
      </c>
      <c r="J1854" s="21">
        <v>0</v>
      </c>
      <c r="K1854" s="21">
        <v>3.07</v>
      </c>
      <c r="L1854" s="21">
        <v>-150.44</v>
      </c>
    </row>
    <row r="1855" spans="1:12" ht="30" x14ac:dyDescent="0.25">
      <c r="A1855" s="10">
        <v>1850</v>
      </c>
      <c r="B1855" t="s">
        <v>550</v>
      </c>
      <c r="C1855" t="s">
        <v>17</v>
      </c>
      <c r="D1855" t="s">
        <v>458</v>
      </c>
      <c r="E1855" s="52" t="s">
        <v>335</v>
      </c>
      <c r="F1855" t="s">
        <v>551</v>
      </c>
      <c r="G1855" s="21">
        <v>-175.05</v>
      </c>
      <c r="H1855" s="21">
        <v>0</v>
      </c>
      <c r="I1855" s="21">
        <v>0</v>
      </c>
      <c r="J1855" s="21">
        <v>0</v>
      </c>
      <c r="K1855" s="21">
        <v>3.5</v>
      </c>
      <c r="L1855" s="21">
        <v>-171.55</v>
      </c>
    </row>
    <row r="1856" spans="1:12" ht="30" x14ac:dyDescent="0.25">
      <c r="A1856" s="10">
        <v>1851</v>
      </c>
      <c r="B1856" t="s">
        <v>550</v>
      </c>
      <c r="C1856" t="s">
        <v>17</v>
      </c>
      <c r="D1856" t="s">
        <v>458</v>
      </c>
      <c r="E1856" s="52" t="s">
        <v>335</v>
      </c>
      <c r="F1856" t="s">
        <v>551</v>
      </c>
      <c r="G1856" s="21">
        <v>-52259.22</v>
      </c>
      <c r="H1856" s="21">
        <v>0</v>
      </c>
      <c r="I1856" s="21">
        <v>0</v>
      </c>
      <c r="J1856" s="21">
        <v>0</v>
      </c>
      <c r="K1856" s="21">
        <v>1045.18</v>
      </c>
      <c r="L1856" s="21">
        <v>-51214.04</v>
      </c>
    </row>
    <row r="1857" spans="1:12" ht="30" x14ac:dyDescent="0.25">
      <c r="A1857" s="10">
        <v>1852</v>
      </c>
      <c r="B1857" t="s">
        <v>550</v>
      </c>
      <c r="C1857" t="s">
        <v>17</v>
      </c>
      <c r="D1857" t="s">
        <v>458</v>
      </c>
      <c r="E1857" s="52" t="s">
        <v>335</v>
      </c>
      <c r="F1857" t="s">
        <v>551</v>
      </c>
      <c r="G1857" s="21">
        <v>0</v>
      </c>
      <c r="H1857" s="21">
        <v>0</v>
      </c>
      <c r="I1857" s="21">
        <v>-675742.04</v>
      </c>
      <c r="J1857" s="21">
        <v>0</v>
      </c>
      <c r="K1857" s="21">
        <v>13514.84</v>
      </c>
      <c r="L1857" s="21">
        <v>-662227.19999999995</v>
      </c>
    </row>
    <row r="1858" spans="1:12" ht="30" x14ac:dyDescent="0.25">
      <c r="A1858" s="10">
        <v>1853</v>
      </c>
      <c r="B1858" t="s">
        <v>550</v>
      </c>
      <c r="C1858" t="s">
        <v>17</v>
      </c>
      <c r="D1858" t="s">
        <v>458</v>
      </c>
      <c r="E1858" s="52" t="s">
        <v>335</v>
      </c>
      <c r="F1858" t="s">
        <v>551</v>
      </c>
      <c r="G1858" s="21">
        <v>0</v>
      </c>
      <c r="H1858" s="21">
        <v>0</v>
      </c>
      <c r="I1858" s="21">
        <v>-506.37</v>
      </c>
      <c r="J1858" s="21">
        <v>0</v>
      </c>
      <c r="K1858" s="21">
        <v>10.130000000000001</v>
      </c>
      <c r="L1858" s="21">
        <v>-496.24</v>
      </c>
    </row>
    <row r="1859" spans="1:12" ht="30" x14ac:dyDescent="0.25">
      <c r="A1859" s="10">
        <v>1854</v>
      </c>
      <c r="B1859" t="s">
        <v>550</v>
      </c>
      <c r="C1859" t="s">
        <v>13</v>
      </c>
      <c r="D1859" t="s">
        <v>458</v>
      </c>
      <c r="E1859" s="52" t="s">
        <v>335</v>
      </c>
      <c r="F1859" t="s">
        <v>551</v>
      </c>
      <c r="G1859" s="21">
        <v>0</v>
      </c>
      <c r="H1859" s="21">
        <v>0</v>
      </c>
      <c r="I1859" s="21">
        <v>0</v>
      </c>
      <c r="J1859" s="21">
        <v>-3997.8</v>
      </c>
      <c r="K1859" s="21">
        <v>0</v>
      </c>
      <c r="L1859" s="21">
        <v>-3997.8</v>
      </c>
    </row>
    <row r="1860" spans="1:12" ht="30" x14ac:dyDescent="0.25">
      <c r="A1860" s="10">
        <v>1855</v>
      </c>
      <c r="B1860" t="s">
        <v>550</v>
      </c>
      <c r="C1860" t="s">
        <v>13</v>
      </c>
      <c r="D1860" t="s">
        <v>458</v>
      </c>
      <c r="E1860" s="52" t="s">
        <v>335</v>
      </c>
      <c r="F1860" t="s">
        <v>551</v>
      </c>
      <c r="G1860" s="21">
        <v>0</v>
      </c>
      <c r="H1860" s="21">
        <v>0</v>
      </c>
      <c r="I1860" s="21">
        <v>0</v>
      </c>
      <c r="J1860" s="21">
        <v>-18.420000000000002</v>
      </c>
      <c r="K1860" s="21">
        <v>0</v>
      </c>
      <c r="L1860" s="21">
        <v>-18.420000000000002</v>
      </c>
    </row>
    <row r="1861" spans="1:12" ht="30" x14ac:dyDescent="0.25">
      <c r="A1861" s="10">
        <v>1856</v>
      </c>
      <c r="B1861" t="s">
        <v>550</v>
      </c>
      <c r="C1861" t="s">
        <v>13</v>
      </c>
      <c r="D1861" t="s">
        <v>458</v>
      </c>
      <c r="E1861" s="52" t="s">
        <v>335</v>
      </c>
      <c r="F1861" t="s">
        <v>551</v>
      </c>
      <c r="G1861" s="21">
        <v>0</v>
      </c>
      <c r="H1861" s="21">
        <v>0</v>
      </c>
      <c r="I1861" s="21">
        <v>0</v>
      </c>
      <c r="J1861" s="21">
        <v>-21.01</v>
      </c>
      <c r="K1861" s="21">
        <v>0</v>
      </c>
      <c r="L1861" s="21">
        <v>-21.01</v>
      </c>
    </row>
    <row r="1862" spans="1:12" ht="30" x14ac:dyDescent="0.25">
      <c r="A1862" s="10">
        <v>1857</v>
      </c>
      <c r="B1862" t="s">
        <v>550</v>
      </c>
      <c r="C1862" t="s">
        <v>13</v>
      </c>
      <c r="D1862" t="s">
        <v>458</v>
      </c>
      <c r="E1862" s="52" t="s">
        <v>335</v>
      </c>
      <c r="F1862" t="s">
        <v>552</v>
      </c>
      <c r="G1862" s="21">
        <v>0</v>
      </c>
      <c r="H1862" s="21">
        <v>0</v>
      </c>
      <c r="I1862" s="21">
        <v>0</v>
      </c>
      <c r="J1862" s="21">
        <v>-0.45</v>
      </c>
      <c r="K1862" s="21">
        <v>0</v>
      </c>
      <c r="L1862" s="21">
        <v>-0.45</v>
      </c>
    </row>
    <row r="1863" spans="1:12" ht="30" x14ac:dyDescent="0.25">
      <c r="A1863" s="10">
        <v>1858</v>
      </c>
      <c r="B1863" t="s">
        <v>550</v>
      </c>
      <c r="C1863" t="s">
        <v>17</v>
      </c>
      <c r="D1863" t="s">
        <v>458</v>
      </c>
      <c r="E1863" s="52" t="s">
        <v>335</v>
      </c>
      <c r="F1863" t="s">
        <v>552</v>
      </c>
      <c r="G1863" s="21">
        <v>-2.4</v>
      </c>
      <c r="H1863" s="21">
        <v>0</v>
      </c>
      <c r="I1863" s="21">
        <v>0</v>
      </c>
      <c r="J1863" s="21">
        <v>0</v>
      </c>
      <c r="K1863" s="21">
        <v>0.05</v>
      </c>
      <c r="L1863" s="21">
        <v>-2.35</v>
      </c>
    </row>
    <row r="1864" spans="1:12" ht="30" x14ac:dyDescent="0.25">
      <c r="A1864" s="10">
        <v>1859</v>
      </c>
      <c r="B1864" t="s">
        <v>550</v>
      </c>
      <c r="C1864" t="s">
        <v>17</v>
      </c>
      <c r="D1864" t="s">
        <v>458</v>
      </c>
      <c r="E1864" s="52" t="s">
        <v>335</v>
      </c>
      <c r="F1864" t="s">
        <v>552</v>
      </c>
      <c r="G1864" s="21">
        <v>-0.01</v>
      </c>
      <c r="H1864" s="21">
        <v>0</v>
      </c>
      <c r="I1864" s="21">
        <v>0</v>
      </c>
      <c r="J1864" s="21">
        <v>0</v>
      </c>
      <c r="K1864" s="21">
        <v>0</v>
      </c>
      <c r="L1864" s="21">
        <v>-0.01</v>
      </c>
    </row>
    <row r="1865" spans="1:12" ht="30" x14ac:dyDescent="0.25">
      <c r="A1865" s="10">
        <v>1860</v>
      </c>
      <c r="B1865" t="s">
        <v>550</v>
      </c>
      <c r="C1865" t="s">
        <v>17</v>
      </c>
      <c r="D1865" t="s">
        <v>458</v>
      </c>
      <c r="E1865" s="52" t="s">
        <v>335</v>
      </c>
      <c r="F1865" t="s">
        <v>552</v>
      </c>
      <c r="G1865" s="21">
        <v>-0.01</v>
      </c>
      <c r="H1865" s="21">
        <v>0</v>
      </c>
      <c r="I1865" s="21">
        <v>0</v>
      </c>
      <c r="J1865" s="21">
        <v>0</v>
      </c>
      <c r="K1865" s="21">
        <v>0</v>
      </c>
      <c r="L1865" s="21">
        <v>-0.01</v>
      </c>
    </row>
    <row r="1866" spans="1:12" ht="30" x14ac:dyDescent="0.25">
      <c r="A1866" s="10">
        <v>1861</v>
      </c>
      <c r="B1866" t="s">
        <v>550</v>
      </c>
      <c r="C1866" t="s">
        <v>17</v>
      </c>
      <c r="D1866" t="s">
        <v>458</v>
      </c>
      <c r="E1866" s="52" t="s">
        <v>335</v>
      </c>
      <c r="F1866" t="s">
        <v>552</v>
      </c>
      <c r="G1866" s="21">
        <v>-3.76</v>
      </c>
      <c r="H1866" s="21">
        <v>0</v>
      </c>
      <c r="I1866" s="21">
        <v>0</v>
      </c>
      <c r="J1866" s="21">
        <v>0</v>
      </c>
      <c r="K1866" s="21">
        <v>0.08</v>
      </c>
      <c r="L1866" s="21">
        <v>-3.68</v>
      </c>
    </row>
    <row r="1867" spans="1:12" ht="30" x14ac:dyDescent="0.25">
      <c r="A1867" s="10">
        <v>1862</v>
      </c>
      <c r="B1867" t="s">
        <v>550</v>
      </c>
      <c r="C1867" t="s">
        <v>17</v>
      </c>
      <c r="D1867" t="s">
        <v>458</v>
      </c>
      <c r="E1867" s="52" t="s">
        <v>335</v>
      </c>
      <c r="F1867" t="s">
        <v>552</v>
      </c>
      <c r="G1867" s="21">
        <v>0</v>
      </c>
      <c r="H1867" s="21">
        <v>0</v>
      </c>
      <c r="I1867" s="21">
        <v>-48.6</v>
      </c>
      <c r="J1867" s="21">
        <v>0</v>
      </c>
      <c r="K1867" s="21">
        <v>0.97</v>
      </c>
      <c r="L1867" s="21">
        <v>-47.63</v>
      </c>
    </row>
    <row r="1868" spans="1:12" ht="30" x14ac:dyDescent="0.25">
      <c r="A1868" s="10">
        <v>1863</v>
      </c>
      <c r="B1868" t="s">
        <v>550</v>
      </c>
      <c r="C1868" t="s">
        <v>17</v>
      </c>
      <c r="D1868" t="s">
        <v>458</v>
      </c>
      <c r="E1868" s="52" t="s">
        <v>335</v>
      </c>
      <c r="F1868" t="s">
        <v>552</v>
      </c>
      <c r="G1868" s="21">
        <v>0</v>
      </c>
      <c r="H1868" s="21">
        <v>0</v>
      </c>
      <c r="I1868" s="21">
        <v>-0.04</v>
      </c>
      <c r="J1868" s="21">
        <v>0</v>
      </c>
      <c r="K1868" s="21">
        <v>0</v>
      </c>
      <c r="L1868" s="21">
        <v>-0.04</v>
      </c>
    </row>
    <row r="1869" spans="1:12" ht="30" x14ac:dyDescent="0.25">
      <c r="A1869" s="10">
        <v>1864</v>
      </c>
      <c r="B1869" t="s">
        <v>550</v>
      </c>
      <c r="C1869" t="s">
        <v>13</v>
      </c>
      <c r="D1869" t="s">
        <v>458</v>
      </c>
      <c r="E1869" s="52" t="s">
        <v>335</v>
      </c>
      <c r="F1869" t="s">
        <v>552</v>
      </c>
      <c r="G1869" s="21">
        <v>0</v>
      </c>
      <c r="H1869" s="21">
        <v>0</v>
      </c>
      <c r="I1869" s="21">
        <v>0</v>
      </c>
      <c r="J1869" s="21">
        <v>-0.28999999999999998</v>
      </c>
      <c r="K1869" s="21">
        <v>0</v>
      </c>
      <c r="L1869" s="21">
        <v>-0.28999999999999998</v>
      </c>
    </row>
    <row r="1870" spans="1:12" ht="30" x14ac:dyDescent="0.25">
      <c r="A1870" s="10">
        <v>1865</v>
      </c>
      <c r="B1870" t="s">
        <v>550</v>
      </c>
      <c r="C1870" t="s">
        <v>13</v>
      </c>
      <c r="D1870" t="s">
        <v>458</v>
      </c>
      <c r="E1870" s="52" t="s">
        <v>335</v>
      </c>
      <c r="F1870" t="s">
        <v>552</v>
      </c>
      <c r="G1870" s="21">
        <v>0</v>
      </c>
      <c r="H1870" s="21">
        <v>0</v>
      </c>
      <c r="I1870" s="21">
        <v>0</v>
      </c>
      <c r="J1870" s="21">
        <v>0</v>
      </c>
      <c r="K1870" s="21">
        <v>0</v>
      </c>
      <c r="L1870" s="21">
        <v>0</v>
      </c>
    </row>
    <row r="1871" spans="1:12" ht="30" x14ac:dyDescent="0.25">
      <c r="A1871" s="10">
        <v>1866</v>
      </c>
      <c r="B1871" t="s">
        <v>550</v>
      </c>
      <c r="C1871" t="s">
        <v>13</v>
      </c>
      <c r="D1871" t="s">
        <v>458</v>
      </c>
      <c r="E1871" s="52" t="s">
        <v>335</v>
      </c>
      <c r="F1871" t="s">
        <v>552</v>
      </c>
      <c r="G1871" s="21">
        <v>0</v>
      </c>
      <c r="H1871" s="21">
        <v>0</v>
      </c>
      <c r="I1871" s="21">
        <v>0</v>
      </c>
      <c r="J1871" s="21">
        <v>0</v>
      </c>
      <c r="K1871" s="21">
        <v>0</v>
      </c>
      <c r="L1871" s="21">
        <v>0</v>
      </c>
    </row>
    <row r="1872" spans="1:12" ht="30" x14ac:dyDescent="0.25">
      <c r="A1872" s="10">
        <v>1867</v>
      </c>
      <c r="B1872" t="s">
        <v>18</v>
      </c>
      <c r="C1872" t="s">
        <v>17</v>
      </c>
      <c r="D1872" t="s">
        <v>459</v>
      </c>
      <c r="E1872" s="52" t="s">
        <v>460</v>
      </c>
      <c r="F1872" t="s">
        <v>19</v>
      </c>
      <c r="G1872" s="21">
        <v>0</v>
      </c>
      <c r="H1872" s="21">
        <v>0</v>
      </c>
      <c r="I1872" s="21">
        <v>-0.46</v>
      </c>
      <c r="J1872" s="21">
        <v>0</v>
      </c>
      <c r="K1872" s="21">
        <v>0.05</v>
      </c>
      <c r="L1872" s="21">
        <v>-0.41</v>
      </c>
    </row>
    <row r="1873" spans="1:12" ht="30" x14ac:dyDescent="0.25">
      <c r="A1873" s="10">
        <v>1868</v>
      </c>
      <c r="B1873" t="s">
        <v>550</v>
      </c>
      <c r="C1873" t="s">
        <v>17</v>
      </c>
      <c r="D1873" t="s">
        <v>459</v>
      </c>
      <c r="E1873" s="52" t="s">
        <v>460</v>
      </c>
      <c r="F1873" t="s">
        <v>551</v>
      </c>
      <c r="G1873" s="21">
        <v>0</v>
      </c>
      <c r="H1873" s="21">
        <v>0</v>
      </c>
      <c r="I1873" s="21">
        <v>-518925.26</v>
      </c>
      <c r="J1873" s="21">
        <v>0</v>
      </c>
      <c r="K1873" s="21">
        <v>10378.51</v>
      </c>
      <c r="L1873" s="21">
        <v>-508546.75</v>
      </c>
    </row>
    <row r="1874" spans="1:12" ht="30" x14ac:dyDescent="0.25">
      <c r="A1874" s="10">
        <v>1869</v>
      </c>
      <c r="B1874" t="s">
        <v>550</v>
      </c>
      <c r="C1874" t="s">
        <v>17</v>
      </c>
      <c r="D1874" t="s">
        <v>459</v>
      </c>
      <c r="E1874" s="52" t="s">
        <v>460</v>
      </c>
      <c r="F1874" t="s">
        <v>551</v>
      </c>
      <c r="G1874" s="21">
        <v>0</v>
      </c>
      <c r="H1874" s="21">
        <v>0</v>
      </c>
      <c r="I1874" s="21">
        <v>-2063.8000000000002</v>
      </c>
      <c r="J1874" s="21">
        <v>0</v>
      </c>
      <c r="K1874" s="21">
        <v>41.28</v>
      </c>
      <c r="L1874" s="21">
        <v>-2022.52</v>
      </c>
    </row>
    <row r="1875" spans="1:12" ht="30" x14ac:dyDescent="0.25">
      <c r="A1875" s="10">
        <v>1870</v>
      </c>
      <c r="B1875" t="s">
        <v>550</v>
      </c>
      <c r="C1875" t="s">
        <v>17</v>
      </c>
      <c r="D1875" t="s">
        <v>459</v>
      </c>
      <c r="E1875" s="52" t="s">
        <v>460</v>
      </c>
      <c r="F1875" t="s">
        <v>552</v>
      </c>
      <c r="G1875" s="21">
        <v>0</v>
      </c>
      <c r="H1875" s="21">
        <v>0</v>
      </c>
      <c r="I1875" s="21">
        <v>-37.33</v>
      </c>
      <c r="J1875" s="21">
        <v>0</v>
      </c>
      <c r="K1875" s="21">
        <v>0.75</v>
      </c>
      <c r="L1875" s="21">
        <v>-36.58</v>
      </c>
    </row>
    <row r="1876" spans="1:12" ht="30" x14ac:dyDescent="0.25">
      <c r="A1876" s="10">
        <v>1871</v>
      </c>
      <c r="B1876" t="s">
        <v>550</v>
      </c>
      <c r="C1876" t="s">
        <v>17</v>
      </c>
      <c r="D1876" t="s">
        <v>459</v>
      </c>
      <c r="E1876" s="52" t="s">
        <v>460</v>
      </c>
      <c r="F1876" t="s">
        <v>552</v>
      </c>
      <c r="G1876" s="21">
        <v>0</v>
      </c>
      <c r="H1876" s="21">
        <v>0</v>
      </c>
      <c r="I1876" s="21">
        <v>-0.15</v>
      </c>
      <c r="J1876" s="21">
        <v>0</v>
      </c>
      <c r="K1876" s="21">
        <v>0</v>
      </c>
      <c r="L1876" s="21">
        <v>-0.15</v>
      </c>
    </row>
    <row r="1877" spans="1:12" ht="30" x14ac:dyDescent="0.25">
      <c r="A1877" s="10">
        <v>1872</v>
      </c>
      <c r="B1877" t="s">
        <v>555</v>
      </c>
      <c r="C1877" t="s">
        <v>17</v>
      </c>
      <c r="D1877" t="s">
        <v>461</v>
      </c>
      <c r="E1877" s="52" t="s">
        <v>462</v>
      </c>
      <c r="F1877" t="s">
        <v>556</v>
      </c>
      <c r="G1877" s="21">
        <v>0</v>
      </c>
      <c r="H1877" s="21">
        <v>0</v>
      </c>
      <c r="I1877" s="21">
        <v>-18.760000000000002</v>
      </c>
      <c r="J1877" s="21">
        <v>0</v>
      </c>
      <c r="K1877" s="21">
        <v>0.38</v>
      </c>
      <c r="L1877" s="21">
        <v>-18.38</v>
      </c>
    </row>
    <row r="1878" spans="1:12" ht="30" x14ac:dyDescent="0.25">
      <c r="A1878" s="10">
        <v>1873</v>
      </c>
      <c r="B1878" t="s">
        <v>557</v>
      </c>
      <c r="C1878" t="s">
        <v>17</v>
      </c>
      <c r="D1878" t="s">
        <v>461</v>
      </c>
      <c r="E1878" s="52" t="s">
        <v>462</v>
      </c>
      <c r="F1878" t="s">
        <v>558</v>
      </c>
      <c r="G1878" s="21">
        <v>0</v>
      </c>
      <c r="H1878" s="21">
        <v>0</v>
      </c>
      <c r="I1878" s="21">
        <v>-0.37</v>
      </c>
      <c r="J1878" s="21">
        <v>0</v>
      </c>
      <c r="K1878" s="21">
        <v>0.01</v>
      </c>
      <c r="L1878" s="21">
        <v>-0.36</v>
      </c>
    </row>
    <row r="1879" spans="1:12" ht="30" x14ac:dyDescent="0.25">
      <c r="A1879" s="10">
        <v>1874</v>
      </c>
      <c r="B1879" t="s">
        <v>18</v>
      </c>
      <c r="C1879" t="s">
        <v>17</v>
      </c>
      <c r="D1879" t="s">
        <v>461</v>
      </c>
      <c r="E1879" s="52" t="s">
        <v>462</v>
      </c>
      <c r="F1879" t="s">
        <v>19</v>
      </c>
      <c r="G1879" s="21">
        <v>0</v>
      </c>
      <c r="H1879" s="21">
        <v>0</v>
      </c>
      <c r="I1879" s="21">
        <v>-0.24</v>
      </c>
      <c r="J1879" s="21">
        <v>0</v>
      </c>
      <c r="K1879" s="21">
        <v>0.03</v>
      </c>
      <c r="L1879" s="21">
        <v>-0.21</v>
      </c>
    </row>
    <row r="1880" spans="1:12" ht="30" x14ac:dyDescent="0.25">
      <c r="A1880" s="10">
        <v>1875</v>
      </c>
      <c r="B1880" t="s">
        <v>550</v>
      </c>
      <c r="C1880" t="s">
        <v>17</v>
      </c>
      <c r="D1880" t="s">
        <v>461</v>
      </c>
      <c r="E1880" s="52" t="s">
        <v>462</v>
      </c>
      <c r="F1880" t="s">
        <v>551</v>
      </c>
      <c r="G1880" s="21">
        <v>0</v>
      </c>
      <c r="H1880" s="21">
        <v>0</v>
      </c>
      <c r="I1880" s="21">
        <v>-350.78</v>
      </c>
      <c r="J1880" s="21">
        <v>0</v>
      </c>
      <c r="K1880" s="21">
        <v>7.02</v>
      </c>
      <c r="L1880" s="21">
        <v>-343.76</v>
      </c>
    </row>
    <row r="1881" spans="1:12" ht="30" x14ac:dyDescent="0.25">
      <c r="A1881" s="10">
        <v>1876</v>
      </c>
      <c r="B1881" t="s">
        <v>550</v>
      </c>
      <c r="C1881" t="s">
        <v>17</v>
      </c>
      <c r="D1881" t="s">
        <v>461</v>
      </c>
      <c r="E1881" s="52" t="s">
        <v>462</v>
      </c>
      <c r="F1881" t="s">
        <v>551</v>
      </c>
      <c r="G1881" s="21">
        <v>0</v>
      </c>
      <c r="H1881" s="21">
        <v>0</v>
      </c>
      <c r="I1881" s="21">
        <v>-914.27</v>
      </c>
      <c r="J1881" s="21">
        <v>0</v>
      </c>
      <c r="K1881" s="21">
        <v>18.29</v>
      </c>
      <c r="L1881" s="21">
        <v>-895.98</v>
      </c>
    </row>
    <row r="1882" spans="1:12" ht="30" x14ac:dyDescent="0.25">
      <c r="A1882" s="10">
        <v>1877</v>
      </c>
      <c r="B1882" t="s">
        <v>550</v>
      </c>
      <c r="C1882" t="s">
        <v>17</v>
      </c>
      <c r="D1882" t="s">
        <v>461</v>
      </c>
      <c r="E1882" s="52" t="s">
        <v>462</v>
      </c>
      <c r="F1882" t="s">
        <v>552</v>
      </c>
      <c r="G1882" s="21">
        <v>0</v>
      </c>
      <c r="H1882" s="21">
        <v>0</v>
      </c>
      <c r="I1882" s="21">
        <v>-0.03</v>
      </c>
      <c r="J1882" s="21">
        <v>0</v>
      </c>
      <c r="K1882" s="21">
        <v>0</v>
      </c>
      <c r="L1882" s="21">
        <v>-0.03</v>
      </c>
    </row>
    <row r="1883" spans="1:12" ht="30" x14ac:dyDescent="0.25">
      <c r="A1883" s="10">
        <v>1878</v>
      </c>
      <c r="B1883" t="s">
        <v>550</v>
      </c>
      <c r="C1883" t="s">
        <v>17</v>
      </c>
      <c r="D1883" t="s">
        <v>461</v>
      </c>
      <c r="E1883" s="52" t="s">
        <v>462</v>
      </c>
      <c r="F1883" t="s">
        <v>552</v>
      </c>
      <c r="G1883" s="21">
        <v>0</v>
      </c>
      <c r="H1883" s="21">
        <v>0</v>
      </c>
      <c r="I1883" s="21">
        <v>-7.0000000000000007E-2</v>
      </c>
      <c r="J1883" s="21">
        <v>0</v>
      </c>
      <c r="K1883" s="21">
        <v>0</v>
      </c>
      <c r="L1883" s="21">
        <v>-7.0000000000000007E-2</v>
      </c>
    </row>
    <row r="1884" spans="1:12" x14ac:dyDescent="0.25">
      <c r="A1884" s="10">
        <v>1879</v>
      </c>
      <c r="B1884" t="s">
        <v>555</v>
      </c>
      <c r="C1884" t="s">
        <v>17</v>
      </c>
      <c r="D1884" t="s">
        <v>463</v>
      </c>
      <c r="E1884" s="52" t="s">
        <v>464</v>
      </c>
      <c r="F1884" t="s">
        <v>556</v>
      </c>
      <c r="G1884" s="21">
        <v>-120.99</v>
      </c>
      <c r="H1884" s="21">
        <v>0</v>
      </c>
      <c r="I1884" s="21">
        <v>0</v>
      </c>
      <c r="J1884" s="21">
        <v>0</v>
      </c>
      <c r="K1884" s="21">
        <v>2.42</v>
      </c>
      <c r="L1884" s="21">
        <v>-118.57</v>
      </c>
    </row>
    <row r="1885" spans="1:12" x14ac:dyDescent="0.25">
      <c r="A1885" s="10">
        <v>1880</v>
      </c>
      <c r="B1885" t="s">
        <v>555</v>
      </c>
      <c r="C1885" t="s">
        <v>13</v>
      </c>
      <c r="D1885" t="s">
        <v>463</v>
      </c>
      <c r="E1885" s="52" t="s">
        <v>464</v>
      </c>
      <c r="F1885" t="s">
        <v>556</v>
      </c>
      <c r="G1885" s="21">
        <v>0</v>
      </c>
      <c r="H1885" s="21">
        <v>0</v>
      </c>
      <c r="I1885" s="21">
        <v>0</v>
      </c>
      <c r="J1885" s="21">
        <v>-14.52</v>
      </c>
      <c r="K1885" s="21">
        <v>0</v>
      </c>
      <c r="L1885" s="21">
        <v>-14.52</v>
      </c>
    </row>
    <row r="1886" spans="1:12" x14ac:dyDescent="0.25">
      <c r="A1886" s="10">
        <v>1881</v>
      </c>
      <c r="B1886" t="s">
        <v>557</v>
      </c>
      <c r="C1886" t="s">
        <v>17</v>
      </c>
      <c r="D1886" t="s">
        <v>463</v>
      </c>
      <c r="E1886" s="52" t="s">
        <v>464</v>
      </c>
      <c r="F1886" t="s">
        <v>558</v>
      </c>
      <c r="G1886" s="21">
        <v>-76.319999999999993</v>
      </c>
      <c r="H1886" s="21">
        <v>0</v>
      </c>
      <c r="I1886" s="21">
        <v>0</v>
      </c>
      <c r="J1886" s="21">
        <v>0</v>
      </c>
      <c r="K1886" s="21">
        <v>1.53</v>
      </c>
      <c r="L1886" s="21">
        <v>-74.790000000000006</v>
      </c>
    </row>
    <row r="1887" spans="1:12" x14ac:dyDescent="0.25">
      <c r="A1887" s="10">
        <v>1882</v>
      </c>
      <c r="B1887" t="s">
        <v>557</v>
      </c>
      <c r="C1887" t="s">
        <v>13</v>
      </c>
      <c r="D1887" t="s">
        <v>463</v>
      </c>
      <c r="E1887" s="52" t="s">
        <v>464</v>
      </c>
      <c r="F1887" t="s">
        <v>558</v>
      </c>
      <c r="G1887" s="21">
        <v>0</v>
      </c>
      <c r="H1887" s="21">
        <v>0</v>
      </c>
      <c r="I1887" s="21">
        <v>0</v>
      </c>
      <c r="J1887" s="21">
        <v>-9.16</v>
      </c>
      <c r="K1887" s="21">
        <v>0</v>
      </c>
      <c r="L1887" s="21">
        <v>-9.16</v>
      </c>
    </row>
    <row r="1888" spans="1:12" x14ac:dyDescent="0.25">
      <c r="A1888" s="10">
        <v>1883</v>
      </c>
      <c r="B1888" t="s">
        <v>566</v>
      </c>
      <c r="C1888" t="s">
        <v>17</v>
      </c>
      <c r="D1888" t="s">
        <v>463</v>
      </c>
      <c r="E1888" s="52" t="s">
        <v>464</v>
      </c>
      <c r="F1888" t="s">
        <v>567</v>
      </c>
      <c r="G1888" s="21">
        <v>-0.13</v>
      </c>
      <c r="H1888" s="21">
        <v>0</v>
      </c>
      <c r="I1888" s="21">
        <v>0</v>
      </c>
      <c r="J1888" s="21">
        <v>0</v>
      </c>
      <c r="K1888" s="21">
        <v>0</v>
      </c>
      <c r="L1888" s="21">
        <v>-0.13</v>
      </c>
    </row>
    <row r="1889" spans="1:12" x14ac:dyDescent="0.25">
      <c r="A1889" s="10">
        <v>1884</v>
      </c>
      <c r="B1889" t="s">
        <v>566</v>
      </c>
      <c r="C1889" t="s">
        <v>13</v>
      </c>
      <c r="D1889" t="s">
        <v>463</v>
      </c>
      <c r="E1889" s="52" t="s">
        <v>464</v>
      </c>
      <c r="F1889" t="s">
        <v>567</v>
      </c>
      <c r="G1889" s="21">
        <v>0</v>
      </c>
      <c r="H1889" s="21">
        <v>0</v>
      </c>
      <c r="I1889" s="21">
        <v>0</v>
      </c>
      <c r="J1889" s="21">
        <v>-0.02</v>
      </c>
      <c r="K1889" s="21">
        <v>0</v>
      </c>
      <c r="L1889" s="21">
        <v>-0.02</v>
      </c>
    </row>
    <row r="1890" spans="1:12" x14ac:dyDescent="0.25">
      <c r="A1890" s="10">
        <v>1885</v>
      </c>
      <c r="B1890" t="s">
        <v>559</v>
      </c>
      <c r="C1890" t="s">
        <v>17</v>
      </c>
      <c r="D1890" t="s">
        <v>463</v>
      </c>
      <c r="E1890" s="52" t="s">
        <v>464</v>
      </c>
      <c r="F1890" t="s">
        <v>560</v>
      </c>
      <c r="G1890" s="21">
        <v>-51.64</v>
      </c>
      <c r="H1890" s="21">
        <v>0</v>
      </c>
      <c r="I1890" s="21">
        <v>0</v>
      </c>
      <c r="J1890" s="21">
        <v>0</v>
      </c>
      <c r="K1890" s="21">
        <v>1.03</v>
      </c>
      <c r="L1890" s="21">
        <v>-50.61</v>
      </c>
    </row>
    <row r="1891" spans="1:12" x14ac:dyDescent="0.25">
      <c r="A1891" s="10">
        <v>1886</v>
      </c>
      <c r="B1891" t="s">
        <v>559</v>
      </c>
      <c r="C1891" t="s">
        <v>13</v>
      </c>
      <c r="D1891" t="s">
        <v>463</v>
      </c>
      <c r="E1891" s="52" t="s">
        <v>464</v>
      </c>
      <c r="F1891" t="s">
        <v>560</v>
      </c>
      <c r="G1891" s="21">
        <v>0</v>
      </c>
      <c r="H1891" s="21">
        <v>0</v>
      </c>
      <c r="I1891" s="21">
        <v>0</v>
      </c>
      <c r="J1891" s="21">
        <v>-6.2</v>
      </c>
      <c r="K1891" s="21">
        <v>0</v>
      </c>
      <c r="L1891" s="21">
        <v>-6.2</v>
      </c>
    </row>
    <row r="1892" spans="1:12" x14ac:dyDescent="0.25">
      <c r="A1892" s="10">
        <v>1887</v>
      </c>
      <c r="B1892" t="s">
        <v>550</v>
      </c>
      <c r="C1892" t="s">
        <v>13</v>
      </c>
      <c r="D1892" t="s">
        <v>463</v>
      </c>
      <c r="E1892" s="52" t="s">
        <v>464</v>
      </c>
      <c r="F1892" t="s">
        <v>551</v>
      </c>
      <c r="G1892" s="21">
        <v>0</v>
      </c>
      <c r="H1892" s="21">
        <v>0</v>
      </c>
      <c r="I1892" s="21">
        <v>0</v>
      </c>
      <c r="J1892" s="21">
        <v>-3.44</v>
      </c>
      <c r="K1892" s="21">
        <v>0</v>
      </c>
      <c r="L1892" s="21">
        <v>-3.44</v>
      </c>
    </row>
    <row r="1893" spans="1:12" x14ac:dyDescent="0.25">
      <c r="A1893" s="10">
        <v>1888</v>
      </c>
      <c r="B1893" t="s">
        <v>550</v>
      </c>
      <c r="C1893" t="s">
        <v>13</v>
      </c>
      <c r="D1893" t="s">
        <v>463</v>
      </c>
      <c r="E1893" s="52" t="s">
        <v>464</v>
      </c>
      <c r="F1893" t="s">
        <v>551</v>
      </c>
      <c r="G1893" s="21">
        <v>0</v>
      </c>
      <c r="H1893" s="21">
        <v>0</v>
      </c>
      <c r="I1893" s="21">
        <v>0</v>
      </c>
      <c r="J1893" s="21">
        <v>-19.21</v>
      </c>
      <c r="K1893" s="21">
        <v>0</v>
      </c>
      <c r="L1893" s="21">
        <v>-19.21</v>
      </c>
    </row>
    <row r="1894" spans="1:12" x14ac:dyDescent="0.25">
      <c r="A1894" s="10">
        <v>1889</v>
      </c>
      <c r="B1894" t="s">
        <v>550</v>
      </c>
      <c r="C1894" t="s">
        <v>17</v>
      </c>
      <c r="D1894" t="s">
        <v>463</v>
      </c>
      <c r="E1894" s="52" t="s">
        <v>464</v>
      </c>
      <c r="F1894" t="s">
        <v>551</v>
      </c>
      <c r="G1894" s="21">
        <v>-28.65</v>
      </c>
      <c r="H1894" s="21">
        <v>0</v>
      </c>
      <c r="I1894" s="21">
        <v>0</v>
      </c>
      <c r="J1894" s="21">
        <v>0</v>
      </c>
      <c r="K1894" s="21">
        <v>0.56999999999999995</v>
      </c>
      <c r="L1894" s="21">
        <v>-28.08</v>
      </c>
    </row>
    <row r="1895" spans="1:12" x14ac:dyDescent="0.25">
      <c r="A1895" s="10">
        <v>1890</v>
      </c>
      <c r="B1895" t="s">
        <v>550</v>
      </c>
      <c r="C1895" t="s">
        <v>17</v>
      </c>
      <c r="D1895" t="s">
        <v>463</v>
      </c>
      <c r="E1895" s="52" t="s">
        <v>464</v>
      </c>
      <c r="F1895" t="s">
        <v>551</v>
      </c>
      <c r="G1895" s="21">
        <v>-160.1</v>
      </c>
      <c r="H1895" s="21">
        <v>0</v>
      </c>
      <c r="I1895" s="21">
        <v>0</v>
      </c>
      <c r="J1895" s="21">
        <v>0</v>
      </c>
      <c r="K1895" s="21">
        <v>3.2</v>
      </c>
      <c r="L1895" s="21">
        <v>-156.9</v>
      </c>
    </row>
    <row r="1896" spans="1:12" x14ac:dyDescent="0.25">
      <c r="A1896" s="10">
        <v>1891</v>
      </c>
      <c r="B1896" t="s">
        <v>550</v>
      </c>
      <c r="C1896" t="s">
        <v>13</v>
      </c>
      <c r="D1896" t="s">
        <v>463</v>
      </c>
      <c r="E1896" s="52" t="s">
        <v>464</v>
      </c>
      <c r="F1896" t="s">
        <v>552</v>
      </c>
      <c r="G1896" s="21">
        <v>0</v>
      </c>
      <c r="H1896" s="21">
        <v>0</v>
      </c>
      <c r="I1896" s="21">
        <v>0</v>
      </c>
      <c r="J1896" s="21">
        <v>0</v>
      </c>
      <c r="K1896" s="21">
        <v>0</v>
      </c>
      <c r="L1896" s="21">
        <v>0</v>
      </c>
    </row>
    <row r="1897" spans="1:12" x14ac:dyDescent="0.25">
      <c r="A1897" s="10">
        <v>1892</v>
      </c>
      <c r="B1897" t="s">
        <v>550</v>
      </c>
      <c r="C1897" t="s">
        <v>17</v>
      </c>
      <c r="D1897" t="s">
        <v>463</v>
      </c>
      <c r="E1897" s="52" t="s">
        <v>464</v>
      </c>
      <c r="F1897" t="s">
        <v>552</v>
      </c>
      <c r="G1897" s="21">
        <v>-0.01</v>
      </c>
      <c r="H1897" s="21">
        <v>0</v>
      </c>
      <c r="I1897" s="21">
        <v>0</v>
      </c>
      <c r="J1897" s="21">
        <v>0</v>
      </c>
      <c r="K1897" s="21">
        <v>0</v>
      </c>
      <c r="L1897" s="21">
        <v>-0.01</v>
      </c>
    </row>
    <row r="1898" spans="1:12" ht="30" x14ac:dyDescent="0.25">
      <c r="A1898" s="10">
        <v>1893</v>
      </c>
      <c r="B1898" t="s">
        <v>555</v>
      </c>
      <c r="C1898" t="s">
        <v>17</v>
      </c>
      <c r="D1898" t="s">
        <v>465</v>
      </c>
      <c r="E1898" s="52" t="s">
        <v>466</v>
      </c>
      <c r="F1898" t="s">
        <v>556</v>
      </c>
      <c r="G1898" s="21">
        <v>0</v>
      </c>
      <c r="H1898" s="21">
        <v>0</v>
      </c>
      <c r="I1898" s="21">
        <v>-2.79</v>
      </c>
      <c r="J1898" s="21">
        <v>0</v>
      </c>
      <c r="K1898" s="21">
        <v>0.06</v>
      </c>
      <c r="L1898" s="21">
        <v>-2.73</v>
      </c>
    </row>
    <row r="1899" spans="1:12" ht="30" x14ac:dyDescent="0.25">
      <c r="A1899" s="10">
        <v>1894</v>
      </c>
      <c r="B1899" t="s">
        <v>557</v>
      </c>
      <c r="C1899" t="s">
        <v>17</v>
      </c>
      <c r="D1899" t="s">
        <v>465</v>
      </c>
      <c r="E1899" s="52" t="s">
        <v>466</v>
      </c>
      <c r="F1899" t="s">
        <v>558</v>
      </c>
      <c r="G1899" s="21">
        <v>0</v>
      </c>
      <c r="H1899" s="21">
        <v>0</v>
      </c>
      <c r="I1899" s="21">
        <v>-4.93</v>
      </c>
      <c r="J1899" s="21">
        <v>0</v>
      </c>
      <c r="K1899" s="21">
        <v>0.1</v>
      </c>
      <c r="L1899" s="21">
        <v>-4.83</v>
      </c>
    </row>
    <row r="1900" spans="1:12" ht="30" x14ac:dyDescent="0.25">
      <c r="A1900" s="10">
        <v>1895</v>
      </c>
      <c r="B1900" t="s">
        <v>18</v>
      </c>
      <c r="C1900" t="s">
        <v>17</v>
      </c>
      <c r="D1900" t="s">
        <v>465</v>
      </c>
      <c r="E1900" s="52" t="s">
        <v>466</v>
      </c>
      <c r="F1900" t="s">
        <v>19</v>
      </c>
      <c r="G1900" s="21">
        <v>0</v>
      </c>
      <c r="H1900" s="21">
        <v>0</v>
      </c>
      <c r="I1900" s="21">
        <v>-0.53</v>
      </c>
      <c r="J1900" s="21">
        <v>0</v>
      </c>
      <c r="K1900" s="21">
        <v>0.06</v>
      </c>
      <c r="L1900" s="21">
        <v>-0.47</v>
      </c>
    </row>
    <row r="1901" spans="1:12" ht="30" x14ac:dyDescent="0.25">
      <c r="A1901" s="10">
        <v>1896</v>
      </c>
      <c r="B1901" t="s">
        <v>550</v>
      </c>
      <c r="C1901" t="s">
        <v>17</v>
      </c>
      <c r="D1901" t="s">
        <v>465</v>
      </c>
      <c r="E1901" s="52" t="s">
        <v>466</v>
      </c>
      <c r="F1901" t="s">
        <v>551</v>
      </c>
      <c r="G1901" s="21">
        <v>0</v>
      </c>
      <c r="H1901" s="21">
        <v>0</v>
      </c>
      <c r="I1901" s="21">
        <v>-1102.45</v>
      </c>
      <c r="J1901" s="21">
        <v>0</v>
      </c>
      <c r="K1901" s="21">
        <v>22.05</v>
      </c>
      <c r="L1901" s="21">
        <v>-1080.4000000000001</v>
      </c>
    </row>
    <row r="1902" spans="1:12" ht="30" x14ac:dyDescent="0.25">
      <c r="A1902" s="10">
        <v>1897</v>
      </c>
      <c r="B1902" t="s">
        <v>550</v>
      </c>
      <c r="C1902" t="s">
        <v>17</v>
      </c>
      <c r="D1902" t="s">
        <v>465</v>
      </c>
      <c r="E1902" s="52" t="s">
        <v>466</v>
      </c>
      <c r="F1902" t="s">
        <v>552</v>
      </c>
      <c r="G1902" s="21">
        <v>0</v>
      </c>
      <c r="H1902" s="21">
        <v>0</v>
      </c>
      <c r="I1902" s="21">
        <v>-0.08</v>
      </c>
      <c r="J1902" s="21">
        <v>0</v>
      </c>
      <c r="K1902" s="21">
        <v>0</v>
      </c>
      <c r="L1902" s="21">
        <v>-0.08</v>
      </c>
    </row>
    <row r="1903" spans="1:12" x14ac:dyDescent="0.25">
      <c r="A1903" s="10">
        <v>1898</v>
      </c>
      <c r="B1903" t="s">
        <v>18</v>
      </c>
      <c r="C1903" t="s">
        <v>17</v>
      </c>
      <c r="D1903" t="s">
        <v>467</v>
      </c>
      <c r="E1903" s="52" t="s">
        <v>468</v>
      </c>
      <c r="F1903" t="s">
        <v>19</v>
      </c>
      <c r="G1903" s="21">
        <v>0</v>
      </c>
      <c r="H1903" s="21">
        <v>0</v>
      </c>
      <c r="I1903" s="21">
        <v>-0.3</v>
      </c>
      <c r="J1903" s="21">
        <v>0</v>
      </c>
      <c r="K1903" s="21">
        <v>0.04</v>
      </c>
      <c r="L1903" s="21">
        <v>-0.26</v>
      </c>
    </row>
    <row r="1904" spans="1:12" x14ac:dyDescent="0.25">
      <c r="A1904" s="10">
        <v>1899</v>
      </c>
      <c r="B1904" t="s">
        <v>550</v>
      </c>
      <c r="C1904" t="s">
        <v>17</v>
      </c>
      <c r="D1904" t="s">
        <v>467</v>
      </c>
      <c r="E1904" s="52" t="s">
        <v>468</v>
      </c>
      <c r="F1904" t="s">
        <v>551</v>
      </c>
      <c r="G1904" s="21">
        <v>0</v>
      </c>
      <c r="H1904" s="21">
        <v>0</v>
      </c>
      <c r="I1904" s="21">
        <v>-105.69</v>
      </c>
      <c r="J1904" s="21">
        <v>0</v>
      </c>
      <c r="K1904" s="21">
        <v>0</v>
      </c>
      <c r="L1904" s="21">
        <v>-105.69</v>
      </c>
    </row>
    <row r="1905" spans="1:12" x14ac:dyDescent="0.25">
      <c r="A1905" s="10">
        <v>1900</v>
      </c>
      <c r="B1905" t="s">
        <v>550</v>
      </c>
      <c r="C1905" t="s">
        <v>17</v>
      </c>
      <c r="D1905" t="s">
        <v>467</v>
      </c>
      <c r="E1905" s="52" t="s">
        <v>468</v>
      </c>
      <c r="F1905" t="s">
        <v>551</v>
      </c>
      <c r="G1905" s="21">
        <v>0</v>
      </c>
      <c r="H1905" s="21">
        <v>0</v>
      </c>
      <c r="I1905" s="21">
        <v>-646.22</v>
      </c>
      <c r="J1905" s="21">
        <v>0</v>
      </c>
      <c r="K1905" s="21">
        <v>0</v>
      </c>
      <c r="L1905" s="21">
        <v>-646.22</v>
      </c>
    </row>
    <row r="1906" spans="1:12" x14ac:dyDescent="0.25">
      <c r="A1906" s="10">
        <v>1901</v>
      </c>
      <c r="B1906" t="s">
        <v>550</v>
      </c>
      <c r="C1906" t="s">
        <v>17</v>
      </c>
      <c r="D1906" t="s">
        <v>467</v>
      </c>
      <c r="E1906" s="52" t="s">
        <v>468</v>
      </c>
      <c r="F1906" t="s">
        <v>552</v>
      </c>
      <c r="G1906" s="21">
        <v>0</v>
      </c>
      <c r="H1906" s="21">
        <v>0</v>
      </c>
      <c r="I1906" s="21">
        <v>-0.01</v>
      </c>
      <c r="J1906" s="21">
        <v>0</v>
      </c>
      <c r="K1906" s="21">
        <v>0</v>
      </c>
      <c r="L1906" s="21">
        <v>-0.01</v>
      </c>
    </row>
    <row r="1907" spans="1:12" x14ac:dyDescent="0.25">
      <c r="A1907" s="10">
        <v>1902</v>
      </c>
      <c r="B1907" t="s">
        <v>550</v>
      </c>
      <c r="C1907" t="s">
        <v>17</v>
      </c>
      <c r="D1907" t="s">
        <v>467</v>
      </c>
      <c r="E1907" s="52" t="s">
        <v>468</v>
      </c>
      <c r="F1907" t="s">
        <v>552</v>
      </c>
      <c r="G1907" s="21">
        <v>0</v>
      </c>
      <c r="H1907" s="21">
        <v>0</v>
      </c>
      <c r="I1907" s="21">
        <v>-0.05</v>
      </c>
      <c r="J1907" s="21">
        <v>0</v>
      </c>
      <c r="K1907" s="21">
        <v>0</v>
      </c>
      <c r="L1907" s="21">
        <v>-0.05</v>
      </c>
    </row>
    <row r="1908" spans="1:12" ht="30" x14ac:dyDescent="0.25">
      <c r="A1908" s="10">
        <v>1903</v>
      </c>
      <c r="B1908" t="s">
        <v>18</v>
      </c>
      <c r="C1908" t="s">
        <v>17</v>
      </c>
      <c r="D1908" t="s">
        <v>469</v>
      </c>
      <c r="E1908" s="52" t="s">
        <v>470</v>
      </c>
      <c r="F1908" t="s">
        <v>19</v>
      </c>
      <c r="G1908" s="21">
        <v>0</v>
      </c>
      <c r="H1908" s="21">
        <v>0</v>
      </c>
      <c r="I1908" s="21">
        <v>-0.19</v>
      </c>
      <c r="J1908" s="21">
        <v>0</v>
      </c>
      <c r="K1908" s="21">
        <v>0.02</v>
      </c>
      <c r="L1908" s="21">
        <v>-0.17</v>
      </c>
    </row>
    <row r="1909" spans="1:12" ht="30" x14ac:dyDescent="0.25">
      <c r="A1909" s="10">
        <v>1904</v>
      </c>
      <c r="B1909" t="s">
        <v>550</v>
      </c>
      <c r="C1909" t="s">
        <v>17</v>
      </c>
      <c r="D1909" t="s">
        <v>640</v>
      </c>
      <c r="E1909" s="52" t="s">
        <v>470</v>
      </c>
      <c r="F1909" t="s">
        <v>551</v>
      </c>
      <c r="G1909" s="21">
        <v>0</v>
      </c>
      <c r="H1909" s="21">
        <v>0</v>
      </c>
      <c r="I1909" s="21">
        <v>-39.1</v>
      </c>
      <c r="J1909" s="21">
        <v>0</v>
      </c>
      <c r="K1909" s="21">
        <v>0.78</v>
      </c>
      <c r="L1909" s="21">
        <v>-38.32</v>
      </c>
    </row>
    <row r="1910" spans="1:12" ht="30" x14ac:dyDescent="0.25">
      <c r="A1910" s="10">
        <v>1905</v>
      </c>
      <c r="B1910" t="s">
        <v>550</v>
      </c>
      <c r="C1910" t="s">
        <v>17</v>
      </c>
      <c r="D1910" t="s">
        <v>640</v>
      </c>
      <c r="E1910" s="52" t="s">
        <v>470</v>
      </c>
      <c r="F1910" t="s">
        <v>551</v>
      </c>
      <c r="G1910" s="21">
        <v>0</v>
      </c>
      <c r="H1910" s="21">
        <v>0</v>
      </c>
      <c r="I1910" s="21">
        <v>-391.06</v>
      </c>
      <c r="J1910" s="21">
        <v>0</v>
      </c>
      <c r="K1910" s="21">
        <v>7.82</v>
      </c>
      <c r="L1910" s="21">
        <v>-383.24</v>
      </c>
    </row>
    <row r="1911" spans="1:12" ht="30" x14ac:dyDescent="0.25">
      <c r="A1911" s="10">
        <v>1906</v>
      </c>
      <c r="B1911" t="s">
        <v>550</v>
      </c>
      <c r="C1911" t="s">
        <v>17</v>
      </c>
      <c r="D1911" t="s">
        <v>640</v>
      </c>
      <c r="E1911" s="52" t="s">
        <v>470</v>
      </c>
      <c r="F1911" t="s">
        <v>552</v>
      </c>
      <c r="G1911" s="21">
        <v>0</v>
      </c>
      <c r="H1911" s="21">
        <v>0</v>
      </c>
      <c r="I1911" s="21">
        <v>-0.03</v>
      </c>
      <c r="J1911" s="21">
        <v>0</v>
      </c>
      <c r="K1911" s="21">
        <v>0</v>
      </c>
      <c r="L1911" s="21">
        <v>-0.03</v>
      </c>
    </row>
    <row r="1912" spans="1:12" ht="30" x14ac:dyDescent="0.25">
      <c r="A1912" s="10">
        <v>1907</v>
      </c>
      <c r="B1912" t="s">
        <v>18</v>
      </c>
      <c r="C1912" t="s">
        <v>17</v>
      </c>
      <c r="D1912" t="s">
        <v>471</v>
      </c>
      <c r="E1912" s="52" t="s">
        <v>472</v>
      </c>
      <c r="F1912" t="s">
        <v>19</v>
      </c>
      <c r="G1912" s="21">
        <v>0</v>
      </c>
      <c r="H1912" s="21">
        <v>0</v>
      </c>
      <c r="I1912" s="21">
        <v>-0.01</v>
      </c>
      <c r="J1912" s="21">
        <v>0</v>
      </c>
      <c r="K1912" s="21">
        <v>0</v>
      </c>
      <c r="L1912" s="21">
        <v>-0.01</v>
      </c>
    </row>
    <row r="1913" spans="1:12" ht="30" x14ac:dyDescent="0.25">
      <c r="A1913" s="10">
        <v>1908</v>
      </c>
      <c r="B1913" t="s">
        <v>18</v>
      </c>
      <c r="C1913" t="s">
        <v>17</v>
      </c>
      <c r="D1913" t="s">
        <v>471</v>
      </c>
      <c r="E1913" s="52" t="s">
        <v>472</v>
      </c>
      <c r="F1913" t="s">
        <v>19</v>
      </c>
      <c r="G1913" s="21">
        <v>0</v>
      </c>
      <c r="H1913" s="21">
        <v>0</v>
      </c>
      <c r="I1913" s="21">
        <v>-234.37</v>
      </c>
      <c r="J1913" s="21">
        <v>0</v>
      </c>
      <c r="K1913" s="21">
        <v>4.6900000000000004</v>
      </c>
      <c r="L1913" s="21">
        <v>-229.68</v>
      </c>
    </row>
    <row r="1914" spans="1:12" ht="30" x14ac:dyDescent="0.25">
      <c r="A1914" s="10">
        <v>1909</v>
      </c>
      <c r="B1914" t="s">
        <v>20</v>
      </c>
      <c r="C1914" t="s">
        <v>17</v>
      </c>
      <c r="D1914" t="s">
        <v>471</v>
      </c>
      <c r="E1914" s="52" t="s">
        <v>472</v>
      </c>
      <c r="F1914" t="s">
        <v>21</v>
      </c>
      <c r="G1914" s="21">
        <v>0</v>
      </c>
      <c r="H1914" s="21">
        <v>0</v>
      </c>
      <c r="I1914" s="21">
        <v>-0.19</v>
      </c>
      <c r="J1914" s="21">
        <v>0</v>
      </c>
      <c r="K1914" s="21">
        <v>0</v>
      </c>
      <c r="L1914" s="21">
        <v>-0.19</v>
      </c>
    </row>
    <row r="1915" spans="1:12" ht="30" x14ac:dyDescent="0.25">
      <c r="A1915" s="10">
        <v>1910</v>
      </c>
      <c r="B1915" t="s">
        <v>22</v>
      </c>
      <c r="C1915" t="s">
        <v>17</v>
      </c>
      <c r="D1915" t="s">
        <v>471</v>
      </c>
      <c r="E1915" s="52" t="s">
        <v>472</v>
      </c>
      <c r="F1915" t="s">
        <v>23</v>
      </c>
      <c r="G1915" s="21">
        <v>0</v>
      </c>
      <c r="H1915" s="21">
        <v>0</v>
      </c>
      <c r="I1915" s="21">
        <v>-5.82</v>
      </c>
      <c r="J1915" s="21">
        <v>0</v>
      </c>
      <c r="K1915" s="21">
        <v>0.12</v>
      </c>
      <c r="L1915" s="21">
        <v>-5.7</v>
      </c>
    </row>
    <row r="1916" spans="1:12" ht="30" x14ac:dyDescent="0.25">
      <c r="A1916" s="10">
        <v>1911</v>
      </c>
      <c r="B1916" t="s">
        <v>22</v>
      </c>
      <c r="C1916" t="s">
        <v>49</v>
      </c>
      <c r="D1916" t="s">
        <v>471</v>
      </c>
      <c r="E1916" s="52" t="s">
        <v>472</v>
      </c>
      <c r="F1916" t="s">
        <v>23</v>
      </c>
      <c r="G1916" s="21">
        <v>0</v>
      </c>
      <c r="H1916" s="21">
        <v>0</v>
      </c>
      <c r="I1916" s="21">
        <v>-2.29</v>
      </c>
      <c r="J1916" s="21">
        <v>0</v>
      </c>
      <c r="K1916" s="21">
        <v>0</v>
      </c>
      <c r="L1916" s="21">
        <v>-2.29</v>
      </c>
    </row>
    <row r="1917" spans="1:12" ht="30" x14ac:dyDescent="0.25">
      <c r="A1917" s="10">
        <v>1912</v>
      </c>
      <c r="B1917" t="s">
        <v>22</v>
      </c>
      <c r="C1917" t="s">
        <v>17</v>
      </c>
      <c r="D1917" t="s">
        <v>471</v>
      </c>
      <c r="E1917" s="52" t="s">
        <v>472</v>
      </c>
      <c r="F1917" t="s">
        <v>24</v>
      </c>
      <c r="G1917" s="21">
        <v>0</v>
      </c>
      <c r="H1917" s="21">
        <v>0</v>
      </c>
      <c r="I1917" s="21">
        <v>-0.01</v>
      </c>
      <c r="J1917" s="21">
        <v>0</v>
      </c>
      <c r="K1917" s="21">
        <v>0</v>
      </c>
      <c r="L1917" s="21">
        <v>-0.01</v>
      </c>
    </row>
    <row r="1918" spans="1:12" ht="30" x14ac:dyDescent="0.25">
      <c r="A1918" s="10">
        <v>1913</v>
      </c>
      <c r="B1918" t="s">
        <v>555</v>
      </c>
      <c r="C1918" t="s">
        <v>17</v>
      </c>
      <c r="D1918" t="s">
        <v>473</v>
      </c>
      <c r="E1918" s="52" t="s">
        <v>474</v>
      </c>
      <c r="F1918" t="s">
        <v>556</v>
      </c>
      <c r="G1918" s="21">
        <v>-712.31</v>
      </c>
      <c r="H1918" s="21">
        <v>0</v>
      </c>
      <c r="I1918" s="21">
        <v>0</v>
      </c>
      <c r="J1918" s="21">
        <v>0</v>
      </c>
      <c r="K1918" s="21">
        <v>14.25</v>
      </c>
      <c r="L1918" s="21">
        <v>-698.06</v>
      </c>
    </row>
    <row r="1919" spans="1:12" ht="30" x14ac:dyDescent="0.25">
      <c r="A1919" s="10">
        <v>1914</v>
      </c>
      <c r="B1919" t="s">
        <v>555</v>
      </c>
      <c r="C1919" t="s">
        <v>13</v>
      </c>
      <c r="D1919" t="s">
        <v>473</v>
      </c>
      <c r="E1919" s="52" t="s">
        <v>474</v>
      </c>
      <c r="F1919" t="s">
        <v>556</v>
      </c>
      <c r="G1919" s="21">
        <v>0</v>
      </c>
      <c r="H1919" s="21">
        <v>0</v>
      </c>
      <c r="I1919" s="21">
        <v>0</v>
      </c>
      <c r="J1919" s="21">
        <v>-85.48</v>
      </c>
      <c r="K1919" s="21">
        <v>0</v>
      </c>
      <c r="L1919" s="21">
        <v>-85.48</v>
      </c>
    </row>
    <row r="1920" spans="1:12" ht="30" x14ac:dyDescent="0.25">
      <c r="A1920" s="10">
        <v>1915</v>
      </c>
      <c r="B1920" t="s">
        <v>557</v>
      </c>
      <c r="C1920" t="s">
        <v>17</v>
      </c>
      <c r="D1920" t="s">
        <v>473</v>
      </c>
      <c r="E1920" s="52" t="s">
        <v>474</v>
      </c>
      <c r="F1920" t="s">
        <v>558</v>
      </c>
      <c r="G1920" s="21">
        <v>-60.35</v>
      </c>
      <c r="H1920" s="21">
        <v>0</v>
      </c>
      <c r="I1920" s="21">
        <v>0</v>
      </c>
      <c r="J1920" s="21">
        <v>0</v>
      </c>
      <c r="K1920" s="21">
        <v>1.21</v>
      </c>
      <c r="L1920" s="21">
        <v>-59.14</v>
      </c>
    </row>
    <row r="1921" spans="1:12" ht="30" x14ac:dyDescent="0.25">
      <c r="A1921" s="10">
        <v>1916</v>
      </c>
      <c r="B1921" t="s">
        <v>557</v>
      </c>
      <c r="C1921" t="s">
        <v>13</v>
      </c>
      <c r="D1921" t="s">
        <v>473</v>
      </c>
      <c r="E1921" s="52" t="s">
        <v>474</v>
      </c>
      <c r="F1921" t="s">
        <v>558</v>
      </c>
      <c r="G1921" s="21">
        <v>0</v>
      </c>
      <c r="H1921" s="21">
        <v>0</v>
      </c>
      <c r="I1921" s="21">
        <v>0</v>
      </c>
      <c r="J1921" s="21">
        <v>-7.24</v>
      </c>
      <c r="K1921" s="21">
        <v>0</v>
      </c>
      <c r="L1921" s="21">
        <v>-7.24</v>
      </c>
    </row>
    <row r="1922" spans="1:12" ht="30" x14ac:dyDescent="0.25">
      <c r="A1922" s="10">
        <v>1917</v>
      </c>
      <c r="B1922" t="s">
        <v>18</v>
      </c>
      <c r="C1922" t="s">
        <v>17</v>
      </c>
      <c r="D1922" t="s">
        <v>473</v>
      </c>
      <c r="E1922" s="52" t="s">
        <v>474</v>
      </c>
      <c r="F1922" t="s">
        <v>19</v>
      </c>
      <c r="G1922" s="21">
        <v>-0.55000000000000004</v>
      </c>
      <c r="H1922" s="21">
        <v>0</v>
      </c>
      <c r="I1922" s="21">
        <v>0</v>
      </c>
      <c r="J1922" s="21">
        <v>0</v>
      </c>
      <c r="K1922" s="21">
        <v>0.49</v>
      </c>
      <c r="L1922" s="21">
        <v>-0.06</v>
      </c>
    </row>
    <row r="1923" spans="1:12" ht="30" x14ac:dyDescent="0.25">
      <c r="A1923" s="10">
        <v>1918</v>
      </c>
      <c r="B1923" t="s">
        <v>550</v>
      </c>
      <c r="C1923" t="s">
        <v>13</v>
      </c>
      <c r="D1923" t="s">
        <v>473</v>
      </c>
      <c r="E1923" s="52" t="s">
        <v>474</v>
      </c>
      <c r="F1923" t="s">
        <v>551</v>
      </c>
      <c r="G1923" s="21">
        <v>0</v>
      </c>
      <c r="H1923" s="21">
        <v>0</v>
      </c>
      <c r="I1923" s="21">
        <v>0</v>
      </c>
      <c r="J1923" s="21">
        <v>-3322.11</v>
      </c>
      <c r="K1923" s="21">
        <v>0</v>
      </c>
      <c r="L1923" s="21">
        <v>-3322.11</v>
      </c>
    </row>
    <row r="1924" spans="1:12" ht="30" x14ac:dyDescent="0.25">
      <c r="A1924" s="10">
        <v>1919</v>
      </c>
      <c r="B1924" t="s">
        <v>550</v>
      </c>
      <c r="C1924" t="s">
        <v>17</v>
      </c>
      <c r="D1924" t="s">
        <v>473</v>
      </c>
      <c r="E1924" s="52" t="s">
        <v>474</v>
      </c>
      <c r="F1924" t="s">
        <v>551</v>
      </c>
      <c r="G1924" s="21">
        <v>-27684.29</v>
      </c>
      <c r="H1924" s="21">
        <v>0</v>
      </c>
      <c r="I1924" s="21">
        <v>0</v>
      </c>
      <c r="J1924" s="21">
        <v>0</v>
      </c>
      <c r="K1924" s="21">
        <v>553.69000000000005</v>
      </c>
      <c r="L1924" s="21">
        <v>-27130.6</v>
      </c>
    </row>
    <row r="1925" spans="1:12" ht="30" x14ac:dyDescent="0.25">
      <c r="A1925" s="10">
        <v>1920</v>
      </c>
      <c r="B1925" t="s">
        <v>550</v>
      </c>
      <c r="C1925" t="s">
        <v>13</v>
      </c>
      <c r="D1925" t="s">
        <v>473</v>
      </c>
      <c r="E1925" s="52" t="s">
        <v>474</v>
      </c>
      <c r="F1925" t="s">
        <v>552</v>
      </c>
      <c r="G1925" s="21">
        <v>0</v>
      </c>
      <c r="H1925" s="21">
        <v>0</v>
      </c>
      <c r="I1925" s="21">
        <v>0</v>
      </c>
      <c r="J1925" s="21">
        <v>-0.24</v>
      </c>
      <c r="K1925" s="21">
        <v>0</v>
      </c>
      <c r="L1925" s="21">
        <v>-0.24</v>
      </c>
    </row>
    <row r="1926" spans="1:12" ht="30" x14ac:dyDescent="0.25">
      <c r="A1926" s="10">
        <v>1921</v>
      </c>
      <c r="B1926" t="s">
        <v>550</v>
      </c>
      <c r="C1926" t="s">
        <v>17</v>
      </c>
      <c r="D1926" t="s">
        <v>473</v>
      </c>
      <c r="E1926" s="52" t="s">
        <v>474</v>
      </c>
      <c r="F1926" t="s">
        <v>552</v>
      </c>
      <c r="G1926" s="21">
        <v>-1.99</v>
      </c>
      <c r="H1926" s="21">
        <v>0</v>
      </c>
      <c r="I1926" s="21">
        <v>0</v>
      </c>
      <c r="J1926" s="21">
        <v>0</v>
      </c>
      <c r="K1926" s="21">
        <v>0.04</v>
      </c>
      <c r="L1926" s="21">
        <v>-1.95</v>
      </c>
    </row>
    <row r="1927" spans="1:12" ht="30" x14ac:dyDescent="0.25">
      <c r="A1927" s="10">
        <v>1922</v>
      </c>
      <c r="B1927" t="s">
        <v>18</v>
      </c>
      <c r="C1927" t="s">
        <v>17</v>
      </c>
      <c r="D1927" t="s">
        <v>475</v>
      </c>
      <c r="E1927" s="52" t="s">
        <v>476</v>
      </c>
      <c r="F1927" t="s">
        <v>19</v>
      </c>
      <c r="G1927" s="21">
        <v>-1.58</v>
      </c>
      <c r="H1927" s="21">
        <v>0</v>
      </c>
      <c r="I1927" s="21">
        <v>0</v>
      </c>
      <c r="J1927" s="21">
        <v>0</v>
      </c>
      <c r="K1927" s="21">
        <v>1.4</v>
      </c>
      <c r="L1927" s="21">
        <v>-0.18</v>
      </c>
    </row>
    <row r="1928" spans="1:12" ht="30" x14ac:dyDescent="0.25">
      <c r="A1928" s="10">
        <v>1923</v>
      </c>
      <c r="B1928" t="s">
        <v>550</v>
      </c>
      <c r="C1928" t="s">
        <v>13</v>
      </c>
      <c r="D1928" t="s">
        <v>475</v>
      </c>
      <c r="E1928" s="52" t="s">
        <v>476</v>
      </c>
      <c r="F1928" t="s">
        <v>551</v>
      </c>
      <c r="G1928" s="21">
        <v>0</v>
      </c>
      <c r="H1928" s="21">
        <v>0</v>
      </c>
      <c r="I1928" s="21">
        <v>0</v>
      </c>
      <c r="J1928" s="21">
        <v>-3703.84</v>
      </c>
      <c r="K1928" s="21">
        <v>0</v>
      </c>
      <c r="L1928" s="21">
        <v>-3703.84</v>
      </c>
    </row>
    <row r="1929" spans="1:12" ht="30" x14ac:dyDescent="0.25">
      <c r="A1929" s="10">
        <v>1924</v>
      </c>
      <c r="B1929" t="s">
        <v>550</v>
      </c>
      <c r="C1929" t="s">
        <v>17</v>
      </c>
      <c r="D1929" t="s">
        <v>475</v>
      </c>
      <c r="E1929" s="52" t="s">
        <v>476</v>
      </c>
      <c r="F1929" t="s">
        <v>551</v>
      </c>
      <c r="G1929" s="21">
        <v>-30865.37</v>
      </c>
      <c r="H1929" s="21">
        <v>0</v>
      </c>
      <c r="I1929" s="21">
        <v>0</v>
      </c>
      <c r="J1929" s="21">
        <v>0</v>
      </c>
      <c r="K1929" s="21">
        <v>617.30999999999995</v>
      </c>
      <c r="L1929" s="21">
        <v>-30248.06</v>
      </c>
    </row>
    <row r="1930" spans="1:12" ht="30" x14ac:dyDescent="0.25">
      <c r="A1930" s="10">
        <v>1925</v>
      </c>
      <c r="B1930" t="s">
        <v>550</v>
      </c>
      <c r="C1930" t="s">
        <v>13</v>
      </c>
      <c r="D1930" t="s">
        <v>475</v>
      </c>
      <c r="E1930" s="52" t="s">
        <v>476</v>
      </c>
      <c r="F1930" t="s">
        <v>552</v>
      </c>
      <c r="G1930" s="21">
        <v>0</v>
      </c>
      <c r="H1930" s="21">
        <v>0</v>
      </c>
      <c r="I1930" s="21">
        <v>0</v>
      </c>
      <c r="J1930" s="21">
        <v>-0.27</v>
      </c>
      <c r="K1930" s="21">
        <v>0</v>
      </c>
      <c r="L1930" s="21">
        <v>-0.27</v>
      </c>
    </row>
    <row r="1931" spans="1:12" ht="30" x14ac:dyDescent="0.25">
      <c r="A1931" s="10">
        <v>1926</v>
      </c>
      <c r="B1931" t="s">
        <v>550</v>
      </c>
      <c r="C1931" t="s">
        <v>17</v>
      </c>
      <c r="D1931" t="s">
        <v>475</v>
      </c>
      <c r="E1931" s="52" t="s">
        <v>476</v>
      </c>
      <c r="F1931" t="s">
        <v>552</v>
      </c>
      <c r="G1931" s="21">
        <v>-2.2200000000000002</v>
      </c>
      <c r="H1931" s="21">
        <v>0</v>
      </c>
      <c r="I1931" s="21">
        <v>0</v>
      </c>
      <c r="J1931" s="21">
        <v>0</v>
      </c>
      <c r="K1931" s="21">
        <v>0.04</v>
      </c>
      <c r="L1931" s="21">
        <v>-2.1800000000000002</v>
      </c>
    </row>
    <row r="1932" spans="1:12" ht="30" x14ac:dyDescent="0.25">
      <c r="A1932" s="10">
        <v>1927</v>
      </c>
      <c r="B1932" t="s">
        <v>12</v>
      </c>
      <c r="C1932" t="s">
        <v>13</v>
      </c>
      <c r="D1932" t="s">
        <v>477</v>
      </c>
      <c r="E1932" s="52" t="s">
        <v>478</v>
      </c>
      <c r="F1932" t="s">
        <v>16</v>
      </c>
      <c r="G1932" s="21">
        <v>0</v>
      </c>
      <c r="H1932" s="21">
        <v>0</v>
      </c>
      <c r="I1932" s="21">
        <v>0</v>
      </c>
      <c r="J1932" s="21">
        <v>-77.45</v>
      </c>
      <c r="K1932" s="21">
        <v>0</v>
      </c>
      <c r="L1932" s="21">
        <v>-77.45</v>
      </c>
    </row>
    <row r="1933" spans="1:12" ht="30" x14ac:dyDescent="0.25">
      <c r="A1933" s="10">
        <v>1928</v>
      </c>
      <c r="B1933" t="s">
        <v>37</v>
      </c>
      <c r="C1933" t="s">
        <v>13</v>
      </c>
      <c r="D1933" t="s">
        <v>477</v>
      </c>
      <c r="E1933" s="52" t="s">
        <v>478</v>
      </c>
      <c r="F1933" t="s">
        <v>38</v>
      </c>
      <c r="G1933" s="21">
        <v>0</v>
      </c>
      <c r="H1933" s="21">
        <v>0</v>
      </c>
      <c r="I1933" s="21">
        <v>0</v>
      </c>
      <c r="J1933" s="21">
        <v>-0.27</v>
      </c>
      <c r="K1933" s="21">
        <v>0</v>
      </c>
      <c r="L1933" s="21">
        <v>-0.27</v>
      </c>
    </row>
    <row r="1934" spans="1:12" ht="30" x14ac:dyDescent="0.25">
      <c r="A1934" s="10">
        <v>1929</v>
      </c>
      <c r="B1934" t="s">
        <v>29</v>
      </c>
      <c r="C1934" t="s">
        <v>13</v>
      </c>
      <c r="D1934" t="s">
        <v>477</v>
      </c>
      <c r="E1934" s="52" t="s">
        <v>478</v>
      </c>
      <c r="F1934" t="s">
        <v>30</v>
      </c>
      <c r="G1934" s="21">
        <v>0</v>
      </c>
      <c r="H1934" s="21">
        <v>0</v>
      </c>
      <c r="I1934" s="21">
        <v>0</v>
      </c>
      <c r="J1934" s="21">
        <v>-0.47</v>
      </c>
      <c r="K1934" s="21">
        <v>0</v>
      </c>
      <c r="L1934" s="21">
        <v>-0.47</v>
      </c>
    </row>
    <row r="1935" spans="1:12" ht="30" x14ac:dyDescent="0.25">
      <c r="A1935" s="10">
        <v>1930</v>
      </c>
      <c r="B1935" t="s">
        <v>18</v>
      </c>
      <c r="C1935" t="s">
        <v>17</v>
      </c>
      <c r="D1935" t="s">
        <v>477</v>
      </c>
      <c r="E1935" s="52" t="s">
        <v>478</v>
      </c>
      <c r="F1935" t="s">
        <v>19</v>
      </c>
      <c r="G1935" s="21">
        <v>-1.95</v>
      </c>
      <c r="H1935" s="21">
        <v>0</v>
      </c>
      <c r="I1935" s="21">
        <v>0</v>
      </c>
      <c r="J1935" s="21">
        <v>0</v>
      </c>
      <c r="K1935" s="21">
        <v>1.73</v>
      </c>
      <c r="L1935" s="21">
        <v>-0.22</v>
      </c>
    </row>
    <row r="1936" spans="1:12" ht="30" x14ac:dyDescent="0.25">
      <c r="A1936" s="10">
        <v>1931</v>
      </c>
      <c r="B1936" t="s">
        <v>18</v>
      </c>
      <c r="C1936" t="s">
        <v>13</v>
      </c>
      <c r="D1936" t="s">
        <v>477</v>
      </c>
      <c r="E1936" s="52" t="s">
        <v>478</v>
      </c>
      <c r="F1936" t="s">
        <v>19</v>
      </c>
      <c r="G1936" s="21">
        <v>0</v>
      </c>
      <c r="H1936" s="21">
        <v>0</v>
      </c>
      <c r="I1936" s="21">
        <v>0</v>
      </c>
      <c r="J1936" s="21">
        <v>-1370.45</v>
      </c>
      <c r="K1936" s="21">
        <v>0</v>
      </c>
      <c r="L1936" s="21">
        <v>-1370.45</v>
      </c>
    </row>
    <row r="1937" spans="1:12" ht="30" x14ac:dyDescent="0.25">
      <c r="A1937" s="10">
        <v>1932</v>
      </c>
      <c r="B1937" t="s">
        <v>20</v>
      </c>
      <c r="C1937" t="s">
        <v>13</v>
      </c>
      <c r="D1937" t="s">
        <v>477</v>
      </c>
      <c r="E1937" s="52" t="s">
        <v>478</v>
      </c>
      <c r="F1937" t="s">
        <v>21</v>
      </c>
      <c r="G1937" s="21">
        <v>0</v>
      </c>
      <c r="H1937" s="21">
        <v>0</v>
      </c>
      <c r="I1937" s="21">
        <v>0</v>
      </c>
      <c r="J1937" s="21">
        <v>-1950.96</v>
      </c>
      <c r="K1937" s="21">
        <v>0</v>
      </c>
      <c r="L1937" s="21">
        <v>-1950.96</v>
      </c>
    </row>
    <row r="1938" spans="1:12" ht="30" x14ac:dyDescent="0.25">
      <c r="A1938" s="10">
        <v>1933</v>
      </c>
      <c r="B1938" t="s">
        <v>22</v>
      </c>
      <c r="C1938" t="s">
        <v>13</v>
      </c>
      <c r="D1938" t="s">
        <v>477</v>
      </c>
      <c r="E1938" s="52" t="s">
        <v>478</v>
      </c>
      <c r="F1938" t="s">
        <v>23</v>
      </c>
      <c r="G1938" s="21">
        <v>0</v>
      </c>
      <c r="H1938" s="21">
        <v>0</v>
      </c>
      <c r="I1938" s="21">
        <v>0</v>
      </c>
      <c r="J1938" s="21">
        <v>-1543.32</v>
      </c>
      <c r="K1938" s="21">
        <v>0</v>
      </c>
      <c r="L1938" s="21">
        <v>-1543.32</v>
      </c>
    </row>
    <row r="1939" spans="1:12" ht="30" x14ac:dyDescent="0.25">
      <c r="A1939" s="10">
        <v>1934</v>
      </c>
      <c r="B1939" t="s">
        <v>22</v>
      </c>
      <c r="C1939" t="s">
        <v>13</v>
      </c>
      <c r="D1939" t="s">
        <v>477</v>
      </c>
      <c r="E1939" s="52" t="s">
        <v>478</v>
      </c>
      <c r="F1939" t="s">
        <v>24</v>
      </c>
      <c r="G1939" s="21">
        <v>0</v>
      </c>
      <c r="H1939" s="21">
        <v>0</v>
      </c>
      <c r="I1939" s="21">
        <v>0</v>
      </c>
      <c r="J1939" s="21">
        <v>-2.99</v>
      </c>
      <c r="K1939" s="21">
        <v>0</v>
      </c>
      <c r="L1939" s="21">
        <v>-2.99</v>
      </c>
    </row>
    <row r="1940" spans="1:12" ht="30" x14ac:dyDescent="0.25">
      <c r="A1940" s="10">
        <v>1935</v>
      </c>
      <c r="B1940" t="s">
        <v>550</v>
      </c>
      <c r="C1940" t="s">
        <v>13</v>
      </c>
      <c r="D1940" t="s">
        <v>477</v>
      </c>
      <c r="E1940" s="52" t="s">
        <v>478</v>
      </c>
      <c r="F1940" t="s">
        <v>551</v>
      </c>
      <c r="G1940" s="21">
        <v>0</v>
      </c>
      <c r="H1940" s="21">
        <v>0</v>
      </c>
      <c r="I1940" s="21">
        <v>0</v>
      </c>
      <c r="J1940" s="21">
        <v>-5106.7700000000004</v>
      </c>
      <c r="K1940" s="21">
        <v>0</v>
      </c>
      <c r="L1940" s="21">
        <v>-5106.7700000000004</v>
      </c>
    </row>
    <row r="1941" spans="1:12" ht="30" x14ac:dyDescent="0.25">
      <c r="A1941" s="10">
        <v>1936</v>
      </c>
      <c r="B1941" t="s">
        <v>550</v>
      </c>
      <c r="C1941" t="s">
        <v>17</v>
      </c>
      <c r="D1941" t="s">
        <v>477</v>
      </c>
      <c r="E1941" s="52" t="s">
        <v>478</v>
      </c>
      <c r="F1941" t="s">
        <v>551</v>
      </c>
      <c r="G1941" s="21">
        <v>-42556.42</v>
      </c>
      <c r="H1941" s="21">
        <v>0</v>
      </c>
      <c r="I1941" s="21">
        <v>0</v>
      </c>
      <c r="J1941" s="21">
        <v>0</v>
      </c>
      <c r="K1941" s="21">
        <v>851.13</v>
      </c>
      <c r="L1941" s="21">
        <v>-41705.29</v>
      </c>
    </row>
    <row r="1942" spans="1:12" ht="30" x14ac:dyDescent="0.25">
      <c r="A1942" s="10">
        <v>1937</v>
      </c>
      <c r="B1942" t="s">
        <v>550</v>
      </c>
      <c r="C1942" t="s">
        <v>13</v>
      </c>
      <c r="D1942" t="s">
        <v>477</v>
      </c>
      <c r="E1942" s="52" t="s">
        <v>478</v>
      </c>
      <c r="F1942" t="s">
        <v>552</v>
      </c>
      <c r="G1942" s="21">
        <v>0</v>
      </c>
      <c r="H1942" s="21">
        <v>0</v>
      </c>
      <c r="I1942" s="21">
        <v>0</v>
      </c>
      <c r="J1942" s="21">
        <v>-0.37</v>
      </c>
      <c r="K1942" s="21">
        <v>0</v>
      </c>
      <c r="L1942" s="21">
        <v>-0.37</v>
      </c>
    </row>
    <row r="1943" spans="1:12" ht="30" x14ac:dyDescent="0.25">
      <c r="A1943" s="10">
        <v>1938</v>
      </c>
      <c r="B1943" t="s">
        <v>550</v>
      </c>
      <c r="C1943" t="s">
        <v>17</v>
      </c>
      <c r="D1943" t="s">
        <v>477</v>
      </c>
      <c r="E1943" s="52" t="s">
        <v>478</v>
      </c>
      <c r="F1943" t="s">
        <v>552</v>
      </c>
      <c r="G1943" s="21">
        <v>-3.06</v>
      </c>
      <c r="H1943" s="21">
        <v>0</v>
      </c>
      <c r="I1943" s="21">
        <v>0</v>
      </c>
      <c r="J1943" s="21">
        <v>0</v>
      </c>
      <c r="K1943" s="21">
        <v>0.06</v>
      </c>
      <c r="L1943" s="21">
        <v>-3</v>
      </c>
    </row>
    <row r="1944" spans="1:12" ht="30" x14ac:dyDescent="0.25">
      <c r="A1944" s="10">
        <v>1939</v>
      </c>
      <c r="B1944" t="s">
        <v>550</v>
      </c>
      <c r="C1944" t="s">
        <v>17</v>
      </c>
      <c r="D1944" t="s">
        <v>641</v>
      </c>
      <c r="E1944" s="52" t="s">
        <v>480</v>
      </c>
      <c r="F1944" t="s">
        <v>551</v>
      </c>
      <c r="G1944" s="21">
        <v>0</v>
      </c>
      <c r="H1944" s="21">
        <v>0</v>
      </c>
      <c r="I1944" s="21">
        <v>-3.53</v>
      </c>
      <c r="J1944" s="21">
        <v>0</v>
      </c>
      <c r="K1944" s="21">
        <v>7.0000000000000007E-2</v>
      </c>
      <c r="L1944" s="21">
        <v>-3.46</v>
      </c>
    </row>
    <row r="1945" spans="1:12" x14ac:dyDescent="0.25">
      <c r="A1945" s="10">
        <v>1940</v>
      </c>
      <c r="B1945" t="s">
        <v>555</v>
      </c>
      <c r="C1945" t="s">
        <v>17</v>
      </c>
      <c r="D1945" t="s">
        <v>481</v>
      </c>
      <c r="E1945" s="52" t="s">
        <v>482</v>
      </c>
      <c r="F1945" t="s">
        <v>556</v>
      </c>
      <c r="G1945" s="21">
        <v>-4.8899999999999997</v>
      </c>
      <c r="H1945" s="21">
        <v>0</v>
      </c>
      <c r="I1945" s="21">
        <v>0</v>
      </c>
      <c r="J1945" s="21">
        <v>0</v>
      </c>
      <c r="K1945" s="21">
        <v>0.1</v>
      </c>
      <c r="L1945" s="21">
        <v>-4.79</v>
      </c>
    </row>
    <row r="1946" spans="1:12" x14ac:dyDescent="0.25">
      <c r="A1946" s="10">
        <v>1941</v>
      </c>
      <c r="B1946" t="s">
        <v>555</v>
      </c>
      <c r="C1946" t="s">
        <v>13</v>
      </c>
      <c r="D1946" t="s">
        <v>481</v>
      </c>
      <c r="E1946" s="52" t="s">
        <v>482</v>
      </c>
      <c r="F1946" t="s">
        <v>556</v>
      </c>
      <c r="G1946" s="21">
        <v>0</v>
      </c>
      <c r="H1946" s="21">
        <v>0</v>
      </c>
      <c r="I1946" s="21">
        <v>0</v>
      </c>
      <c r="J1946" s="21">
        <v>-0.59</v>
      </c>
      <c r="K1946" s="21">
        <v>0</v>
      </c>
      <c r="L1946" s="21">
        <v>-0.59</v>
      </c>
    </row>
    <row r="1947" spans="1:12" x14ac:dyDescent="0.25">
      <c r="A1947" s="10">
        <v>1942</v>
      </c>
      <c r="B1947" t="s">
        <v>550</v>
      </c>
      <c r="C1947" t="s">
        <v>13</v>
      </c>
      <c r="D1947" t="s">
        <v>481</v>
      </c>
      <c r="E1947" s="52" t="s">
        <v>482</v>
      </c>
      <c r="F1947" t="s">
        <v>551</v>
      </c>
      <c r="G1947" s="21">
        <v>0</v>
      </c>
      <c r="H1947" s="21">
        <v>0</v>
      </c>
      <c r="I1947" s="21">
        <v>0</v>
      </c>
      <c r="J1947" s="21">
        <v>-74.78</v>
      </c>
      <c r="K1947" s="21">
        <v>0</v>
      </c>
      <c r="L1947" s="21">
        <v>-74.78</v>
      </c>
    </row>
    <row r="1948" spans="1:12" x14ac:dyDescent="0.25">
      <c r="A1948" s="10">
        <v>1943</v>
      </c>
      <c r="B1948" t="s">
        <v>550</v>
      </c>
      <c r="C1948" t="s">
        <v>17</v>
      </c>
      <c r="D1948" t="s">
        <v>481</v>
      </c>
      <c r="E1948" s="52" t="s">
        <v>482</v>
      </c>
      <c r="F1948" t="s">
        <v>551</v>
      </c>
      <c r="G1948" s="21">
        <v>-623.13</v>
      </c>
      <c r="H1948" s="21">
        <v>0</v>
      </c>
      <c r="I1948" s="21">
        <v>0</v>
      </c>
      <c r="J1948" s="21">
        <v>0</v>
      </c>
      <c r="K1948" s="21">
        <v>12.46</v>
      </c>
      <c r="L1948" s="21">
        <v>-610.66999999999996</v>
      </c>
    </row>
    <row r="1949" spans="1:12" x14ac:dyDescent="0.25">
      <c r="A1949" s="10">
        <v>1944</v>
      </c>
      <c r="B1949" t="s">
        <v>550</v>
      </c>
      <c r="C1949" t="s">
        <v>13</v>
      </c>
      <c r="D1949" t="s">
        <v>481</v>
      </c>
      <c r="E1949" s="52" t="s">
        <v>482</v>
      </c>
      <c r="F1949" t="s">
        <v>552</v>
      </c>
      <c r="G1949" s="21">
        <v>0</v>
      </c>
      <c r="H1949" s="21">
        <v>0</v>
      </c>
      <c r="I1949" s="21">
        <v>0</v>
      </c>
      <c r="J1949" s="21">
        <v>0</v>
      </c>
      <c r="K1949" s="21">
        <v>0</v>
      </c>
      <c r="L1949" s="21">
        <v>0</v>
      </c>
    </row>
    <row r="1950" spans="1:12" x14ac:dyDescent="0.25">
      <c r="A1950" s="10">
        <v>1945</v>
      </c>
      <c r="B1950" t="s">
        <v>550</v>
      </c>
      <c r="C1950" t="s">
        <v>17</v>
      </c>
      <c r="D1950" t="s">
        <v>481</v>
      </c>
      <c r="E1950" s="52" t="s">
        <v>482</v>
      </c>
      <c r="F1950" t="s">
        <v>552</v>
      </c>
      <c r="G1950" s="21">
        <v>-0.04</v>
      </c>
      <c r="H1950" s="21">
        <v>0</v>
      </c>
      <c r="I1950" s="21">
        <v>0</v>
      </c>
      <c r="J1950" s="21">
        <v>0</v>
      </c>
      <c r="K1950" s="21">
        <v>0</v>
      </c>
      <c r="L1950" s="21">
        <v>-0.04</v>
      </c>
    </row>
    <row r="1951" spans="1:12" x14ac:dyDescent="0.25">
      <c r="A1951" s="10">
        <v>1946</v>
      </c>
      <c r="B1951" t="s">
        <v>18</v>
      </c>
      <c r="C1951" t="s">
        <v>17</v>
      </c>
      <c r="D1951" t="s">
        <v>483</v>
      </c>
      <c r="E1951" s="52" t="s">
        <v>484</v>
      </c>
      <c r="F1951" t="s">
        <v>19</v>
      </c>
      <c r="G1951" s="21">
        <v>0</v>
      </c>
      <c r="H1951" s="21">
        <v>0</v>
      </c>
      <c r="I1951" s="21">
        <v>0</v>
      </c>
      <c r="J1951" s="21">
        <v>0</v>
      </c>
      <c r="K1951" s="21">
        <v>0</v>
      </c>
      <c r="L1951" s="21">
        <v>0</v>
      </c>
    </row>
    <row r="1952" spans="1:12" x14ac:dyDescent="0.25">
      <c r="A1952" s="10">
        <v>1947</v>
      </c>
      <c r="B1952" t="s">
        <v>550</v>
      </c>
      <c r="C1952" t="s">
        <v>13</v>
      </c>
      <c r="D1952" t="s">
        <v>483</v>
      </c>
      <c r="E1952" s="52" t="s">
        <v>484</v>
      </c>
      <c r="F1952" t="s">
        <v>551</v>
      </c>
      <c r="G1952" s="21">
        <v>0</v>
      </c>
      <c r="H1952" s="21">
        <v>0</v>
      </c>
      <c r="I1952" s="21">
        <v>0</v>
      </c>
      <c r="J1952" s="21">
        <v>-7750.38</v>
      </c>
      <c r="K1952" s="21">
        <v>0</v>
      </c>
      <c r="L1952" s="21">
        <v>-7750.38</v>
      </c>
    </row>
    <row r="1953" spans="1:12" x14ac:dyDescent="0.25">
      <c r="A1953" s="10">
        <v>1948</v>
      </c>
      <c r="B1953" t="s">
        <v>550</v>
      </c>
      <c r="C1953" t="s">
        <v>13</v>
      </c>
      <c r="D1953" t="s">
        <v>483</v>
      </c>
      <c r="E1953" s="52" t="s">
        <v>484</v>
      </c>
      <c r="F1953" t="s">
        <v>551</v>
      </c>
      <c r="G1953" s="21">
        <v>0</v>
      </c>
      <c r="H1953" s="21">
        <v>0</v>
      </c>
      <c r="I1953" s="21">
        <v>0</v>
      </c>
      <c r="J1953" s="21">
        <v>-4.2699999999999996</v>
      </c>
      <c r="K1953" s="21">
        <v>0</v>
      </c>
      <c r="L1953" s="21">
        <v>-4.2699999999999996</v>
      </c>
    </row>
    <row r="1954" spans="1:12" x14ac:dyDescent="0.25">
      <c r="A1954" s="10">
        <v>1949</v>
      </c>
      <c r="B1954" t="s">
        <v>550</v>
      </c>
      <c r="C1954" t="s">
        <v>17</v>
      </c>
      <c r="D1954" t="s">
        <v>483</v>
      </c>
      <c r="E1954" s="52" t="s">
        <v>484</v>
      </c>
      <c r="F1954" t="s">
        <v>551</v>
      </c>
      <c r="G1954" s="21">
        <v>-64586.54</v>
      </c>
      <c r="H1954" s="21">
        <v>0</v>
      </c>
      <c r="I1954" s="21">
        <v>0</v>
      </c>
      <c r="J1954" s="21">
        <v>0</v>
      </c>
      <c r="K1954" s="21">
        <v>1291.73</v>
      </c>
      <c r="L1954" s="21">
        <v>-63294.81</v>
      </c>
    </row>
    <row r="1955" spans="1:12" x14ac:dyDescent="0.25">
      <c r="A1955" s="10">
        <v>1950</v>
      </c>
      <c r="B1955" t="s">
        <v>550</v>
      </c>
      <c r="C1955" t="s">
        <v>17</v>
      </c>
      <c r="D1955" t="s">
        <v>483</v>
      </c>
      <c r="E1955" s="52" t="s">
        <v>484</v>
      </c>
      <c r="F1955" t="s">
        <v>551</v>
      </c>
      <c r="G1955" s="21">
        <v>-35.56</v>
      </c>
      <c r="H1955" s="21">
        <v>0</v>
      </c>
      <c r="I1955" s="21">
        <v>0</v>
      </c>
      <c r="J1955" s="21">
        <v>0</v>
      </c>
      <c r="K1955" s="21">
        <v>0.71</v>
      </c>
      <c r="L1955" s="21">
        <v>-34.85</v>
      </c>
    </row>
    <row r="1956" spans="1:12" x14ac:dyDescent="0.25">
      <c r="A1956" s="10">
        <v>1951</v>
      </c>
      <c r="B1956" t="s">
        <v>550</v>
      </c>
      <c r="C1956" t="s">
        <v>13</v>
      </c>
      <c r="D1956" t="s">
        <v>483</v>
      </c>
      <c r="E1956" s="52" t="s">
        <v>484</v>
      </c>
      <c r="F1956" t="s">
        <v>552</v>
      </c>
      <c r="G1956" s="21">
        <v>0</v>
      </c>
      <c r="H1956" s="21">
        <v>0</v>
      </c>
      <c r="I1956" s="21">
        <v>0</v>
      </c>
      <c r="J1956" s="21">
        <v>-0.56000000000000005</v>
      </c>
      <c r="K1956" s="21">
        <v>0</v>
      </c>
      <c r="L1956" s="21">
        <v>-0.56000000000000005</v>
      </c>
    </row>
    <row r="1957" spans="1:12" x14ac:dyDescent="0.25">
      <c r="A1957" s="10">
        <v>1952</v>
      </c>
      <c r="B1957" t="s">
        <v>550</v>
      </c>
      <c r="C1957" t="s">
        <v>17</v>
      </c>
      <c r="D1957" t="s">
        <v>483</v>
      </c>
      <c r="E1957" s="52" t="s">
        <v>484</v>
      </c>
      <c r="F1957" t="s">
        <v>552</v>
      </c>
      <c r="G1957" s="21">
        <v>-4.6500000000000004</v>
      </c>
      <c r="H1957" s="21">
        <v>0</v>
      </c>
      <c r="I1957" s="21">
        <v>0</v>
      </c>
      <c r="J1957" s="21">
        <v>0</v>
      </c>
      <c r="K1957" s="21">
        <v>0.09</v>
      </c>
      <c r="L1957" s="21">
        <v>-4.5599999999999996</v>
      </c>
    </row>
    <row r="1958" spans="1:12" ht="30" x14ac:dyDescent="0.25">
      <c r="A1958" s="10">
        <v>1953</v>
      </c>
      <c r="B1958" t="s">
        <v>555</v>
      </c>
      <c r="C1958" t="s">
        <v>17</v>
      </c>
      <c r="D1958" t="s">
        <v>485</v>
      </c>
      <c r="E1958" s="52" t="s">
        <v>486</v>
      </c>
      <c r="F1958" t="s">
        <v>556</v>
      </c>
      <c r="G1958" s="21">
        <v>-0.08</v>
      </c>
      <c r="H1958" s="21">
        <v>0</v>
      </c>
      <c r="I1958" s="21">
        <v>0</v>
      </c>
      <c r="J1958" s="21">
        <v>0</v>
      </c>
      <c r="K1958" s="21">
        <v>0</v>
      </c>
      <c r="L1958" s="21">
        <v>-0.08</v>
      </c>
    </row>
    <row r="1959" spans="1:12" ht="30" x14ac:dyDescent="0.25">
      <c r="A1959" s="10">
        <v>1954</v>
      </c>
      <c r="B1959" t="s">
        <v>555</v>
      </c>
      <c r="C1959" t="s">
        <v>13</v>
      </c>
      <c r="D1959" t="s">
        <v>485</v>
      </c>
      <c r="E1959" s="52" t="s">
        <v>486</v>
      </c>
      <c r="F1959" t="s">
        <v>556</v>
      </c>
      <c r="G1959" s="21">
        <v>0</v>
      </c>
      <c r="H1959" s="21">
        <v>0</v>
      </c>
      <c r="I1959" s="21">
        <v>0</v>
      </c>
      <c r="J1959" s="21">
        <v>-0.01</v>
      </c>
      <c r="K1959" s="21">
        <v>0</v>
      </c>
      <c r="L1959" s="21">
        <v>-0.01</v>
      </c>
    </row>
    <row r="1960" spans="1:12" ht="30" x14ac:dyDescent="0.25">
      <c r="A1960" s="10">
        <v>1955</v>
      </c>
      <c r="B1960" t="s">
        <v>18</v>
      </c>
      <c r="C1960" t="s">
        <v>17</v>
      </c>
      <c r="D1960" t="s">
        <v>485</v>
      </c>
      <c r="E1960" s="52" t="s">
        <v>486</v>
      </c>
      <c r="F1960" t="s">
        <v>19</v>
      </c>
      <c r="G1960" s="21">
        <v>-0.01</v>
      </c>
      <c r="H1960" s="21">
        <v>0</v>
      </c>
      <c r="I1960" s="21">
        <v>0</v>
      </c>
      <c r="J1960" s="21">
        <v>0</v>
      </c>
      <c r="K1960" s="21">
        <v>0.01</v>
      </c>
      <c r="L1960" s="21">
        <v>0</v>
      </c>
    </row>
    <row r="1961" spans="1:12" ht="30" x14ac:dyDescent="0.25">
      <c r="A1961" s="10">
        <v>1956</v>
      </c>
      <c r="B1961" t="s">
        <v>550</v>
      </c>
      <c r="C1961" t="s">
        <v>13</v>
      </c>
      <c r="D1961" t="s">
        <v>485</v>
      </c>
      <c r="E1961" s="52" t="s">
        <v>486</v>
      </c>
      <c r="F1961" t="s">
        <v>551</v>
      </c>
      <c r="G1961" s="21">
        <v>0</v>
      </c>
      <c r="H1961" s="21">
        <v>0</v>
      </c>
      <c r="I1961" s="21">
        <v>0</v>
      </c>
      <c r="J1961" s="21">
        <v>-2.99</v>
      </c>
      <c r="K1961" s="21">
        <v>0</v>
      </c>
      <c r="L1961" s="21">
        <v>-2.99</v>
      </c>
    </row>
    <row r="1962" spans="1:12" ht="30" x14ac:dyDescent="0.25">
      <c r="A1962" s="10">
        <v>1957</v>
      </c>
      <c r="B1962" t="s">
        <v>550</v>
      </c>
      <c r="C1962" t="s">
        <v>13</v>
      </c>
      <c r="D1962" t="s">
        <v>485</v>
      </c>
      <c r="E1962" s="52" t="s">
        <v>486</v>
      </c>
      <c r="F1962" t="s">
        <v>551</v>
      </c>
      <c r="G1962" s="21">
        <v>0</v>
      </c>
      <c r="H1962" s="21">
        <v>0</v>
      </c>
      <c r="I1962" s="21">
        <v>0</v>
      </c>
      <c r="J1962" s="21">
        <v>-2606.75</v>
      </c>
      <c r="K1962" s="21">
        <v>0</v>
      </c>
      <c r="L1962" s="21">
        <v>-2606.75</v>
      </c>
    </row>
    <row r="1963" spans="1:12" ht="30" x14ac:dyDescent="0.25">
      <c r="A1963" s="10">
        <v>1958</v>
      </c>
      <c r="B1963" t="s">
        <v>550</v>
      </c>
      <c r="C1963" t="s">
        <v>17</v>
      </c>
      <c r="D1963" t="s">
        <v>485</v>
      </c>
      <c r="E1963" s="52" t="s">
        <v>486</v>
      </c>
      <c r="F1963" t="s">
        <v>551</v>
      </c>
      <c r="G1963" s="21">
        <v>-24.95</v>
      </c>
      <c r="H1963" s="21">
        <v>0</v>
      </c>
      <c r="I1963" s="21">
        <v>0</v>
      </c>
      <c r="J1963" s="21">
        <v>0</v>
      </c>
      <c r="K1963" s="21">
        <v>0.5</v>
      </c>
      <c r="L1963" s="21">
        <v>-24.45</v>
      </c>
    </row>
    <row r="1964" spans="1:12" ht="30" x14ac:dyDescent="0.25">
      <c r="A1964" s="10">
        <v>1959</v>
      </c>
      <c r="B1964" t="s">
        <v>550</v>
      </c>
      <c r="C1964" t="s">
        <v>17</v>
      </c>
      <c r="D1964" t="s">
        <v>485</v>
      </c>
      <c r="E1964" s="52" t="s">
        <v>486</v>
      </c>
      <c r="F1964" t="s">
        <v>551</v>
      </c>
      <c r="G1964" s="21">
        <v>-21722.880000000001</v>
      </c>
      <c r="H1964" s="21">
        <v>0</v>
      </c>
      <c r="I1964" s="21">
        <v>0</v>
      </c>
      <c r="J1964" s="21">
        <v>0</v>
      </c>
      <c r="K1964" s="21">
        <v>434.46</v>
      </c>
      <c r="L1964" s="21">
        <v>-21288.42</v>
      </c>
    </row>
    <row r="1965" spans="1:12" ht="30" x14ac:dyDescent="0.25">
      <c r="A1965" s="10">
        <v>1960</v>
      </c>
      <c r="B1965" t="s">
        <v>550</v>
      </c>
      <c r="C1965" t="s">
        <v>13</v>
      </c>
      <c r="D1965" t="s">
        <v>485</v>
      </c>
      <c r="E1965" s="52" t="s">
        <v>486</v>
      </c>
      <c r="F1965" t="s">
        <v>552</v>
      </c>
      <c r="G1965" s="21">
        <v>0</v>
      </c>
      <c r="H1965" s="21">
        <v>0</v>
      </c>
      <c r="I1965" s="21">
        <v>0</v>
      </c>
      <c r="J1965" s="21">
        <v>-0.19</v>
      </c>
      <c r="K1965" s="21">
        <v>0</v>
      </c>
      <c r="L1965" s="21">
        <v>-0.19</v>
      </c>
    </row>
    <row r="1966" spans="1:12" ht="30" x14ac:dyDescent="0.25">
      <c r="A1966" s="10">
        <v>1961</v>
      </c>
      <c r="B1966" t="s">
        <v>550</v>
      </c>
      <c r="C1966" t="s">
        <v>17</v>
      </c>
      <c r="D1966" t="s">
        <v>485</v>
      </c>
      <c r="E1966" s="52" t="s">
        <v>486</v>
      </c>
      <c r="F1966" t="s">
        <v>552</v>
      </c>
      <c r="G1966" s="21">
        <v>-1.56</v>
      </c>
      <c r="H1966" s="21">
        <v>0</v>
      </c>
      <c r="I1966" s="21">
        <v>0</v>
      </c>
      <c r="J1966" s="21">
        <v>0</v>
      </c>
      <c r="K1966" s="21">
        <v>0.03</v>
      </c>
      <c r="L1966" s="21">
        <v>-1.53</v>
      </c>
    </row>
    <row r="1967" spans="1:12" ht="30" x14ac:dyDescent="0.25">
      <c r="A1967" s="10">
        <v>1962</v>
      </c>
      <c r="B1967" t="s">
        <v>555</v>
      </c>
      <c r="C1967" t="s">
        <v>17</v>
      </c>
      <c r="D1967" t="s">
        <v>487</v>
      </c>
      <c r="E1967" s="52" t="s">
        <v>488</v>
      </c>
      <c r="F1967" t="s">
        <v>556</v>
      </c>
      <c r="G1967" s="21">
        <v>0</v>
      </c>
      <c r="H1967" s="21">
        <v>0</v>
      </c>
      <c r="I1967" s="21">
        <v>-11.5</v>
      </c>
      <c r="J1967" s="21">
        <v>0</v>
      </c>
      <c r="K1967" s="21">
        <v>0.23</v>
      </c>
      <c r="L1967" s="21">
        <v>-11.27</v>
      </c>
    </row>
    <row r="1968" spans="1:12" ht="30" x14ac:dyDescent="0.25">
      <c r="A1968" s="10">
        <v>1963</v>
      </c>
      <c r="B1968" t="s">
        <v>557</v>
      </c>
      <c r="C1968" t="s">
        <v>17</v>
      </c>
      <c r="D1968" t="s">
        <v>487</v>
      </c>
      <c r="E1968" s="52" t="s">
        <v>488</v>
      </c>
      <c r="F1968" t="s">
        <v>558</v>
      </c>
      <c r="G1968" s="21">
        <v>0</v>
      </c>
      <c r="H1968" s="21">
        <v>0</v>
      </c>
      <c r="I1968" s="21">
        <v>-1.57</v>
      </c>
      <c r="J1968" s="21">
        <v>0</v>
      </c>
      <c r="K1968" s="21">
        <v>0.03</v>
      </c>
      <c r="L1968" s="21">
        <v>-1.54</v>
      </c>
    </row>
    <row r="1969" spans="1:12" ht="30" x14ac:dyDescent="0.25">
      <c r="A1969" s="10">
        <v>1964</v>
      </c>
      <c r="B1969" t="s">
        <v>18</v>
      </c>
      <c r="C1969" t="s">
        <v>17</v>
      </c>
      <c r="D1969" t="s">
        <v>487</v>
      </c>
      <c r="E1969" s="52" t="s">
        <v>488</v>
      </c>
      <c r="F1969" t="s">
        <v>19</v>
      </c>
      <c r="G1969" s="21">
        <v>0</v>
      </c>
      <c r="H1969" s="21">
        <v>0</v>
      </c>
      <c r="I1969" s="21">
        <v>-0.09</v>
      </c>
      <c r="J1969" s="21">
        <v>0</v>
      </c>
      <c r="K1969" s="21">
        <v>0.01</v>
      </c>
      <c r="L1969" s="21">
        <v>-0.08</v>
      </c>
    </row>
    <row r="1970" spans="1:12" ht="30" x14ac:dyDescent="0.25">
      <c r="A1970" s="10">
        <v>1965</v>
      </c>
      <c r="B1970" t="s">
        <v>550</v>
      </c>
      <c r="C1970" t="s">
        <v>17</v>
      </c>
      <c r="D1970" t="s">
        <v>487</v>
      </c>
      <c r="E1970" s="52" t="s">
        <v>488</v>
      </c>
      <c r="F1970" t="s">
        <v>551</v>
      </c>
      <c r="G1970" s="21">
        <v>0</v>
      </c>
      <c r="H1970" s="21">
        <v>0</v>
      </c>
      <c r="I1970" s="21">
        <v>-1556.11</v>
      </c>
      <c r="J1970" s="21">
        <v>0</v>
      </c>
      <c r="K1970" s="21">
        <v>31.12</v>
      </c>
      <c r="L1970" s="21">
        <v>-1524.99</v>
      </c>
    </row>
    <row r="1971" spans="1:12" ht="30" x14ac:dyDescent="0.25">
      <c r="A1971" s="10">
        <v>1966</v>
      </c>
      <c r="B1971" t="s">
        <v>550</v>
      </c>
      <c r="C1971" t="s">
        <v>17</v>
      </c>
      <c r="D1971" t="s">
        <v>487</v>
      </c>
      <c r="E1971" s="52" t="s">
        <v>488</v>
      </c>
      <c r="F1971" t="s">
        <v>552</v>
      </c>
      <c r="G1971" s="21">
        <v>0</v>
      </c>
      <c r="H1971" s="21">
        <v>0</v>
      </c>
      <c r="I1971" s="21">
        <v>-0.11</v>
      </c>
      <c r="J1971" s="21">
        <v>0</v>
      </c>
      <c r="K1971" s="21">
        <v>0</v>
      </c>
      <c r="L1971" s="21">
        <v>-0.11</v>
      </c>
    </row>
    <row r="1972" spans="1:12" x14ac:dyDescent="0.25">
      <c r="A1972" s="10">
        <v>1967</v>
      </c>
      <c r="B1972" t="s">
        <v>559</v>
      </c>
      <c r="C1972" t="s">
        <v>17</v>
      </c>
      <c r="D1972" t="s">
        <v>489</v>
      </c>
      <c r="E1972" s="52" t="s">
        <v>490</v>
      </c>
      <c r="F1972" t="s">
        <v>560</v>
      </c>
      <c r="G1972" s="21">
        <v>-0.26</v>
      </c>
      <c r="H1972" s="21">
        <v>0</v>
      </c>
      <c r="I1972" s="21">
        <v>0</v>
      </c>
      <c r="J1972" s="21">
        <v>0</v>
      </c>
      <c r="K1972" s="21">
        <v>0.01</v>
      </c>
      <c r="L1972" s="21">
        <v>-0.25</v>
      </c>
    </row>
    <row r="1973" spans="1:12" x14ac:dyDescent="0.25">
      <c r="A1973" s="10">
        <v>1968</v>
      </c>
      <c r="B1973" t="s">
        <v>559</v>
      </c>
      <c r="C1973" t="s">
        <v>13</v>
      </c>
      <c r="D1973" t="s">
        <v>489</v>
      </c>
      <c r="E1973" s="52" t="s">
        <v>490</v>
      </c>
      <c r="F1973" t="s">
        <v>560</v>
      </c>
      <c r="G1973" s="21">
        <v>0</v>
      </c>
      <c r="H1973" s="21">
        <v>0</v>
      </c>
      <c r="I1973" s="21">
        <v>0</v>
      </c>
      <c r="J1973" s="21">
        <v>-0.03</v>
      </c>
      <c r="K1973" s="21">
        <v>0</v>
      </c>
      <c r="L1973" s="21">
        <v>-0.03</v>
      </c>
    </row>
    <row r="1974" spans="1:12" x14ac:dyDescent="0.25">
      <c r="A1974" s="10">
        <v>1969</v>
      </c>
      <c r="B1974" t="s">
        <v>18</v>
      </c>
      <c r="C1974" t="s">
        <v>17</v>
      </c>
      <c r="D1974" t="s">
        <v>489</v>
      </c>
      <c r="E1974" s="52" t="s">
        <v>490</v>
      </c>
      <c r="F1974" t="s">
        <v>19</v>
      </c>
      <c r="G1974" s="21">
        <v>0</v>
      </c>
      <c r="H1974" s="21">
        <v>0</v>
      </c>
      <c r="I1974" s="21">
        <v>0</v>
      </c>
      <c r="J1974" s="21">
        <v>0</v>
      </c>
      <c r="K1974" s="21">
        <v>0</v>
      </c>
      <c r="L1974" s="21">
        <v>0</v>
      </c>
    </row>
    <row r="1975" spans="1:12" x14ac:dyDescent="0.25">
      <c r="A1975" s="10">
        <v>1970</v>
      </c>
      <c r="B1975" t="s">
        <v>550</v>
      </c>
      <c r="C1975" t="s">
        <v>13</v>
      </c>
      <c r="D1975" t="s">
        <v>489</v>
      </c>
      <c r="E1975" s="52" t="s">
        <v>490</v>
      </c>
      <c r="F1975" t="s">
        <v>551</v>
      </c>
      <c r="G1975" s="21">
        <v>0</v>
      </c>
      <c r="H1975" s="21">
        <v>0</v>
      </c>
      <c r="I1975" s="21">
        <v>0</v>
      </c>
      <c r="J1975" s="21">
        <v>-54890.95</v>
      </c>
      <c r="K1975" s="21">
        <v>0</v>
      </c>
      <c r="L1975" s="21">
        <v>-54890.95</v>
      </c>
    </row>
    <row r="1976" spans="1:12" x14ac:dyDescent="0.25">
      <c r="A1976" s="10">
        <v>1971</v>
      </c>
      <c r="B1976" t="s">
        <v>550</v>
      </c>
      <c r="C1976" t="s">
        <v>13</v>
      </c>
      <c r="D1976" t="s">
        <v>489</v>
      </c>
      <c r="E1976" s="52" t="s">
        <v>490</v>
      </c>
      <c r="F1976" t="s">
        <v>551</v>
      </c>
      <c r="G1976" s="21">
        <v>0</v>
      </c>
      <c r="H1976" s="21">
        <v>0</v>
      </c>
      <c r="I1976" s="21">
        <v>0</v>
      </c>
      <c r="J1976" s="21">
        <v>-23.78</v>
      </c>
      <c r="K1976" s="21">
        <v>0</v>
      </c>
      <c r="L1976" s="21">
        <v>-23.78</v>
      </c>
    </row>
    <row r="1977" spans="1:12" x14ac:dyDescent="0.25">
      <c r="A1977" s="10">
        <v>1972</v>
      </c>
      <c r="B1977" t="s">
        <v>550</v>
      </c>
      <c r="C1977" t="s">
        <v>17</v>
      </c>
      <c r="D1977" t="s">
        <v>489</v>
      </c>
      <c r="E1977" s="52" t="s">
        <v>490</v>
      </c>
      <c r="F1977" t="s">
        <v>551</v>
      </c>
      <c r="G1977" s="21">
        <v>-457424.59</v>
      </c>
      <c r="H1977" s="21">
        <v>0</v>
      </c>
      <c r="I1977" s="21">
        <v>0</v>
      </c>
      <c r="J1977" s="21">
        <v>0</v>
      </c>
      <c r="K1977" s="21">
        <v>9148.49</v>
      </c>
      <c r="L1977" s="21">
        <v>-448276.1</v>
      </c>
    </row>
    <row r="1978" spans="1:12" x14ac:dyDescent="0.25">
      <c r="A1978" s="10">
        <v>1973</v>
      </c>
      <c r="B1978" t="s">
        <v>550</v>
      </c>
      <c r="C1978" t="s">
        <v>17</v>
      </c>
      <c r="D1978" t="s">
        <v>489</v>
      </c>
      <c r="E1978" s="52" t="s">
        <v>490</v>
      </c>
      <c r="F1978" t="s">
        <v>551</v>
      </c>
      <c r="G1978" s="21">
        <v>-198.14</v>
      </c>
      <c r="H1978" s="21">
        <v>0</v>
      </c>
      <c r="I1978" s="21">
        <v>0</v>
      </c>
      <c r="J1978" s="21">
        <v>0</v>
      </c>
      <c r="K1978" s="21">
        <v>3.96</v>
      </c>
      <c r="L1978" s="21">
        <v>-194.18</v>
      </c>
    </row>
    <row r="1979" spans="1:12" x14ac:dyDescent="0.25">
      <c r="A1979" s="10">
        <v>1974</v>
      </c>
      <c r="B1979" t="s">
        <v>550</v>
      </c>
      <c r="C1979" t="s">
        <v>13</v>
      </c>
      <c r="D1979" t="s">
        <v>489</v>
      </c>
      <c r="E1979" s="52" t="s">
        <v>490</v>
      </c>
      <c r="F1979" t="s">
        <v>552</v>
      </c>
      <c r="G1979" s="21">
        <v>0</v>
      </c>
      <c r="H1979" s="21">
        <v>0</v>
      </c>
      <c r="I1979" s="21">
        <v>0</v>
      </c>
      <c r="J1979" s="21">
        <v>-3.95</v>
      </c>
      <c r="K1979" s="21">
        <v>0</v>
      </c>
      <c r="L1979" s="21">
        <v>-3.95</v>
      </c>
    </row>
    <row r="1980" spans="1:12" x14ac:dyDescent="0.25">
      <c r="A1980" s="10">
        <v>1975</v>
      </c>
      <c r="B1980" t="s">
        <v>550</v>
      </c>
      <c r="C1980" t="s">
        <v>13</v>
      </c>
      <c r="D1980" t="s">
        <v>489</v>
      </c>
      <c r="E1980" s="52" t="s">
        <v>490</v>
      </c>
      <c r="F1980" t="s">
        <v>552</v>
      </c>
      <c r="G1980" s="21">
        <v>0</v>
      </c>
      <c r="H1980" s="21">
        <v>0</v>
      </c>
      <c r="I1980" s="21">
        <v>0</v>
      </c>
      <c r="J1980" s="21">
        <v>0</v>
      </c>
      <c r="K1980" s="21">
        <v>0</v>
      </c>
      <c r="L1980" s="21">
        <v>0</v>
      </c>
    </row>
    <row r="1981" spans="1:12" x14ac:dyDescent="0.25">
      <c r="A1981" s="10">
        <v>1976</v>
      </c>
      <c r="B1981" t="s">
        <v>550</v>
      </c>
      <c r="C1981" t="s">
        <v>17</v>
      </c>
      <c r="D1981" t="s">
        <v>489</v>
      </c>
      <c r="E1981" s="52" t="s">
        <v>490</v>
      </c>
      <c r="F1981" t="s">
        <v>552</v>
      </c>
      <c r="G1981" s="21">
        <v>-32.9</v>
      </c>
      <c r="H1981" s="21">
        <v>0</v>
      </c>
      <c r="I1981" s="21">
        <v>0</v>
      </c>
      <c r="J1981" s="21">
        <v>0</v>
      </c>
      <c r="K1981" s="21">
        <v>0.66</v>
      </c>
      <c r="L1981" s="21">
        <v>-32.24</v>
      </c>
    </row>
    <row r="1982" spans="1:12" x14ac:dyDescent="0.25">
      <c r="A1982" s="10">
        <v>1977</v>
      </c>
      <c r="B1982" t="s">
        <v>550</v>
      </c>
      <c r="C1982" t="s">
        <v>17</v>
      </c>
      <c r="D1982" t="s">
        <v>489</v>
      </c>
      <c r="E1982" s="52" t="s">
        <v>490</v>
      </c>
      <c r="F1982" t="s">
        <v>552</v>
      </c>
      <c r="G1982" s="21">
        <v>-0.01</v>
      </c>
      <c r="H1982" s="21">
        <v>0</v>
      </c>
      <c r="I1982" s="21">
        <v>0</v>
      </c>
      <c r="J1982" s="21">
        <v>0</v>
      </c>
      <c r="K1982" s="21">
        <v>0</v>
      </c>
      <c r="L1982" s="21">
        <v>-0.01</v>
      </c>
    </row>
    <row r="1983" spans="1:12" ht="45" x14ac:dyDescent="0.25">
      <c r="A1983" s="10">
        <v>1978</v>
      </c>
      <c r="B1983" t="s">
        <v>550</v>
      </c>
      <c r="C1983" t="s">
        <v>17</v>
      </c>
      <c r="D1983" t="s">
        <v>642</v>
      </c>
      <c r="E1983" s="52" t="s">
        <v>492</v>
      </c>
      <c r="F1983" t="s">
        <v>551</v>
      </c>
      <c r="G1983" s="21">
        <v>0</v>
      </c>
      <c r="H1983" s="21">
        <v>0</v>
      </c>
      <c r="I1983" s="21">
        <v>-0.46</v>
      </c>
      <c r="J1983" s="21">
        <v>0</v>
      </c>
      <c r="K1983" s="21">
        <v>0.01</v>
      </c>
      <c r="L1983" s="21">
        <v>-0.45</v>
      </c>
    </row>
    <row r="1984" spans="1:12" ht="30" x14ac:dyDescent="0.25">
      <c r="A1984" s="10">
        <v>1979</v>
      </c>
      <c r="B1984" t="s">
        <v>555</v>
      </c>
      <c r="C1984" t="s">
        <v>17</v>
      </c>
      <c r="D1984" t="s">
        <v>493</v>
      </c>
      <c r="E1984" s="52" t="s">
        <v>494</v>
      </c>
      <c r="F1984" t="s">
        <v>556</v>
      </c>
      <c r="G1984" s="21">
        <v>-0.52</v>
      </c>
      <c r="H1984" s="21">
        <v>0</v>
      </c>
      <c r="I1984" s="21">
        <v>0</v>
      </c>
      <c r="J1984" s="21">
        <v>0</v>
      </c>
      <c r="K1984" s="21">
        <v>0.01</v>
      </c>
      <c r="L1984" s="21">
        <v>-0.51</v>
      </c>
    </row>
    <row r="1985" spans="1:12" ht="30" x14ac:dyDescent="0.25">
      <c r="A1985" s="10">
        <v>1980</v>
      </c>
      <c r="B1985" t="s">
        <v>555</v>
      </c>
      <c r="C1985" t="s">
        <v>13</v>
      </c>
      <c r="D1985" t="s">
        <v>493</v>
      </c>
      <c r="E1985" s="52" t="s">
        <v>494</v>
      </c>
      <c r="F1985" t="s">
        <v>556</v>
      </c>
      <c r="G1985" s="21">
        <v>0</v>
      </c>
      <c r="H1985" s="21">
        <v>0</v>
      </c>
      <c r="I1985" s="21">
        <v>0</v>
      </c>
      <c r="J1985" s="21">
        <v>-0.06</v>
      </c>
      <c r="K1985" s="21">
        <v>0</v>
      </c>
      <c r="L1985" s="21">
        <v>-0.06</v>
      </c>
    </row>
    <row r="1986" spans="1:12" ht="30" x14ac:dyDescent="0.25">
      <c r="A1986" s="10">
        <v>1981</v>
      </c>
      <c r="B1986" t="s">
        <v>20</v>
      </c>
      <c r="C1986" t="s">
        <v>13</v>
      </c>
      <c r="D1986" t="s">
        <v>493</v>
      </c>
      <c r="E1986" s="52" t="s">
        <v>494</v>
      </c>
      <c r="F1986" t="s">
        <v>21</v>
      </c>
      <c r="G1986" s="21">
        <v>0</v>
      </c>
      <c r="H1986" s="21">
        <v>0</v>
      </c>
      <c r="I1986" s="21">
        <v>0</v>
      </c>
      <c r="J1986" s="21">
        <v>-0.02</v>
      </c>
      <c r="K1986" s="21">
        <v>0</v>
      </c>
      <c r="L1986" s="21">
        <v>-0.02</v>
      </c>
    </row>
    <row r="1987" spans="1:12" ht="30" x14ac:dyDescent="0.25">
      <c r="A1987" s="10">
        <v>1982</v>
      </c>
      <c r="B1987" t="s">
        <v>22</v>
      </c>
      <c r="C1987" t="s">
        <v>13</v>
      </c>
      <c r="D1987" t="s">
        <v>493</v>
      </c>
      <c r="E1987" s="52" t="s">
        <v>494</v>
      </c>
      <c r="F1987" t="s">
        <v>23</v>
      </c>
      <c r="G1987" s="21">
        <v>0</v>
      </c>
      <c r="H1987" s="21">
        <v>0</v>
      </c>
      <c r="I1987" s="21">
        <v>0</v>
      </c>
      <c r="J1987" s="21">
        <v>-0.02</v>
      </c>
      <c r="K1987" s="21">
        <v>0</v>
      </c>
      <c r="L1987" s="21">
        <v>-0.02</v>
      </c>
    </row>
    <row r="1988" spans="1:12" ht="30" x14ac:dyDescent="0.25">
      <c r="A1988" s="10">
        <v>1983</v>
      </c>
      <c r="B1988" t="s">
        <v>22</v>
      </c>
      <c r="C1988" t="s">
        <v>13</v>
      </c>
      <c r="D1988" t="s">
        <v>493</v>
      </c>
      <c r="E1988" s="52" t="s">
        <v>494</v>
      </c>
      <c r="F1988" t="s">
        <v>24</v>
      </c>
      <c r="G1988" s="21">
        <v>0</v>
      </c>
      <c r="H1988" s="21">
        <v>0</v>
      </c>
      <c r="I1988" s="21">
        <v>0</v>
      </c>
      <c r="J1988" s="21">
        <v>0</v>
      </c>
      <c r="K1988" s="21">
        <v>0</v>
      </c>
      <c r="L1988" s="21">
        <v>0</v>
      </c>
    </row>
    <row r="1989" spans="1:12" ht="30" x14ac:dyDescent="0.25">
      <c r="A1989" s="10">
        <v>1984</v>
      </c>
      <c r="B1989" t="s">
        <v>550</v>
      </c>
      <c r="C1989" t="s">
        <v>13</v>
      </c>
      <c r="D1989" t="s">
        <v>493</v>
      </c>
      <c r="E1989" s="52" t="s">
        <v>494</v>
      </c>
      <c r="F1989" t="s">
        <v>551</v>
      </c>
      <c r="G1989" s="21">
        <v>0</v>
      </c>
      <c r="H1989" s="21">
        <v>0</v>
      </c>
      <c r="I1989" s="21">
        <v>0</v>
      </c>
      <c r="J1989" s="21">
        <v>-0.2</v>
      </c>
      <c r="K1989" s="21">
        <v>0</v>
      </c>
      <c r="L1989" s="21">
        <v>-0.2</v>
      </c>
    </row>
    <row r="1990" spans="1:12" ht="30" x14ac:dyDescent="0.25">
      <c r="A1990" s="10">
        <v>1985</v>
      </c>
      <c r="B1990" t="s">
        <v>550</v>
      </c>
      <c r="C1990" t="s">
        <v>17</v>
      </c>
      <c r="D1990" t="s">
        <v>493</v>
      </c>
      <c r="E1990" s="52" t="s">
        <v>494</v>
      </c>
      <c r="F1990" t="s">
        <v>551</v>
      </c>
      <c r="G1990" s="21">
        <v>-1.64</v>
      </c>
      <c r="H1990" s="21">
        <v>0</v>
      </c>
      <c r="I1990" s="21">
        <v>0</v>
      </c>
      <c r="J1990" s="21">
        <v>0</v>
      </c>
      <c r="K1990" s="21">
        <v>0.03</v>
      </c>
      <c r="L1990" s="21">
        <v>-1.61</v>
      </c>
    </row>
    <row r="1991" spans="1:12" ht="30" x14ac:dyDescent="0.25">
      <c r="A1991" s="10">
        <v>1986</v>
      </c>
      <c r="B1991" t="s">
        <v>18</v>
      </c>
      <c r="C1991" t="s">
        <v>17</v>
      </c>
      <c r="D1991" t="s">
        <v>495</v>
      </c>
      <c r="E1991" s="52" t="s">
        <v>496</v>
      </c>
      <c r="F1991" t="s">
        <v>19</v>
      </c>
      <c r="G1991" s="21">
        <v>0</v>
      </c>
      <c r="H1991" s="21">
        <v>0</v>
      </c>
      <c r="I1991" s="21">
        <v>0</v>
      </c>
      <c r="J1991" s="21">
        <v>0</v>
      </c>
      <c r="K1991" s="21">
        <v>0</v>
      </c>
      <c r="L1991" s="21">
        <v>0</v>
      </c>
    </row>
    <row r="1992" spans="1:12" ht="30" x14ac:dyDescent="0.25">
      <c r="A1992" s="10">
        <v>1987</v>
      </c>
      <c r="B1992" t="s">
        <v>33</v>
      </c>
      <c r="C1992" t="s">
        <v>17</v>
      </c>
      <c r="D1992" t="s">
        <v>643</v>
      </c>
      <c r="E1992" s="52" t="s">
        <v>496</v>
      </c>
      <c r="F1992" t="s">
        <v>34</v>
      </c>
      <c r="G1992" s="21">
        <v>0</v>
      </c>
      <c r="H1992" s="21">
        <v>0</v>
      </c>
      <c r="I1992" s="21">
        <v>-7.07</v>
      </c>
      <c r="J1992" s="21">
        <v>0</v>
      </c>
      <c r="K1992" s="21">
        <v>0.14000000000000001</v>
      </c>
      <c r="L1992" s="21">
        <v>-6.93</v>
      </c>
    </row>
    <row r="1993" spans="1:12" ht="30" x14ac:dyDescent="0.25">
      <c r="A1993" s="10">
        <v>1988</v>
      </c>
      <c r="B1993" t="s">
        <v>33</v>
      </c>
      <c r="C1993" t="s">
        <v>49</v>
      </c>
      <c r="D1993" t="s">
        <v>643</v>
      </c>
      <c r="E1993" s="52" t="s">
        <v>496</v>
      </c>
      <c r="F1993" t="s">
        <v>34</v>
      </c>
      <c r="G1993" s="21">
        <v>0</v>
      </c>
      <c r="H1993" s="21">
        <v>0</v>
      </c>
      <c r="I1993" s="21">
        <v>-0.01</v>
      </c>
      <c r="J1993" s="21">
        <v>0</v>
      </c>
      <c r="K1993" s="21">
        <v>0</v>
      </c>
      <c r="L1993" s="21">
        <v>-0.01</v>
      </c>
    </row>
    <row r="1994" spans="1:12" ht="30" x14ac:dyDescent="0.25">
      <c r="A1994" s="10">
        <v>1989</v>
      </c>
      <c r="B1994" t="s">
        <v>584</v>
      </c>
      <c r="C1994" t="s">
        <v>17</v>
      </c>
      <c r="D1994" t="s">
        <v>643</v>
      </c>
      <c r="E1994" s="52" t="s">
        <v>496</v>
      </c>
      <c r="F1994" t="s">
        <v>585</v>
      </c>
      <c r="G1994" s="21">
        <v>0</v>
      </c>
      <c r="H1994" s="21">
        <v>0</v>
      </c>
      <c r="I1994" s="21">
        <v>-7.07</v>
      </c>
      <c r="J1994" s="21">
        <v>0</v>
      </c>
      <c r="K1994" s="21">
        <v>0.14000000000000001</v>
      </c>
      <c r="L1994" s="21">
        <v>-6.93</v>
      </c>
    </row>
    <row r="1995" spans="1:12" ht="30" x14ac:dyDescent="0.25">
      <c r="A1995" s="10">
        <v>1990</v>
      </c>
      <c r="B1995" t="s">
        <v>584</v>
      </c>
      <c r="C1995" t="s">
        <v>49</v>
      </c>
      <c r="D1995" t="s">
        <v>643</v>
      </c>
      <c r="E1995" s="52" t="s">
        <v>496</v>
      </c>
      <c r="F1995" t="s">
        <v>585</v>
      </c>
      <c r="G1995" s="21">
        <v>0</v>
      </c>
      <c r="H1995" s="21">
        <v>0</v>
      </c>
      <c r="I1995" s="21">
        <v>-0.01</v>
      </c>
      <c r="J1995" s="21">
        <v>0</v>
      </c>
      <c r="K1995" s="21">
        <v>0</v>
      </c>
      <c r="L1995" s="21">
        <v>-0.01</v>
      </c>
    </row>
    <row r="1996" spans="1:12" ht="30" x14ac:dyDescent="0.25">
      <c r="A1996" s="10">
        <v>1991</v>
      </c>
      <c r="B1996" t="s">
        <v>22</v>
      </c>
      <c r="C1996" t="s">
        <v>17</v>
      </c>
      <c r="D1996" t="s">
        <v>643</v>
      </c>
      <c r="E1996" s="52" t="s">
        <v>496</v>
      </c>
      <c r="F1996" t="s">
        <v>23</v>
      </c>
      <c r="G1996" s="21">
        <v>0</v>
      </c>
      <c r="H1996" s="21">
        <v>0</v>
      </c>
      <c r="I1996" s="21">
        <v>-9.69</v>
      </c>
      <c r="J1996" s="21">
        <v>0</v>
      </c>
      <c r="K1996" s="21">
        <v>0.19</v>
      </c>
      <c r="L1996" s="21">
        <v>-9.5</v>
      </c>
    </row>
    <row r="1997" spans="1:12" ht="30" x14ac:dyDescent="0.25">
      <c r="A1997" s="10">
        <v>1992</v>
      </c>
      <c r="B1997" t="s">
        <v>22</v>
      </c>
      <c r="C1997" t="s">
        <v>49</v>
      </c>
      <c r="D1997" t="s">
        <v>643</v>
      </c>
      <c r="E1997" s="52" t="s">
        <v>496</v>
      </c>
      <c r="F1997" t="s">
        <v>23</v>
      </c>
      <c r="G1997" s="21">
        <v>0</v>
      </c>
      <c r="H1997" s="21">
        <v>0</v>
      </c>
      <c r="I1997" s="21">
        <v>-0.01</v>
      </c>
      <c r="J1997" s="21">
        <v>0</v>
      </c>
      <c r="K1997" s="21">
        <v>0</v>
      </c>
      <c r="L1997" s="21">
        <v>-0.01</v>
      </c>
    </row>
    <row r="1998" spans="1:12" ht="30" x14ac:dyDescent="0.25">
      <c r="A1998" s="10">
        <v>1993</v>
      </c>
      <c r="B1998" t="s">
        <v>22</v>
      </c>
      <c r="C1998" t="s">
        <v>17</v>
      </c>
      <c r="D1998" t="s">
        <v>643</v>
      </c>
      <c r="E1998" s="52" t="s">
        <v>496</v>
      </c>
      <c r="F1998" t="s">
        <v>23</v>
      </c>
      <c r="G1998" s="21">
        <v>0</v>
      </c>
      <c r="H1998" s="21">
        <v>0</v>
      </c>
      <c r="I1998" s="21">
        <v>-33.79</v>
      </c>
      <c r="J1998" s="21">
        <v>0</v>
      </c>
      <c r="K1998" s="21">
        <v>0.68</v>
      </c>
      <c r="L1998" s="21">
        <v>-33.11</v>
      </c>
    </row>
    <row r="1999" spans="1:12" ht="30" x14ac:dyDescent="0.25">
      <c r="A1999" s="10">
        <v>1994</v>
      </c>
      <c r="B1999" t="s">
        <v>22</v>
      </c>
      <c r="C1999" t="s">
        <v>49</v>
      </c>
      <c r="D1999" t="s">
        <v>643</v>
      </c>
      <c r="E1999" s="52" t="s">
        <v>496</v>
      </c>
      <c r="F1999" t="s">
        <v>23</v>
      </c>
      <c r="G1999" s="21">
        <v>0</v>
      </c>
      <c r="H1999" s="21">
        <v>0</v>
      </c>
      <c r="I1999" s="21">
        <v>-0.12</v>
      </c>
      <c r="J1999" s="21">
        <v>0</v>
      </c>
      <c r="K1999" s="21">
        <v>0</v>
      </c>
      <c r="L1999" s="21">
        <v>-0.12</v>
      </c>
    </row>
    <row r="2000" spans="1:12" ht="30" x14ac:dyDescent="0.25">
      <c r="A2000" s="10">
        <v>1995</v>
      </c>
      <c r="B2000" t="s">
        <v>22</v>
      </c>
      <c r="C2000" t="s">
        <v>17</v>
      </c>
      <c r="D2000" t="s">
        <v>643</v>
      </c>
      <c r="E2000" s="52" t="s">
        <v>496</v>
      </c>
      <c r="F2000" t="s">
        <v>23</v>
      </c>
      <c r="G2000" s="21">
        <v>0</v>
      </c>
      <c r="H2000" s="21">
        <v>0</v>
      </c>
      <c r="I2000" s="21">
        <v>-0.12</v>
      </c>
      <c r="J2000" s="21">
        <v>0</v>
      </c>
      <c r="K2000" s="21">
        <v>0</v>
      </c>
      <c r="L2000" s="21">
        <v>-0.12</v>
      </c>
    </row>
    <row r="2001" spans="1:12" ht="30" x14ac:dyDescent="0.25">
      <c r="A2001" s="10">
        <v>1996</v>
      </c>
      <c r="B2001" t="s">
        <v>22</v>
      </c>
      <c r="C2001" t="s">
        <v>17</v>
      </c>
      <c r="D2001" t="s">
        <v>643</v>
      </c>
      <c r="E2001" s="52" t="s">
        <v>496</v>
      </c>
      <c r="F2001" t="s">
        <v>23</v>
      </c>
      <c r="G2001" s="21">
        <v>0</v>
      </c>
      <c r="H2001" s="21">
        <v>0</v>
      </c>
      <c r="I2001" s="21">
        <v>-0.01</v>
      </c>
      <c r="J2001" s="21">
        <v>0</v>
      </c>
      <c r="K2001" s="21">
        <v>0</v>
      </c>
      <c r="L2001" s="21">
        <v>-0.01</v>
      </c>
    </row>
    <row r="2002" spans="1:12" ht="30" x14ac:dyDescent="0.25">
      <c r="A2002" s="10">
        <v>1997</v>
      </c>
      <c r="B2002" t="s">
        <v>22</v>
      </c>
      <c r="C2002" t="s">
        <v>17</v>
      </c>
      <c r="D2002" t="s">
        <v>643</v>
      </c>
      <c r="E2002" s="52" t="s">
        <v>496</v>
      </c>
      <c r="F2002" t="s">
        <v>24</v>
      </c>
      <c r="G2002" s="21">
        <v>0</v>
      </c>
      <c r="H2002" s="21">
        <v>0</v>
      </c>
      <c r="I2002" s="21">
        <v>-0.02</v>
      </c>
      <c r="J2002" s="21">
        <v>0</v>
      </c>
      <c r="K2002" s="21">
        <v>0</v>
      </c>
      <c r="L2002" s="21">
        <v>-0.02</v>
      </c>
    </row>
    <row r="2003" spans="1:12" ht="30" x14ac:dyDescent="0.25">
      <c r="A2003" s="10">
        <v>1998</v>
      </c>
      <c r="B2003" t="s">
        <v>22</v>
      </c>
      <c r="C2003" t="s">
        <v>17</v>
      </c>
      <c r="D2003" t="s">
        <v>643</v>
      </c>
      <c r="E2003" s="52" t="s">
        <v>496</v>
      </c>
      <c r="F2003" t="s">
        <v>24</v>
      </c>
      <c r="G2003" s="21">
        <v>0</v>
      </c>
      <c r="H2003" s="21">
        <v>0</v>
      </c>
      <c r="I2003" s="21">
        <v>-7.0000000000000007E-2</v>
      </c>
      <c r="J2003" s="21">
        <v>0</v>
      </c>
      <c r="K2003" s="21">
        <v>0</v>
      </c>
      <c r="L2003" s="21">
        <v>-7.0000000000000007E-2</v>
      </c>
    </row>
    <row r="2004" spans="1:12" ht="30" x14ac:dyDescent="0.25">
      <c r="A2004" s="10">
        <v>1999</v>
      </c>
      <c r="B2004" t="s">
        <v>22</v>
      </c>
      <c r="C2004" t="s">
        <v>17</v>
      </c>
      <c r="D2004" t="s">
        <v>643</v>
      </c>
      <c r="E2004" s="52" t="s">
        <v>496</v>
      </c>
      <c r="F2004" t="s">
        <v>24</v>
      </c>
      <c r="G2004" s="21">
        <v>0</v>
      </c>
      <c r="H2004" s="21">
        <v>0</v>
      </c>
      <c r="I2004" s="21">
        <v>0</v>
      </c>
      <c r="J2004" s="21">
        <v>0</v>
      </c>
      <c r="K2004" s="21">
        <v>0</v>
      </c>
      <c r="L2004" s="21">
        <v>0</v>
      </c>
    </row>
    <row r="2005" spans="1:12" ht="30" x14ac:dyDescent="0.25">
      <c r="A2005" s="10">
        <v>2000</v>
      </c>
      <c r="B2005" t="s">
        <v>22</v>
      </c>
      <c r="C2005" t="s">
        <v>17</v>
      </c>
      <c r="D2005" t="s">
        <v>643</v>
      </c>
      <c r="E2005" s="52" t="s">
        <v>496</v>
      </c>
      <c r="F2005" t="s">
        <v>24</v>
      </c>
      <c r="G2005" s="21">
        <v>0</v>
      </c>
      <c r="H2005" s="21">
        <v>0</v>
      </c>
      <c r="I2005" s="21">
        <v>0</v>
      </c>
      <c r="J2005" s="21">
        <v>0</v>
      </c>
      <c r="K2005" s="21">
        <v>0</v>
      </c>
      <c r="L2005" s="21">
        <v>0</v>
      </c>
    </row>
    <row r="2006" spans="1:12" ht="60" x14ac:dyDescent="0.25">
      <c r="A2006" s="10">
        <v>2001</v>
      </c>
      <c r="B2006" t="s">
        <v>18</v>
      </c>
      <c r="C2006" t="s">
        <v>17</v>
      </c>
      <c r="D2006" t="s">
        <v>497</v>
      </c>
      <c r="E2006" s="52" t="s">
        <v>498</v>
      </c>
      <c r="F2006" t="s">
        <v>19</v>
      </c>
      <c r="G2006" s="21">
        <v>-0.05</v>
      </c>
      <c r="H2006" s="21">
        <v>0</v>
      </c>
      <c r="I2006" s="21">
        <v>0</v>
      </c>
      <c r="J2006" s="21">
        <v>0</v>
      </c>
      <c r="K2006" s="21">
        <v>0.05</v>
      </c>
      <c r="L2006" s="21">
        <v>0</v>
      </c>
    </row>
    <row r="2007" spans="1:12" ht="60" x14ac:dyDescent="0.25">
      <c r="A2007" s="10">
        <v>2002</v>
      </c>
      <c r="B2007" t="s">
        <v>550</v>
      </c>
      <c r="C2007" t="s">
        <v>13</v>
      </c>
      <c r="D2007" t="s">
        <v>497</v>
      </c>
      <c r="E2007" s="52" t="s">
        <v>498</v>
      </c>
      <c r="F2007" t="s">
        <v>551</v>
      </c>
      <c r="G2007" s="21">
        <v>0</v>
      </c>
      <c r="H2007" s="21">
        <v>0</v>
      </c>
      <c r="I2007" s="21">
        <v>0</v>
      </c>
      <c r="J2007" s="21">
        <v>-139.86000000000001</v>
      </c>
      <c r="K2007" s="21">
        <v>0</v>
      </c>
      <c r="L2007" s="21">
        <v>-139.86000000000001</v>
      </c>
    </row>
    <row r="2008" spans="1:12" ht="60" x14ac:dyDescent="0.25">
      <c r="A2008" s="10">
        <v>2003</v>
      </c>
      <c r="B2008" t="s">
        <v>550</v>
      </c>
      <c r="C2008" t="s">
        <v>13</v>
      </c>
      <c r="D2008" t="s">
        <v>497</v>
      </c>
      <c r="E2008" s="52" t="s">
        <v>498</v>
      </c>
      <c r="F2008" t="s">
        <v>551</v>
      </c>
      <c r="G2008" s="21">
        <v>0</v>
      </c>
      <c r="H2008" s="21">
        <v>0</v>
      </c>
      <c r="I2008" s="21">
        <v>0</v>
      </c>
      <c r="J2008" s="21">
        <v>-137.25</v>
      </c>
      <c r="K2008" s="21">
        <v>0</v>
      </c>
      <c r="L2008" s="21">
        <v>-137.25</v>
      </c>
    </row>
    <row r="2009" spans="1:12" ht="60" x14ac:dyDescent="0.25">
      <c r="A2009" s="10">
        <v>2004</v>
      </c>
      <c r="B2009" t="s">
        <v>550</v>
      </c>
      <c r="C2009" t="s">
        <v>17</v>
      </c>
      <c r="D2009" t="s">
        <v>497</v>
      </c>
      <c r="E2009" s="52" t="s">
        <v>498</v>
      </c>
      <c r="F2009" t="s">
        <v>551</v>
      </c>
      <c r="G2009" s="21">
        <v>-1165.52</v>
      </c>
      <c r="H2009" s="21">
        <v>0</v>
      </c>
      <c r="I2009" s="21">
        <v>0</v>
      </c>
      <c r="J2009" s="21">
        <v>0</v>
      </c>
      <c r="K2009" s="21">
        <v>23.31</v>
      </c>
      <c r="L2009" s="21">
        <v>-1142.21</v>
      </c>
    </row>
    <row r="2010" spans="1:12" ht="60" x14ac:dyDescent="0.25">
      <c r="A2010" s="10">
        <v>2005</v>
      </c>
      <c r="B2010" t="s">
        <v>550</v>
      </c>
      <c r="C2010" t="s">
        <v>17</v>
      </c>
      <c r="D2010" t="s">
        <v>497</v>
      </c>
      <c r="E2010" s="52" t="s">
        <v>498</v>
      </c>
      <c r="F2010" t="s">
        <v>551</v>
      </c>
      <c r="G2010" s="21">
        <v>-1143.79</v>
      </c>
      <c r="H2010" s="21">
        <v>0</v>
      </c>
      <c r="I2010" s="21">
        <v>0</v>
      </c>
      <c r="J2010" s="21">
        <v>0</v>
      </c>
      <c r="K2010" s="21">
        <v>22.88</v>
      </c>
      <c r="L2010" s="21">
        <v>-1120.9100000000001</v>
      </c>
    </row>
    <row r="2011" spans="1:12" ht="60" x14ac:dyDescent="0.25">
      <c r="A2011" s="10">
        <v>2006</v>
      </c>
      <c r="B2011" t="s">
        <v>550</v>
      </c>
      <c r="C2011" t="s">
        <v>13</v>
      </c>
      <c r="D2011" t="s">
        <v>497</v>
      </c>
      <c r="E2011" s="52" t="s">
        <v>498</v>
      </c>
      <c r="F2011" t="s">
        <v>552</v>
      </c>
      <c r="G2011" s="21">
        <v>0</v>
      </c>
      <c r="H2011" s="21">
        <v>0</v>
      </c>
      <c r="I2011" s="21">
        <v>0</v>
      </c>
      <c r="J2011" s="21">
        <v>-0.01</v>
      </c>
      <c r="K2011" s="21">
        <v>0</v>
      </c>
      <c r="L2011" s="21">
        <v>-0.01</v>
      </c>
    </row>
    <row r="2012" spans="1:12" ht="60" x14ac:dyDescent="0.25">
      <c r="A2012" s="10">
        <v>2007</v>
      </c>
      <c r="B2012" t="s">
        <v>550</v>
      </c>
      <c r="C2012" t="s">
        <v>13</v>
      </c>
      <c r="D2012" t="s">
        <v>497</v>
      </c>
      <c r="E2012" s="52" t="s">
        <v>498</v>
      </c>
      <c r="F2012" t="s">
        <v>552</v>
      </c>
      <c r="G2012" s="21">
        <v>0</v>
      </c>
      <c r="H2012" s="21">
        <v>0</v>
      </c>
      <c r="I2012" s="21">
        <v>0</v>
      </c>
      <c r="J2012" s="21">
        <v>-0.01</v>
      </c>
      <c r="K2012" s="21">
        <v>0</v>
      </c>
      <c r="L2012" s="21">
        <v>-0.01</v>
      </c>
    </row>
    <row r="2013" spans="1:12" ht="60" x14ac:dyDescent="0.25">
      <c r="A2013" s="10">
        <v>2008</v>
      </c>
      <c r="B2013" t="s">
        <v>550</v>
      </c>
      <c r="C2013" t="s">
        <v>17</v>
      </c>
      <c r="D2013" t="s">
        <v>497</v>
      </c>
      <c r="E2013" s="52" t="s">
        <v>498</v>
      </c>
      <c r="F2013" t="s">
        <v>552</v>
      </c>
      <c r="G2013" s="21">
        <v>-0.08</v>
      </c>
      <c r="H2013" s="21">
        <v>0</v>
      </c>
      <c r="I2013" s="21">
        <v>0</v>
      </c>
      <c r="J2013" s="21">
        <v>0</v>
      </c>
      <c r="K2013" s="21">
        <v>0</v>
      </c>
      <c r="L2013" s="21">
        <v>-0.08</v>
      </c>
    </row>
    <row r="2014" spans="1:12" ht="60" x14ac:dyDescent="0.25">
      <c r="A2014" s="10">
        <v>2009</v>
      </c>
      <c r="B2014" t="s">
        <v>550</v>
      </c>
      <c r="C2014" t="s">
        <v>17</v>
      </c>
      <c r="D2014" t="s">
        <v>497</v>
      </c>
      <c r="E2014" s="52" t="s">
        <v>498</v>
      </c>
      <c r="F2014" t="s">
        <v>552</v>
      </c>
      <c r="G2014" s="21">
        <v>-0.08</v>
      </c>
      <c r="H2014" s="21">
        <v>0</v>
      </c>
      <c r="I2014" s="21">
        <v>0</v>
      </c>
      <c r="J2014" s="21">
        <v>0</v>
      </c>
      <c r="K2014" s="21">
        <v>0</v>
      </c>
      <c r="L2014" s="21">
        <v>-0.08</v>
      </c>
    </row>
    <row r="2015" spans="1:12" ht="30" x14ac:dyDescent="0.25">
      <c r="A2015" s="10">
        <v>2010</v>
      </c>
      <c r="B2015" t="s">
        <v>550</v>
      </c>
      <c r="C2015" t="s">
        <v>17</v>
      </c>
      <c r="D2015" t="s">
        <v>644</v>
      </c>
      <c r="E2015" s="52" t="s">
        <v>500</v>
      </c>
      <c r="F2015" t="s">
        <v>551</v>
      </c>
      <c r="G2015" s="21">
        <v>0</v>
      </c>
      <c r="H2015" s="21">
        <v>0</v>
      </c>
      <c r="I2015" s="21">
        <v>-55.61</v>
      </c>
      <c r="J2015" s="21">
        <v>0</v>
      </c>
      <c r="K2015" s="21">
        <v>1.1100000000000001</v>
      </c>
      <c r="L2015" s="21">
        <v>-54.5</v>
      </c>
    </row>
    <row r="2016" spans="1:12" ht="30" x14ac:dyDescent="0.25">
      <c r="A2016" s="10">
        <v>2011</v>
      </c>
      <c r="B2016" t="s">
        <v>550</v>
      </c>
      <c r="C2016" t="s">
        <v>17</v>
      </c>
      <c r="D2016" t="s">
        <v>644</v>
      </c>
      <c r="E2016" s="52" t="s">
        <v>500</v>
      </c>
      <c r="F2016" t="s">
        <v>551</v>
      </c>
      <c r="G2016" s="21">
        <v>0</v>
      </c>
      <c r="H2016" s="21">
        <v>0</v>
      </c>
      <c r="I2016" s="21">
        <v>-282.95999999999998</v>
      </c>
      <c r="J2016" s="21">
        <v>0</v>
      </c>
      <c r="K2016" s="21">
        <v>5.66</v>
      </c>
      <c r="L2016" s="21">
        <v>-277.3</v>
      </c>
    </row>
    <row r="2017" spans="1:12" ht="30" x14ac:dyDescent="0.25">
      <c r="A2017" s="10">
        <v>2012</v>
      </c>
      <c r="B2017" t="s">
        <v>550</v>
      </c>
      <c r="C2017" t="s">
        <v>17</v>
      </c>
      <c r="D2017" t="s">
        <v>644</v>
      </c>
      <c r="E2017" s="52" t="s">
        <v>500</v>
      </c>
      <c r="F2017" t="s">
        <v>552</v>
      </c>
      <c r="G2017" s="21">
        <v>0</v>
      </c>
      <c r="H2017" s="21">
        <v>0</v>
      </c>
      <c r="I2017" s="21">
        <v>-0.02</v>
      </c>
      <c r="J2017" s="21">
        <v>0</v>
      </c>
      <c r="K2017" s="21">
        <v>0</v>
      </c>
      <c r="L2017" s="21">
        <v>-0.02</v>
      </c>
    </row>
    <row r="2018" spans="1:12" ht="30" x14ac:dyDescent="0.25">
      <c r="A2018" s="10">
        <v>2013</v>
      </c>
      <c r="B2018" t="s">
        <v>566</v>
      </c>
      <c r="C2018" t="s">
        <v>17</v>
      </c>
      <c r="D2018" t="s">
        <v>501</v>
      </c>
      <c r="E2018" s="52" t="s">
        <v>502</v>
      </c>
      <c r="F2018" t="s">
        <v>567</v>
      </c>
      <c r="G2018" s="21">
        <v>-7.76</v>
      </c>
      <c r="H2018" s="21">
        <v>0</v>
      </c>
      <c r="I2018" s="21">
        <v>0</v>
      </c>
      <c r="J2018" s="21">
        <v>0</v>
      </c>
      <c r="K2018" s="21">
        <v>0.16</v>
      </c>
      <c r="L2018" s="21">
        <v>-7.6</v>
      </c>
    </row>
    <row r="2019" spans="1:12" ht="30" x14ac:dyDescent="0.25">
      <c r="A2019" s="10">
        <v>2014</v>
      </c>
      <c r="B2019" t="s">
        <v>566</v>
      </c>
      <c r="C2019" t="s">
        <v>13</v>
      </c>
      <c r="D2019" t="s">
        <v>501</v>
      </c>
      <c r="E2019" s="52" t="s">
        <v>502</v>
      </c>
      <c r="F2019" t="s">
        <v>567</v>
      </c>
      <c r="G2019" s="21">
        <v>0</v>
      </c>
      <c r="H2019" s="21">
        <v>0</v>
      </c>
      <c r="I2019" s="21">
        <v>0</v>
      </c>
      <c r="J2019" s="21">
        <v>-0.93</v>
      </c>
      <c r="K2019" s="21">
        <v>0</v>
      </c>
      <c r="L2019" s="21">
        <v>-0.93</v>
      </c>
    </row>
    <row r="2020" spans="1:12" ht="30" x14ac:dyDescent="0.25">
      <c r="A2020" s="10">
        <v>2015</v>
      </c>
      <c r="B2020" t="s">
        <v>559</v>
      </c>
      <c r="C2020" t="s">
        <v>17</v>
      </c>
      <c r="D2020" t="s">
        <v>501</v>
      </c>
      <c r="E2020" s="52" t="s">
        <v>502</v>
      </c>
      <c r="F2020" t="s">
        <v>560</v>
      </c>
      <c r="G2020" s="21">
        <v>-0.22</v>
      </c>
      <c r="H2020" s="21">
        <v>0</v>
      </c>
      <c r="I2020" s="21">
        <v>0</v>
      </c>
      <c r="J2020" s="21">
        <v>0</v>
      </c>
      <c r="K2020" s="21">
        <v>0</v>
      </c>
      <c r="L2020" s="21">
        <v>-0.22</v>
      </c>
    </row>
    <row r="2021" spans="1:12" ht="30" x14ac:dyDescent="0.25">
      <c r="A2021" s="10">
        <v>2016</v>
      </c>
      <c r="B2021" t="s">
        <v>559</v>
      </c>
      <c r="C2021" t="s">
        <v>13</v>
      </c>
      <c r="D2021" t="s">
        <v>501</v>
      </c>
      <c r="E2021" s="52" t="s">
        <v>502</v>
      </c>
      <c r="F2021" t="s">
        <v>560</v>
      </c>
      <c r="G2021" s="21">
        <v>0</v>
      </c>
      <c r="H2021" s="21">
        <v>0</v>
      </c>
      <c r="I2021" s="21">
        <v>0</v>
      </c>
      <c r="J2021" s="21">
        <v>-0.03</v>
      </c>
      <c r="K2021" s="21">
        <v>0</v>
      </c>
      <c r="L2021" s="21">
        <v>-0.03</v>
      </c>
    </row>
    <row r="2022" spans="1:12" ht="30" x14ac:dyDescent="0.25">
      <c r="A2022" s="10">
        <v>2017</v>
      </c>
      <c r="B2022" t="s">
        <v>550</v>
      </c>
      <c r="C2022" t="s">
        <v>13</v>
      </c>
      <c r="D2022" t="s">
        <v>501</v>
      </c>
      <c r="E2022" s="52" t="s">
        <v>502</v>
      </c>
      <c r="F2022" t="s">
        <v>551</v>
      </c>
      <c r="G2022" s="21">
        <v>0</v>
      </c>
      <c r="H2022" s="21">
        <v>0</v>
      </c>
      <c r="I2022" s="21">
        <v>0</v>
      </c>
      <c r="J2022" s="21">
        <v>-4597.33</v>
      </c>
      <c r="K2022" s="21">
        <v>0</v>
      </c>
      <c r="L2022" s="21">
        <v>-4597.33</v>
      </c>
    </row>
    <row r="2023" spans="1:12" ht="30" x14ac:dyDescent="0.25">
      <c r="A2023" s="10">
        <v>2018</v>
      </c>
      <c r="B2023" t="s">
        <v>550</v>
      </c>
      <c r="C2023" t="s">
        <v>17</v>
      </c>
      <c r="D2023" t="s">
        <v>501</v>
      </c>
      <c r="E2023" s="52" t="s">
        <v>502</v>
      </c>
      <c r="F2023" t="s">
        <v>551</v>
      </c>
      <c r="G2023" s="21">
        <v>-38311.1</v>
      </c>
      <c r="H2023" s="21">
        <v>0</v>
      </c>
      <c r="I2023" s="21">
        <v>0</v>
      </c>
      <c r="J2023" s="21">
        <v>0</v>
      </c>
      <c r="K2023" s="21">
        <v>766.22</v>
      </c>
      <c r="L2023" s="21">
        <v>-37544.879999999997</v>
      </c>
    </row>
    <row r="2024" spans="1:12" ht="30" x14ac:dyDescent="0.25">
      <c r="A2024" s="10">
        <v>2019</v>
      </c>
      <c r="B2024" t="s">
        <v>550</v>
      </c>
      <c r="C2024" t="s">
        <v>13</v>
      </c>
      <c r="D2024" t="s">
        <v>501</v>
      </c>
      <c r="E2024" s="52" t="s">
        <v>502</v>
      </c>
      <c r="F2024" t="s">
        <v>552</v>
      </c>
      <c r="G2024" s="21">
        <v>0</v>
      </c>
      <c r="H2024" s="21">
        <v>0</v>
      </c>
      <c r="I2024" s="21">
        <v>0</v>
      </c>
      <c r="J2024" s="21">
        <v>-0.33</v>
      </c>
      <c r="K2024" s="21">
        <v>0</v>
      </c>
      <c r="L2024" s="21">
        <v>-0.33</v>
      </c>
    </row>
    <row r="2025" spans="1:12" ht="30" x14ac:dyDescent="0.25">
      <c r="A2025" s="10">
        <v>2020</v>
      </c>
      <c r="B2025" t="s">
        <v>550</v>
      </c>
      <c r="C2025" t="s">
        <v>17</v>
      </c>
      <c r="D2025" t="s">
        <v>501</v>
      </c>
      <c r="E2025" s="52" t="s">
        <v>502</v>
      </c>
      <c r="F2025" t="s">
        <v>552</v>
      </c>
      <c r="G2025" s="21">
        <v>-2.76</v>
      </c>
      <c r="H2025" s="21">
        <v>0</v>
      </c>
      <c r="I2025" s="21">
        <v>0</v>
      </c>
      <c r="J2025" s="21">
        <v>0</v>
      </c>
      <c r="K2025" s="21">
        <v>0.06</v>
      </c>
      <c r="L2025" s="21">
        <v>-2.7</v>
      </c>
    </row>
    <row r="2026" spans="1:12" ht="30" x14ac:dyDescent="0.25">
      <c r="A2026" s="10">
        <v>2021</v>
      </c>
      <c r="B2026" t="s">
        <v>559</v>
      </c>
      <c r="C2026" t="s">
        <v>17</v>
      </c>
      <c r="D2026" t="s">
        <v>503</v>
      </c>
      <c r="E2026" s="52" t="s">
        <v>504</v>
      </c>
      <c r="F2026" t="s">
        <v>560</v>
      </c>
      <c r="G2026" s="21">
        <v>-0.05</v>
      </c>
      <c r="H2026" s="21">
        <v>0</v>
      </c>
      <c r="I2026" s="21">
        <v>0</v>
      </c>
      <c r="J2026" s="21">
        <v>0</v>
      </c>
      <c r="K2026" s="21">
        <v>0</v>
      </c>
      <c r="L2026" s="21">
        <v>-0.05</v>
      </c>
    </row>
    <row r="2027" spans="1:12" ht="30" x14ac:dyDescent="0.25">
      <c r="A2027" s="10">
        <v>2022</v>
      </c>
      <c r="B2027" t="s">
        <v>559</v>
      </c>
      <c r="C2027" t="s">
        <v>13</v>
      </c>
      <c r="D2027" t="s">
        <v>503</v>
      </c>
      <c r="E2027" s="52" t="s">
        <v>504</v>
      </c>
      <c r="F2027" t="s">
        <v>560</v>
      </c>
      <c r="G2027" s="21">
        <v>0</v>
      </c>
      <c r="H2027" s="21">
        <v>0</v>
      </c>
      <c r="I2027" s="21">
        <v>0</v>
      </c>
      <c r="J2027" s="21">
        <v>-0.01</v>
      </c>
      <c r="K2027" s="21">
        <v>0</v>
      </c>
      <c r="L2027" s="21">
        <v>-0.01</v>
      </c>
    </row>
    <row r="2028" spans="1:12" ht="30" x14ac:dyDescent="0.25">
      <c r="A2028" s="10">
        <v>2023</v>
      </c>
      <c r="B2028" t="s">
        <v>18</v>
      </c>
      <c r="C2028" t="s">
        <v>17</v>
      </c>
      <c r="D2028" t="s">
        <v>503</v>
      </c>
      <c r="E2028" s="52" t="s">
        <v>504</v>
      </c>
      <c r="F2028" t="s">
        <v>19</v>
      </c>
      <c r="G2028" s="21">
        <v>-0.49</v>
      </c>
      <c r="H2028" s="21">
        <v>0</v>
      </c>
      <c r="I2028" s="21">
        <v>0</v>
      </c>
      <c r="J2028" s="21">
        <v>0</v>
      </c>
      <c r="K2028" s="21">
        <v>0.44</v>
      </c>
      <c r="L2028" s="21">
        <v>-0.05</v>
      </c>
    </row>
    <row r="2029" spans="1:12" ht="30" x14ac:dyDescent="0.25">
      <c r="A2029" s="10">
        <v>2024</v>
      </c>
      <c r="B2029" t="s">
        <v>18</v>
      </c>
      <c r="C2029" t="s">
        <v>13</v>
      </c>
      <c r="D2029" t="s">
        <v>503</v>
      </c>
      <c r="E2029" s="52" t="s">
        <v>504</v>
      </c>
      <c r="F2029" t="s">
        <v>19</v>
      </c>
      <c r="G2029" s="21">
        <v>0</v>
      </c>
      <c r="H2029" s="21">
        <v>0</v>
      </c>
      <c r="I2029" s="21">
        <v>0</v>
      </c>
      <c r="J2029" s="21">
        <v>-0.11</v>
      </c>
      <c r="K2029" s="21">
        <v>0</v>
      </c>
      <c r="L2029" s="21">
        <v>-0.11</v>
      </c>
    </row>
    <row r="2030" spans="1:12" ht="30" x14ac:dyDescent="0.25">
      <c r="A2030" s="10">
        <v>2025</v>
      </c>
      <c r="B2030" t="s">
        <v>550</v>
      </c>
      <c r="C2030" t="s">
        <v>13</v>
      </c>
      <c r="D2030" t="s">
        <v>503</v>
      </c>
      <c r="E2030" s="52" t="s">
        <v>504</v>
      </c>
      <c r="F2030" t="s">
        <v>551</v>
      </c>
      <c r="G2030" s="21">
        <v>0</v>
      </c>
      <c r="H2030" s="21">
        <v>0</v>
      </c>
      <c r="I2030" s="21">
        <v>0</v>
      </c>
      <c r="J2030" s="21">
        <v>-4740.8900000000003</v>
      </c>
      <c r="K2030" s="21">
        <v>0</v>
      </c>
      <c r="L2030" s="21">
        <v>-4740.8900000000003</v>
      </c>
    </row>
    <row r="2031" spans="1:12" ht="30" x14ac:dyDescent="0.25">
      <c r="A2031" s="10">
        <v>2026</v>
      </c>
      <c r="B2031" t="s">
        <v>550</v>
      </c>
      <c r="C2031" t="s">
        <v>17</v>
      </c>
      <c r="D2031" t="s">
        <v>503</v>
      </c>
      <c r="E2031" s="52" t="s">
        <v>504</v>
      </c>
      <c r="F2031" t="s">
        <v>551</v>
      </c>
      <c r="G2031" s="21">
        <v>-39507.379999999997</v>
      </c>
      <c r="H2031" s="21">
        <v>0</v>
      </c>
      <c r="I2031" s="21">
        <v>0</v>
      </c>
      <c r="J2031" s="21">
        <v>0</v>
      </c>
      <c r="K2031" s="21">
        <v>790.15</v>
      </c>
      <c r="L2031" s="21">
        <v>-38717.230000000003</v>
      </c>
    </row>
    <row r="2032" spans="1:12" ht="30" x14ac:dyDescent="0.25">
      <c r="A2032" s="10">
        <v>2027</v>
      </c>
      <c r="B2032" t="s">
        <v>550</v>
      </c>
      <c r="C2032" t="s">
        <v>13</v>
      </c>
      <c r="D2032" t="s">
        <v>503</v>
      </c>
      <c r="E2032" s="52" t="s">
        <v>504</v>
      </c>
      <c r="F2032" t="s">
        <v>552</v>
      </c>
      <c r="G2032" s="21">
        <v>0</v>
      </c>
      <c r="H2032" s="21">
        <v>0</v>
      </c>
      <c r="I2032" s="21">
        <v>0</v>
      </c>
      <c r="J2032" s="21">
        <v>-0.34</v>
      </c>
      <c r="K2032" s="21">
        <v>0</v>
      </c>
      <c r="L2032" s="21">
        <v>-0.34</v>
      </c>
    </row>
    <row r="2033" spans="1:12" ht="30" x14ac:dyDescent="0.25">
      <c r="A2033" s="10">
        <v>2028</v>
      </c>
      <c r="B2033" t="s">
        <v>550</v>
      </c>
      <c r="C2033" t="s">
        <v>17</v>
      </c>
      <c r="D2033" t="s">
        <v>503</v>
      </c>
      <c r="E2033" s="52" t="s">
        <v>504</v>
      </c>
      <c r="F2033" t="s">
        <v>552</v>
      </c>
      <c r="G2033" s="21">
        <v>-2.84</v>
      </c>
      <c r="H2033" s="21">
        <v>0</v>
      </c>
      <c r="I2033" s="21">
        <v>0</v>
      </c>
      <c r="J2033" s="21">
        <v>0</v>
      </c>
      <c r="K2033" s="21">
        <v>0.06</v>
      </c>
      <c r="L2033" s="21">
        <v>-2.78</v>
      </c>
    </row>
    <row r="2034" spans="1:12" x14ac:dyDescent="0.25">
      <c r="A2034" s="10">
        <v>2029</v>
      </c>
      <c r="B2034" t="s">
        <v>18</v>
      </c>
      <c r="C2034" t="s">
        <v>17</v>
      </c>
      <c r="D2034" t="s">
        <v>505</v>
      </c>
      <c r="E2034" s="52" t="s">
        <v>506</v>
      </c>
      <c r="F2034" t="s">
        <v>19</v>
      </c>
      <c r="G2034" s="21">
        <v>-0.7</v>
      </c>
      <c r="H2034" s="21">
        <v>0</v>
      </c>
      <c r="I2034" s="21">
        <v>0</v>
      </c>
      <c r="J2034" s="21">
        <v>0</v>
      </c>
      <c r="K2034" s="21">
        <v>0.62</v>
      </c>
      <c r="L2034" s="21">
        <v>-0.08</v>
      </c>
    </row>
    <row r="2035" spans="1:12" x14ac:dyDescent="0.25">
      <c r="A2035" s="10">
        <v>2030</v>
      </c>
      <c r="B2035" t="s">
        <v>550</v>
      </c>
      <c r="C2035" t="s">
        <v>13</v>
      </c>
      <c r="D2035" t="s">
        <v>505</v>
      </c>
      <c r="E2035" s="52" t="s">
        <v>506</v>
      </c>
      <c r="F2035" t="s">
        <v>551</v>
      </c>
      <c r="G2035" s="21">
        <v>0</v>
      </c>
      <c r="H2035" s="21">
        <v>0</v>
      </c>
      <c r="I2035" s="21">
        <v>0</v>
      </c>
      <c r="J2035" s="21">
        <v>-4029.47</v>
      </c>
      <c r="K2035" s="21">
        <v>0</v>
      </c>
      <c r="L2035" s="21">
        <v>-4029.47</v>
      </c>
    </row>
    <row r="2036" spans="1:12" x14ac:dyDescent="0.25">
      <c r="A2036" s="10">
        <v>2031</v>
      </c>
      <c r="B2036" t="s">
        <v>550</v>
      </c>
      <c r="C2036" t="s">
        <v>17</v>
      </c>
      <c r="D2036" t="s">
        <v>505</v>
      </c>
      <c r="E2036" s="52" t="s">
        <v>506</v>
      </c>
      <c r="F2036" t="s">
        <v>551</v>
      </c>
      <c r="G2036" s="21">
        <v>-33578.93</v>
      </c>
      <c r="H2036" s="21">
        <v>0</v>
      </c>
      <c r="I2036" s="21">
        <v>0</v>
      </c>
      <c r="J2036" s="21">
        <v>0</v>
      </c>
      <c r="K2036" s="21">
        <v>671.58</v>
      </c>
      <c r="L2036" s="21">
        <v>-32907.35</v>
      </c>
    </row>
    <row r="2037" spans="1:12" x14ac:dyDescent="0.25">
      <c r="A2037" s="10">
        <v>2032</v>
      </c>
      <c r="B2037" t="s">
        <v>550</v>
      </c>
      <c r="C2037" t="s">
        <v>13</v>
      </c>
      <c r="D2037" t="s">
        <v>505</v>
      </c>
      <c r="E2037" s="52" t="s">
        <v>506</v>
      </c>
      <c r="F2037" t="s">
        <v>552</v>
      </c>
      <c r="G2037" s="21">
        <v>0</v>
      </c>
      <c r="H2037" s="21">
        <v>0</v>
      </c>
      <c r="I2037" s="21">
        <v>0</v>
      </c>
      <c r="J2037" s="21">
        <v>-0.28999999999999998</v>
      </c>
      <c r="K2037" s="21">
        <v>0</v>
      </c>
      <c r="L2037" s="21">
        <v>-0.28999999999999998</v>
      </c>
    </row>
    <row r="2038" spans="1:12" x14ac:dyDescent="0.25">
      <c r="A2038" s="10">
        <v>2033</v>
      </c>
      <c r="B2038" t="s">
        <v>550</v>
      </c>
      <c r="C2038" t="s">
        <v>17</v>
      </c>
      <c r="D2038" t="s">
        <v>505</v>
      </c>
      <c r="E2038" s="52" t="s">
        <v>506</v>
      </c>
      <c r="F2038" t="s">
        <v>552</v>
      </c>
      <c r="G2038" s="21">
        <v>-2.42</v>
      </c>
      <c r="H2038" s="21">
        <v>0</v>
      </c>
      <c r="I2038" s="21">
        <v>0</v>
      </c>
      <c r="J2038" s="21">
        <v>0</v>
      </c>
      <c r="K2038" s="21">
        <v>0.05</v>
      </c>
      <c r="L2038" s="21">
        <v>-2.37</v>
      </c>
    </row>
    <row r="2039" spans="1:12" x14ac:dyDescent="0.25">
      <c r="A2039" s="10">
        <v>2034</v>
      </c>
      <c r="B2039" t="s">
        <v>18</v>
      </c>
      <c r="C2039" t="s">
        <v>17</v>
      </c>
      <c r="D2039" t="s">
        <v>507</v>
      </c>
      <c r="E2039" s="52" t="s">
        <v>508</v>
      </c>
      <c r="F2039" t="s">
        <v>19</v>
      </c>
      <c r="G2039" s="21">
        <v>-2.15</v>
      </c>
      <c r="H2039" s="21">
        <v>0</v>
      </c>
      <c r="I2039" s="21">
        <v>0</v>
      </c>
      <c r="J2039" s="21">
        <v>0</v>
      </c>
      <c r="K2039" s="21">
        <v>1.91</v>
      </c>
      <c r="L2039" s="21">
        <v>-0.24</v>
      </c>
    </row>
    <row r="2040" spans="1:12" x14ac:dyDescent="0.25">
      <c r="A2040" s="10">
        <v>2035</v>
      </c>
      <c r="B2040" t="s">
        <v>550</v>
      </c>
      <c r="C2040" t="s">
        <v>13</v>
      </c>
      <c r="D2040" t="s">
        <v>507</v>
      </c>
      <c r="E2040" s="52" t="s">
        <v>508</v>
      </c>
      <c r="F2040" t="s">
        <v>551</v>
      </c>
      <c r="G2040" s="21">
        <v>0</v>
      </c>
      <c r="H2040" s="21">
        <v>0</v>
      </c>
      <c r="I2040" s="21">
        <v>0</v>
      </c>
      <c r="J2040" s="21">
        <v>-14901.57</v>
      </c>
      <c r="K2040" s="21">
        <v>0</v>
      </c>
      <c r="L2040" s="21">
        <v>-14901.57</v>
      </c>
    </row>
    <row r="2041" spans="1:12" x14ac:dyDescent="0.25">
      <c r="A2041" s="10">
        <v>2036</v>
      </c>
      <c r="B2041" t="s">
        <v>550</v>
      </c>
      <c r="C2041" t="s">
        <v>17</v>
      </c>
      <c r="D2041" t="s">
        <v>507</v>
      </c>
      <c r="E2041" s="52" t="s">
        <v>508</v>
      </c>
      <c r="F2041" t="s">
        <v>551</v>
      </c>
      <c r="G2041" s="21">
        <v>-125787.53</v>
      </c>
      <c r="H2041" s="21">
        <v>0</v>
      </c>
      <c r="I2041" s="21">
        <v>0</v>
      </c>
      <c r="J2041" s="21">
        <v>0</v>
      </c>
      <c r="K2041" s="21">
        <v>2515.75</v>
      </c>
      <c r="L2041" s="21">
        <v>-123271.78</v>
      </c>
    </row>
    <row r="2042" spans="1:12" x14ac:dyDescent="0.25">
      <c r="A2042" s="10">
        <v>2037</v>
      </c>
      <c r="B2042" t="s">
        <v>550</v>
      </c>
      <c r="C2042" t="s">
        <v>13</v>
      </c>
      <c r="D2042" t="s">
        <v>507</v>
      </c>
      <c r="E2042" s="52" t="s">
        <v>508</v>
      </c>
      <c r="F2042" t="s">
        <v>552</v>
      </c>
      <c r="G2042" s="21">
        <v>0</v>
      </c>
      <c r="H2042" s="21">
        <v>0</v>
      </c>
      <c r="I2042" s="21">
        <v>0</v>
      </c>
      <c r="J2042" s="21">
        <v>-1.08</v>
      </c>
      <c r="K2042" s="21">
        <v>0</v>
      </c>
      <c r="L2042" s="21">
        <v>-1.08</v>
      </c>
    </row>
    <row r="2043" spans="1:12" x14ac:dyDescent="0.25">
      <c r="A2043" s="10">
        <v>2038</v>
      </c>
      <c r="B2043" t="s">
        <v>550</v>
      </c>
      <c r="C2043" t="s">
        <v>17</v>
      </c>
      <c r="D2043" t="s">
        <v>507</v>
      </c>
      <c r="E2043" s="52" t="s">
        <v>508</v>
      </c>
      <c r="F2043" t="s">
        <v>552</v>
      </c>
      <c r="G2043" s="21">
        <v>-9.0500000000000007</v>
      </c>
      <c r="H2043" s="21">
        <v>0</v>
      </c>
      <c r="I2043" s="21">
        <v>0</v>
      </c>
      <c r="J2043" s="21">
        <v>0</v>
      </c>
      <c r="K2043" s="21">
        <v>0.18</v>
      </c>
      <c r="L2043" s="21">
        <v>-8.8699999999999992</v>
      </c>
    </row>
    <row r="2044" spans="1:12" x14ac:dyDescent="0.25">
      <c r="A2044" s="10">
        <v>2039</v>
      </c>
      <c r="B2044" t="s">
        <v>18</v>
      </c>
      <c r="C2044" t="s">
        <v>17</v>
      </c>
      <c r="D2044" t="s">
        <v>509</v>
      </c>
      <c r="E2044" s="52" t="s">
        <v>510</v>
      </c>
      <c r="F2044" t="s">
        <v>19</v>
      </c>
      <c r="G2044" s="21">
        <v>0</v>
      </c>
      <c r="H2044" s="21">
        <v>0</v>
      </c>
      <c r="I2044" s="21">
        <v>-0.12</v>
      </c>
      <c r="J2044" s="21">
        <v>0</v>
      </c>
      <c r="K2044" s="21">
        <v>0.01</v>
      </c>
      <c r="L2044" s="21">
        <v>-0.11</v>
      </c>
    </row>
    <row r="2045" spans="1:12" x14ac:dyDescent="0.25">
      <c r="A2045" s="10">
        <v>2040</v>
      </c>
      <c r="B2045" t="s">
        <v>18</v>
      </c>
      <c r="C2045" t="s">
        <v>17</v>
      </c>
      <c r="D2045" t="s">
        <v>509</v>
      </c>
      <c r="E2045" s="52" t="s">
        <v>510</v>
      </c>
      <c r="F2045" t="s">
        <v>19</v>
      </c>
      <c r="G2045" s="21">
        <v>0</v>
      </c>
      <c r="H2045" s="21">
        <v>0</v>
      </c>
      <c r="I2045" s="21">
        <v>0</v>
      </c>
      <c r="J2045" s="21">
        <v>0</v>
      </c>
      <c r="K2045" s="21">
        <v>0</v>
      </c>
      <c r="L2045" s="21">
        <v>0</v>
      </c>
    </row>
    <row r="2046" spans="1:12" x14ac:dyDescent="0.25">
      <c r="A2046" s="10">
        <v>2041</v>
      </c>
      <c r="B2046" t="s">
        <v>550</v>
      </c>
      <c r="C2046" t="s">
        <v>17</v>
      </c>
      <c r="D2046" t="s">
        <v>509</v>
      </c>
      <c r="E2046" s="52" t="s">
        <v>510</v>
      </c>
      <c r="F2046" t="s">
        <v>551</v>
      </c>
      <c r="G2046" s="21">
        <v>0</v>
      </c>
      <c r="H2046" s="21">
        <v>0</v>
      </c>
      <c r="I2046" s="21">
        <v>-29.89</v>
      </c>
      <c r="J2046" s="21">
        <v>0</v>
      </c>
      <c r="K2046" s="21">
        <v>0.6</v>
      </c>
      <c r="L2046" s="21">
        <v>-29.29</v>
      </c>
    </row>
    <row r="2047" spans="1:12" x14ac:dyDescent="0.25">
      <c r="A2047" s="10">
        <v>2042</v>
      </c>
      <c r="B2047" t="s">
        <v>550</v>
      </c>
      <c r="C2047" t="s">
        <v>17</v>
      </c>
      <c r="D2047" t="s">
        <v>509</v>
      </c>
      <c r="E2047" s="52" t="s">
        <v>510</v>
      </c>
      <c r="F2047" t="s">
        <v>551</v>
      </c>
      <c r="G2047" s="21">
        <v>0</v>
      </c>
      <c r="H2047" s="21">
        <v>0</v>
      </c>
      <c r="I2047" s="21">
        <v>-271.55</v>
      </c>
      <c r="J2047" s="21">
        <v>0</v>
      </c>
      <c r="K2047" s="21">
        <v>5.43</v>
      </c>
      <c r="L2047" s="21">
        <v>-266.12</v>
      </c>
    </row>
    <row r="2048" spans="1:12" x14ac:dyDescent="0.25">
      <c r="A2048" s="10">
        <v>2043</v>
      </c>
      <c r="B2048" t="s">
        <v>550</v>
      </c>
      <c r="C2048" t="s">
        <v>17</v>
      </c>
      <c r="D2048" t="s">
        <v>509</v>
      </c>
      <c r="E2048" s="52" t="s">
        <v>510</v>
      </c>
      <c r="F2048" t="s">
        <v>552</v>
      </c>
      <c r="G2048" s="21">
        <v>0</v>
      </c>
      <c r="H2048" s="21">
        <v>0</v>
      </c>
      <c r="I2048" s="21">
        <v>-0.02</v>
      </c>
      <c r="J2048" s="21">
        <v>0</v>
      </c>
      <c r="K2048" s="21">
        <v>0</v>
      </c>
      <c r="L2048" s="21">
        <v>-0.02</v>
      </c>
    </row>
    <row r="2049" spans="1:12" x14ac:dyDescent="0.25">
      <c r="A2049" s="10">
        <v>2044</v>
      </c>
      <c r="B2049" t="s">
        <v>559</v>
      </c>
      <c r="C2049" t="s">
        <v>17</v>
      </c>
      <c r="D2049" t="s">
        <v>511</v>
      </c>
      <c r="E2049" s="52" t="s">
        <v>512</v>
      </c>
      <c r="F2049" t="s">
        <v>560</v>
      </c>
      <c r="G2049" s="21">
        <v>-0.02</v>
      </c>
      <c r="H2049" s="21">
        <v>0</v>
      </c>
      <c r="I2049" s="21">
        <v>0</v>
      </c>
      <c r="J2049" s="21">
        <v>0</v>
      </c>
      <c r="K2049" s="21">
        <v>0</v>
      </c>
      <c r="L2049" s="21">
        <v>-0.02</v>
      </c>
    </row>
    <row r="2050" spans="1:12" x14ac:dyDescent="0.25">
      <c r="A2050" s="10">
        <v>2045</v>
      </c>
      <c r="B2050" t="s">
        <v>559</v>
      </c>
      <c r="C2050" t="s">
        <v>17</v>
      </c>
      <c r="D2050" t="s">
        <v>511</v>
      </c>
      <c r="E2050" s="52" t="s">
        <v>512</v>
      </c>
      <c r="F2050" t="s">
        <v>560</v>
      </c>
      <c r="G2050" s="21">
        <v>-1.02</v>
      </c>
      <c r="H2050" s="21">
        <v>0</v>
      </c>
      <c r="I2050" s="21">
        <v>0</v>
      </c>
      <c r="J2050" s="21">
        <v>0</v>
      </c>
      <c r="K2050" s="21">
        <v>0.02</v>
      </c>
      <c r="L2050" s="21">
        <v>-1</v>
      </c>
    </row>
    <row r="2051" spans="1:12" x14ac:dyDescent="0.25">
      <c r="A2051" s="10">
        <v>2046</v>
      </c>
      <c r="B2051" t="s">
        <v>559</v>
      </c>
      <c r="C2051" t="s">
        <v>17</v>
      </c>
      <c r="D2051" t="s">
        <v>511</v>
      </c>
      <c r="E2051" s="52" t="s">
        <v>512</v>
      </c>
      <c r="F2051" t="s">
        <v>560</v>
      </c>
      <c r="G2051" s="21">
        <v>-0.36</v>
      </c>
      <c r="H2051" s="21">
        <v>0</v>
      </c>
      <c r="I2051" s="21">
        <v>0</v>
      </c>
      <c r="J2051" s="21">
        <v>0</v>
      </c>
      <c r="K2051" s="21">
        <v>0.01</v>
      </c>
      <c r="L2051" s="21">
        <v>-0.35</v>
      </c>
    </row>
    <row r="2052" spans="1:12" x14ac:dyDescent="0.25">
      <c r="A2052" s="10">
        <v>2047</v>
      </c>
      <c r="B2052" t="s">
        <v>559</v>
      </c>
      <c r="C2052" t="s">
        <v>13</v>
      </c>
      <c r="D2052" t="s">
        <v>511</v>
      </c>
      <c r="E2052" s="52" t="s">
        <v>512</v>
      </c>
      <c r="F2052" t="s">
        <v>560</v>
      </c>
      <c r="G2052" s="21">
        <v>0</v>
      </c>
      <c r="H2052" s="21">
        <v>0</v>
      </c>
      <c r="I2052" s="21">
        <v>0</v>
      </c>
      <c r="J2052" s="21">
        <v>0</v>
      </c>
      <c r="K2052" s="21">
        <v>0</v>
      </c>
      <c r="L2052" s="21">
        <v>0</v>
      </c>
    </row>
    <row r="2053" spans="1:12" x14ac:dyDescent="0.25">
      <c r="A2053" s="10">
        <v>2048</v>
      </c>
      <c r="B2053" t="s">
        <v>559</v>
      </c>
      <c r="C2053" t="s">
        <v>13</v>
      </c>
      <c r="D2053" t="s">
        <v>511</v>
      </c>
      <c r="E2053" s="52" t="s">
        <v>512</v>
      </c>
      <c r="F2053" t="s">
        <v>560</v>
      </c>
      <c r="G2053" s="21">
        <v>0</v>
      </c>
      <c r="H2053" s="21">
        <v>0</v>
      </c>
      <c r="I2053" s="21">
        <v>0</v>
      </c>
      <c r="J2053" s="21">
        <v>-0.12</v>
      </c>
      <c r="K2053" s="21">
        <v>0</v>
      </c>
      <c r="L2053" s="21">
        <v>-0.12</v>
      </c>
    </row>
    <row r="2054" spans="1:12" x14ac:dyDescent="0.25">
      <c r="A2054" s="10">
        <v>2049</v>
      </c>
      <c r="B2054" t="s">
        <v>559</v>
      </c>
      <c r="C2054" t="s">
        <v>13</v>
      </c>
      <c r="D2054" t="s">
        <v>511</v>
      </c>
      <c r="E2054" s="52" t="s">
        <v>512</v>
      </c>
      <c r="F2054" t="s">
        <v>560</v>
      </c>
      <c r="G2054" s="21">
        <v>0</v>
      </c>
      <c r="H2054" s="21">
        <v>0</v>
      </c>
      <c r="I2054" s="21">
        <v>0</v>
      </c>
      <c r="J2054" s="21">
        <v>-0.04</v>
      </c>
      <c r="K2054" s="21">
        <v>0</v>
      </c>
      <c r="L2054" s="21">
        <v>-0.04</v>
      </c>
    </row>
    <row r="2055" spans="1:12" x14ac:dyDescent="0.25">
      <c r="A2055" s="10">
        <v>2050</v>
      </c>
      <c r="B2055" t="s">
        <v>18</v>
      </c>
      <c r="C2055" t="s">
        <v>17</v>
      </c>
      <c r="D2055" t="s">
        <v>511</v>
      </c>
      <c r="E2055" s="52" t="s">
        <v>512</v>
      </c>
      <c r="F2055" t="s">
        <v>19</v>
      </c>
      <c r="G2055" s="21">
        <v>-0.04</v>
      </c>
      <c r="H2055" s="21">
        <v>0</v>
      </c>
      <c r="I2055" s="21">
        <v>0</v>
      </c>
      <c r="J2055" s="21">
        <v>0</v>
      </c>
      <c r="K2055" s="21">
        <v>0.03</v>
      </c>
      <c r="L2055" s="21">
        <v>-0.01</v>
      </c>
    </row>
    <row r="2056" spans="1:12" x14ac:dyDescent="0.25">
      <c r="A2056" s="10">
        <v>2051</v>
      </c>
      <c r="B2056" t="s">
        <v>18</v>
      </c>
      <c r="C2056" t="s">
        <v>17</v>
      </c>
      <c r="D2056" t="s">
        <v>511</v>
      </c>
      <c r="E2056" s="52" t="s">
        <v>512</v>
      </c>
      <c r="F2056" t="s">
        <v>19</v>
      </c>
      <c r="G2056" s="21">
        <v>-0.02</v>
      </c>
      <c r="H2056" s="21">
        <v>0</v>
      </c>
      <c r="I2056" s="21">
        <v>0</v>
      </c>
      <c r="J2056" s="21">
        <v>0</v>
      </c>
      <c r="K2056" s="21">
        <v>0.02</v>
      </c>
      <c r="L2056" s="21">
        <v>0</v>
      </c>
    </row>
    <row r="2057" spans="1:12" x14ac:dyDescent="0.25">
      <c r="A2057" s="10">
        <v>2052</v>
      </c>
      <c r="B2057" t="s">
        <v>18</v>
      </c>
      <c r="C2057" t="s">
        <v>17</v>
      </c>
      <c r="D2057" t="s">
        <v>511</v>
      </c>
      <c r="E2057" s="52" t="s">
        <v>512</v>
      </c>
      <c r="F2057" t="s">
        <v>19</v>
      </c>
      <c r="G2057" s="21">
        <v>-0.78</v>
      </c>
      <c r="H2057" s="21">
        <v>0</v>
      </c>
      <c r="I2057" s="21">
        <v>0</v>
      </c>
      <c r="J2057" s="21">
        <v>0</v>
      </c>
      <c r="K2057" s="21">
        <v>0.69</v>
      </c>
      <c r="L2057" s="21">
        <v>-0.09</v>
      </c>
    </row>
    <row r="2058" spans="1:12" x14ac:dyDescent="0.25">
      <c r="A2058" s="10">
        <v>2053</v>
      </c>
      <c r="B2058" t="s">
        <v>18</v>
      </c>
      <c r="C2058" t="s">
        <v>17</v>
      </c>
      <c r="D2058" t="s">
        <v>511</v>
      </c>
      <c r="E2058" s="52" t="s">
        <v>512</v>
      </c>
      <c r="F2058" t="s">
        <v>19</v>
      </c>
      <c r="G2058" s="21">
        <v>-0.09</v>
      </c>
      <c r="H2058" s="21">
        <v>0</v>
      </c>
      <c r="I2058" s="21">
        <v>0</v>
      </c>
      <c r="J2058" s="21">
        <v>0</v>
      </c>
      <c r="K2058" s="21">
        <v>0.08</v>
      </c>
      <c r="L2058" s="21">
        <v>-0.01</v>
      </c>
    </row>
    <row r="2059" spans="1:12" x14ac:dyDescent="0.25">
      <c r="A2059" s="10">
        <v>2054</v>
      </c>
      <c r="B2059" t="s">
        <v>18</v>
      </c>
      <c r="C2059" t="s">
        <v>17</v>
      </c>
      <c r="D2059" t="s">
        <v>511</v>
      </c>
      <c r="E2059" s="52" t="s">
        <v>512</v>
      </c>
      <c r="F2059" t="s">
        <v>19</v>
      </c>
      <c r="G2059" s="21">
        <v>-0.02</v>
      </c>
      <c r="H2059" s="21">
        <v>0</v>
      </c>
      <c r="I2059" s="21">
        <v>0</v>
      </c>
      <c r="J2059" s="21">
        <v>0</v>
      </c>
      <c r="K2059" s="21">
        <v>0.02</v>
      </c>
      <c r="L2059" s="21">
        <v>0</v>
      </c>
    </row>
    <row r="2060" spans="1:12" x14ac:dyDescent="0.25">
      <c r="A2060" s="10">
        <v>2055</v>
      </c>
      <c r="B2060" t="s">
        <v>18</v>
      </c>
      <c r="C2060" t="s">
        <v>17</v>
      </c>
      <c r="D2060" t="s">
        <v>511</v>
      </c>
      <c r="E2060" s="52" t="s">
        <v>512</v>
      </c>
      <c r="F2060" t="s">
        <v>19</v>
      </c>
      <c r="G2060" s="21">
        <v>0</v>
      </c>
      <c r="H2060" s="21">
        <v>0</v>
      </c>
      <c r="I2060" s="21">
        <v>0</v>
      </c>
      <c r="J2060" s="21">
        <v>0</v>
      </c>
      <c r="K2060" s="21">
        <v>0</v>
      </c>
      <c r="L2060" s="21">
        <v>0</v>
      </c>
    </row>
    <row r="2061" spans="1:12" x14ac:dyDescent="0.25">
      <c r="A2061" s="10">
        <v>2056</v>
      </c>
      <c r="B2061" t="s">
        <v>18</v>
      </c>
      <c r="C2061" t="s">
        <v>17</v>
      </c>
      <c r="D2061" t="s">
        <v>511</v>
      </c>
      <c r="E2061" s="52" t="s">
        <v>512</v>
      </c>
      <c r="F2061" t="s">
        <v>19</v>
      </c>
      <c r="G2061" s="21">
        <v>-0.01</v>
      </c>
      <c r="H2061" s="21">
        <v>0</v>
      </c>
      <c r="I2061" s="21">
        <v>0</v>
      </c>
      <c r="J2061" s="21">
        <v>0</v>
      </c>
      <c r="K2061" s="21">
        <v>0.01</v>
      </c>
      <c r="L2061" s="21">
        <v>0</v>
      </c>
    </row>
    <row r="2062" spans="1:12" x14ac:dyDescent="0.25">
      <c r="A2062" s="10">
        <v>2057</v>
      </c>
      <c r="B2062" t="s">
        <v>18</v>
      </c>
      <c r="C2062" t="s">
        <v>17</v>
      </c>
      <c r="D2062" t="s">
        <v>511</v>
      </c>
      <c r="E2062" s="52" t="s">
        <v>512</v>
      </c>
      <c r="F2062" t="s">
        <v>19</v>
      </c>
      <c r="G2062" s="21">
        <v>0</v>
      </c>
      <c r="H2062" s="21">
        <v>0</v>
      </c>
      <c r="I2062" s="21">
        <v>0</v>
      </c>
      <c r="J2062" s="21">
        <v>0</v>
      </c>
      <c r="K2062" s="21">
        <v>0</v>
      </c>
      <c r="L2062" s="21">
        <v>0</v>
      </c>
    </row>
    <row r="2063" spans="1:12" x14ac:dyDescent="0.25">
      <c r="A2063" s="10">
        <v>2058</v>
      </c>
      <c r="B2063" t="s">
        <v>18</v>
      </c>
      <c r="C2063" t="s">
        <v>17</v>
      </c>
      <c r="D2063" t="s">
        <v>511</v>
      </c>
      <c r="E2063" s="52" t="s">
        <v>512</v>
      </c>
      <c r="F2063" t="s">
        <v>19</v>
      </c>
      <c r="G2063" s="21">
        <v>0</v>
      </c>
      <c r="H2063" s="21">
        <v>0</v>
      </c>
      <c r="I2063" s="21">
        <v>0</v>
      </c>
      <c r="J2063" s="21">
        <v>0</v>
      </c>
      <c r="K2063" s="21">
        <v>0</v>
      </c>
      <c r="L2063" s="21">
        <v>0</v>
      </c>
    </row>
    <row r="2064" spans="1:12" x14ac:dyDescent="0.25">
      <c r="A2064" s="10">
        <v>2059</v>
      </c>
      <c r="B2064" t="s">
        <v>18</v>
      </c>
      <c r="C2064" t="s">
        <v>17</v>
      </c>
      <c r="D2064" t="s">
        <v>511</v>
      </c>
      <c r="E2064" s="52" t="s">
        <v>512</v>
      </c>
      <c r="F2064" t="s">
        <v>19</v>
      </c>
      <c r="G2064" s="21">
        <v>-0.02</v>
      </c>
      <c r="H2064" s="21">
        <v>0</v>
      </c>
      <c r="I2064" s="21">
        <v>0</v>
      </c>
      <c r="J2064" s="21">
        <v>0</v>
      </c>
      <c r="K2064" s="21">
        <v>0.02</v>
      </c>
      <c r="L2064" s="21">
        <v>0</v>
      </c>
    </row>
    <row r="2065" spans="1:12" x14ac:dyDescent="0.25">
      <c r="A2065" s="10">
        <v>2060</v>
      </c>
      <c r="B2065" t="s">
        <v>550</v>
      </c>
      <c r="C2065" t="s">
        <v>17</v>
      </c>
      <c r="D2065" t="s">
        <v>511</v>
      </c>
      <c r="E2065" s="52" t="s">
        <v>512</v>
      </c>
      <c r="F2065" t="s">
        <v>551</v>
      </c>
      <c r="G2065" s="21">
        <v>-2.74</v>
      </c>
      <c r="H2065" s="21">
        <v>0</v>
      </c>
      <c r="I2065" s="21">
        <v>0</v>
      </c>
      <c r="J2065" s="21">
        <v>0</v>
      </c>
      <c r="K2065" s="21">
        <v>0.05</v>
      </c>
      <c r="L2065" s="21">
        <v>-2.69</v>
      </c>
    </row>
    <row r="2066" spans="1:12" x14ac:dyDescent="0.25">
      <c r="A2066" s="10">
        <v>2061</v>
      </c>
      <c r="B2066" t="s">
        <v>550</v>
      </c>
      <c r="C2066" t="s">
        <v>17</v>
      </c>
      <c r="D2066" t="s">
        <v>511</v>
      </c>
      <c r="E2066" s="52" t="s">
        <v>512</v>
      </c>
      <c r="F2066" t="s">
        <v>551</v>
      </c>
      <c r="G2066" s="21">
        <v>-102.81</v>
      </c>
      <c r="H2066" s="21">
        <v>0</v>
      </c>
      <c r="I2066" s="21">
        <v>0</v>
      </c>
      <c r="J2066" s="21">
        <v>0</v>
      </c>
      <c r="K2066" s="21">
        <v>2.06</v>
      </c>
      <c r="L2066" s="21">
        <v>-100.75</v>
      </c>
    </row>
    <row r="2067" spans="1:12" x14ac:dyDescent="0.25">
      <c r="A2067" s="10">
        <v>2062</v>
      </c>
      <c r="B2067" t="s">
        <v>550</v>
      </c>
      <c r="C2067" t="s">
        <v>17</v>
      </c>
      <c r="D2067" t="s">
        <v>511</v>
      </c>
      <c r="E2067" s="52" t="s">
        <v>512</v>
      </c>
      <c r="F2067" t="s">
        <v>551</v>
      </c>
      <c r="G2067" s="21">
        <v>-19.350000000000001</v>
      </c>
      <c r="H2067" s="21">
        <v>0</v>
      </c>
      <c r="I2067" s="21">
        <v>0</v>
      </c>
      <c r="J2067" s="21">
        <v>0</v>
      </c>
      <c r="K2067" s="21">
        <v>0.39</v>
      </c>
      <c r="L2067" s="21">
        <v>-18.96</v>
      </c>
    </row>
    <row r="2068" spans="1:12" x14ac:dyDescent="0.25">
      <c r="A2068" s="10">
        <v>2063</v>
      </c>
      <c r="B2068" t="s">
        <v>550</v>
      </c>
      <c r="C2068" t="s">
        <v>17</v>
      </c>
      <c r="D2068" t="s">
        <v>511</v>
      </c>
      <c r="E2068" s="52" t="s">
        <v>512</v>
      </c>
      <c r="F2068" t="s">
        <v>551</v>
      </c>
      <c r="G2068" s="21">
        <v>-5.35</v>
      </c>
      <c r="H2068" s="21">
        <v>0</v>
      </c>
      <c r="I2068" s="21">
        <v>0</v>
      </c>
      <c r="J2068" s="21">
        <v>0</v>
      </c>
      <c r="K2068" s="21">
        <v>0.11</v>
      </c>
      <c r="L2068" s="21">
        <v>-5.24</v>
      </c>
    </row>
    <row r="2069" spans="1:12" x14ac:dyDescent="0.25">
      <c r="A2069" s="10">
        <v>2064</v>
      </c>
      <c r="B2069" t="s">
        <v>550</v>
      </c>
      <c r="C2069" t="s">
        <v>17</v>
      </c>
      <c r="D2069" t="s">
        <v>511</v>
      </c>
      <c r="E2069" s="52" t="s">
        <v>512</v>
      </c>
      <c r="F2069" t="s">
        <v>551</v>
      </c>
      <c r="G2069" s="21">
        <v>-1171.18</v>
      </c>
      <c r="H2069" s="21">
        <v>0</v>
      </c>
      <c r="I2069" s="21">
        <v>0</v>
      </c>
      <c r="J2069" s="21">
        <v>0</v>
      </c>
      <c r="K2069" s="21">
        <v>23.42</v>
      </c>
      <c r="L2069" s="21">
        <v>-1147.76</v>
      </c>
    </row>
    <row r="2070" spans="1:12" x14ac:dyDescent="0.25">
      <c r="A2070" s="10">
        <v>2065</v>
      </c>
      <c r="B2070" t="s">
        <v>550</v>
      </c>
      <c r="C2070" t="s">
        <v>13</v>
      </c>
      <c r="D2070" t="s">
        <v>511</v>
      </c>
      <c r="E2070" s="52" t="s">
        <v>512</v>
      </c>
      <c r="F2070" t="s">
        <v>551</v>
      </c>
      <c r="G2070" s="21">
        <v>0</v>
      </c>
      <c r="H2070" s="21">
        <v>0</v>
      </c>
      <c r="I2070" s="21">
        <v>0</v>
      </c>
      <c r="J2070" s="21">
        <v>-113695.92</v>
      </c>
      <c r="K2070" s="21">
        <v>0</v>
      </c>
      <c r="L2070" s="21">
        <v>-113695.92</v>
      </c>
    </row>
    <row r="2071" spans="1:12" x14ac:dyDescent="0.25">
      <c r="A2071" s="10">
        <v>2066</v>
      </c>
      <c r="B2071" t="s">
        <v>550</v>
      </c>
      <c r="C2071" t="s">
        <v>13</v>
      </c>
      <c r="D2071" t="s">
        <v>511</v>
      </c>
      <c r="E2071" s="52" t="s">
        <v>512</v>
      </c>
      <c r="F2071" t="s">
        <v>551</v>
      </c>
      <c r="G2071" s="21">
        <v>0</v>
      </c>
      <c r="H2071" s="21">
        <v>0</v>
      </c>
      <c r="I2071" s="21">
        <v>0</v>
      </c>
      <c r="J2071" s="21">
        <v>-423.51</v>
      </c>
      <c r="K2071" s="21">
        <v>0</v>
      </c>
      <c r="L2071" s="21">
        <v>-423.51</v>
      </c>
    </row>
    <row r="2072" spans="1:12" x14ac:dyDescent="0.25">
      <c r="A2072" s="10">
        <v>2067</v>
      </c>
      <c r="B2072" t="s">
        <v>550</v>
      </c>
      <c r="C2072" t="s">
        <v>17</v>
      </c>
      <c r="D2072" t="s">
        <v>511</v>
      </c>
      <c r="E2072" s="52" t="s">
        <v>512</v>
      </c>
      <c r="F2072" t="s">
        <v>551</v>
      </c>
      <c r="G2072" s="21">
        <v>-525.64</v>
      </c>
      <c r="H2072" s="21">
        <v>0</v>
      </c>
      <c r="I2072" s="21">
        <v>0</v>
      </c>
      <c r="J2072" s="21">
        <v>0</v>
      </c>
      <c r="K2072" s="21">
        <v>10.51</v>
      </c>
      <c r="L2072" s="21">
        <v>-515.13</v>
      </c>
    </row>
    <row r="2073" spans="1:12" x14ac:dyDescent="0.25">
      <c r="A2073" s="10">
        <v>2068</v>
      </c>
      <c r="B2073" t="s">
        <v>550</v>
      </c>
      <c r="C2073" t="s">
        <v>17</v>
      </c>
      <c r="D2073" t="s">
        <v>511</v>
      </c>
      <c r="E2073" s="52" t="s">
        <v>512</v>
      </c>
      <c r="F2073" t="s">
        <v>551</v>
      </c>
      <c r="G2073" s="21">
        <v>-4390.33</v>
      </c>
      <c r="H2073" s="21">
        <v>0</v>
      </c>
      <c r="I2073" s="21">
        <v>0</v>
      </c>
      <c r="J2073" s="21">
        <v>0</v>
      </c>
      <c r="K2073" s="21">
        <v>87.81</v>
      </c>
      <c r="L2073" s="21">
        <v>-4302.5200000000004</v>
      </c>
    </row>
    <row r="2074" spans="1:12" x14ac:dyDescent="0.25">
      <c r="A2074" s="10">
        <v>2069</v>
      </c>
      <c r="B2074" t="s">
        <v>550</v>
      </c>
      <c r="C2074" t="s">
        <v>17</v>
      </c>
      <c r="D2074" t="s">
        <v>511</v>
      </c>
      <c r="E2074" s="52" t="s">
        <v>512</v>
      </c>
      <c r="F2074" t="s">
        <v>551</v>
      </c>
      <c r="G2074" s="21">
        <v>-947465.97</v>
      </c>
      <c r="H2074" s="21">
        <v>0</v>
      </c>
      <c r="I2074" s="21">
        <v>0</v>
      </c>
      <c r="J2074" s="21">
        <v>0</v>
      </c>
      <c r="K2074" s="21">
        <v>18949.32</v>
      </c>
      <c r="L2074" s="21">
        <v>-928516.65</v>
      </c>
    </row>
    <row r="2075" spans="1:12" x14ac:dyDescent="0.25">
      <c r="A2075" s="10">
        <v>2070</v>
      </c>
      <c r="B2075" t="s">
        <v>550</v>
      </c>
      <c r="C2075" t="s">
        <v>17</v>
      </c>
      <c r="D2075" t="s">
        <v>511</v>
      </c>
      <c r="E2075" s="52" t="s">
        <v>512</v>
      </c>
      <c r="F2075" t="s">
        <v>551</v>
      </c>
      <c r="G2075" s="21">
        <v>-3529.22</v>
      </c>
      <c r="H2075" s="21">
        <v>0</v>
      </c>
      <c r="I2075" s="21">
        <v>0</v>
      </c>
      <c r="J2075" s="21">
        <v>0</v>
      </c>
      <c r="K2075" s="21">
        <v>70.58</v>
      </c>
      <c r="L2075" s="21">
        <v>-3458.64</v>
      </c>
    </row>
    <row r="2076" spans="1:12" x14ac:dyDescent="0.25">
      <c r="A2076" s="10">
        <v>2071</v>
      </c>
      <c r="B2076" t="s">
        <v>550</v>
      </c>
      <c r="C2076" t="s">
        <v>13</v>
      </c>
      <c r="D2076" t="s">
        <v>511</v>
      </c>
      <c r="E2076" s="52" t="s">
        <v>512</v>
      </c>
      <c r="F2076" t="s">
        <v>551</v>
      </c>
      <c r="G2076" s="21">
        <v>0</v>
      </c>
      <c r="H2076" s="21">
        <v>0</v>
      </c>
      <c r="I2076" s="21">
        <v>0</v>
      </c>
      <c r="J2076" s="21">
        <v>-0.33</v>
      </c>
      <c r="K2076" s="21">
        <v>0</v>
      </c>
      <c r="L2076" s="21">
        <v>-0.33</v>
      </c>
    </row>
    <row r="2077" spans="1:12" x14ac:dyDescent="0.25">
      <c r="A2077" s="10">
        <v>2072</v>
      </c>
      <c r="B2077" t="s">
        <v>550</v>
      </c>
      <c r="C2077" t="s">
        <v>13</v>
      </c>
      <c r="D2077" t="s">
        <v>511</v>
      </c>
      <c r="E2077" s="52" t="s">
        <v>512</v>
      </c>
      <c r="F2077" t="s">
        <v>551</v>
      </c>
      <c r="G2077" s="21">
        <v>0</v>
      </c>
      <c r="H2077" s="21">
        <v>0</v>
      </c>
      <c r="I2077" s="21">
        <v>0</v>
      </c>
      <c r="J2077" s="21">
        <v>-12.34</v>
      </c>
      <c r="K2077" s="21">
        <v>0</v>
      </c>
      <c r="L2077" s="21">
        <v>-12.34</v>
      </c>
    </row>
    <row r="2078" spans="1:12" x14ac:dyDescent="0.25">
      <c r="A2078" s="10">
        <v>2073</v>
      </c>
      <c r="B2078" t="s">
        <v>550</v>
      </c>
      <c r="C2078" t="s">
        <v>13</v>
      </c>
      <c r="D2078" t="s">
        <v>511</v>
      </c>
      <c r="E2078" s="52" t="s">
        <v>512</v>
      </c>
      <c r="F2078" t="s">
        <v>551</v>
      </c>
      <c r="G2078" s="21">
        <v>0</v>
      </c>
      <c r="H2078" s="21">
        <v>0</v>
      </c>
      <c r="I2078" s="21">
        <v>0</v>
      </c>
      <c r="J2078" s="21">
        <v>-2.3199999999999998</v>
      </c>
      <c r="K2078" s="21">
        <v>0</v>
      </c>
      <c r="L2078" s="21">
        <v>-2.3199999999999998</v>
      </c>
    </row>
    <row r="2079" spans="1:12" x14ac:dyDescent="0.25">
      <c r="A2079" s="10">
        <v>2074</v>
      </c>
      <c r="B2079" t="s">
        <v>550</v>
      </c>
      <c r="C2079" t="s">
        <v>13</v>
      </c>
      <c r="D2079" t="s">
        <v>511</v>
      </c>
      <c r="E2079" s="52" t="s">
        <v>512</v>
      </c>
      <c r="F2079" t="s">
        <v>551</v>
      </c>
      <c r="G2079" s="21">
        <v>0</v>
      </c>
      <c r="H2079" s="21">
        <v>0</v>
      </c>
      <c r="I2079" s="21">
        <v>0</v>
      </c>
      <c r="J2079" s="21">
        <v>-0.64</v>
      </c>
      <c r="K2079" s="21">
        <v>0</v>
      </c>
      <c r="L2079" s="21">
        <v>-0.64</v>
      </c>
    </row>
    <row r="2080" spans="1:12" x14ac:dyDescent="0.25">
      <c r="A2080" s="10">
        <v>2075</v>
      </c>
      <c r="B2080" t="s">
        <v>550</v>
      </c>
      <c r="C2080" t="s">
        <v>13</v>
      </c>
      <c r="D2080" t="s">
        <v>511</v>
      </c>
      <c r="E2080" s="52" t="s">
        <v>512</v>
      </c>
      <c r="F2080" t="s">
        <v>551</v>
      </c>
      <c r="G2080" s="21">
        <v>0</v>
      </c>
      <c r="H2080" s="21">
        <v>0</v>
      </c>
      <c r="I2080" s="21">
        <v>0</v>
      </c>
      <c r="J2080" s="21">
        <v>-140.54</v>
      </c>
      <c r="K2080" s="21">
        <v>0</v>
      </c>
      <c r="L2080" s="21">
        <v>-140.54</v>
      </c>
    </row>
    <row r="2081" spans="1:12" x14ac:dyDescent="0.25">
      <c r="A2081" s="10">
        <v>2076</v>
      </c>
      <c r="B2081" t="s">
        <v>550</v>
      </c>
      <c r="C2081" t="s">
        <v>13</v>
      </c>
      <c r="D2081" t="s">
        <v>511</v>
      </c>
      <c r="E2081" s="52" t="s">
        <v>512</v>
      </c>
      <c r="F2081" t="s">
        <v>551</v>
      </c>
      <c r="G2081" s="21">
        <v>0</v>
      </c>
      <c r="H2081" s="21">
        <v>0</v>
      </c>
      <c r="I2081" s="21">
        <v>0</v>
      </c>
      <c r="J2081" s="21">
        <v>-63.08</v>
      </c>
      <c r="K2081" s="21">
        <v>0</v>
      </c>
      <c r="L2081" s="21">
        <v>-63.08</v>
      </c>
    </row>
    <row r="2082" spans="1:12" x14ac:dyDescent="0.25">
      <c r="A2082" s="10">
        <v>2077</v>
      </c>
      <c r="B2082" t="s">
        <v>550</v>
      </c>
      <c r="C2082" t="s">
        <v>13</v>
      </c>
      <c r="D2082" t="s">
        <v>511</v>
      </c>
      <c r="E2082" s="52" t="s">
        <v>512</v>
      </c>
      <c r="F2082" t="s">
        <v>551</v>
      </c>
      <c r="G2082" s="21">
        <v>0</v>
      </c>
      <c r="H2082" s="21">
        <v>0</v>
      </c>
      <c r="I2082" s="21">
        <v>0</v>
      </c>
      <c r="J2082" s="21">
        <v>-526.84</v>
      </c>
      <c r="K2082" s="21">
        <v>0</v>
      </c>
      <c r="L2082" s="21">
        <v>-526.84</v>
      </c>
    </row>
    <row r="2083" spans="1:12" x14ac:dyDescent="0.25">
      <c r="A2083" s="10">
        <v>2078</v>
      </c>
      <c r="B2083" t="s">
        <v>550</v>
      </c>
      <c r="C2083" t="s">
        <v>17</v>
      </c>
      <c r="D2083" t="s">
        <v>511</v>
      </c>
      <c r="E2083" s="52" t="s">
        <v>512</v>
      </c>
      <c r="F2083" t="s">
        <v>552</v>
      </c>
      <c r="G2083" s="21">
        <v>-0.01</v>
      </c>
      <c r="H2083" s="21">
        <v>0</v>
      </c>
      <c r="I2083" s="21">
        <v>0</v>
      </c>
      <c r="J2083" s="21">
        <v>0</v>
      </c>
      <c r="K2083" s="21">
        <v>0</v>
      </c>
      <c r="L2083" s="21">
        <v>-0.01</v>
      </c>
    </row>
    <row r="2084" spans="1:12" x14ac:dyDescent="0.25">
      <c r="A2084" s="10">
        <v>2079</v>
      </c>
      <c r="B2084" t="s">
        <v>550</v>
      </c>
      <c r="C2084" t="s">
        <v>17</v>
      </c>
      <c r="D2084" t="s">
        <v>511</v>
      </c>
      <c r="E2084" s="52" t="s">
        <v>512</v>
      </c>
      <c r="F2084" t="s">
        <v>552</v>
      </c>
      <c r="G2084" s="21">
        <v>-0.08</v>
      </c>
      <c r="H2084" s="21">
        <v>0</v>
      </c>
      <c r="I2084" s="21">
        <v>0</v>
      </c>
      <c r="J2084" s="21">
        <v>0</v>
      </c>
      <c r="K2084" s="21">
        <v>0</v>
      </c>
      <c r="L2084" s="21">
        <v>-0.08</v>
      </c>
    </row>
    <row r="2085" spans="1:12" x14ac:dyDescent="0.25">
      <c r="A2085" s="10">
        <v>2080</v>
      </c>
      <c r="B2085" t="s">
        <v>550</v>
      </c>
      <c r="C2085" t="s">
        <v>13</v>
      </c>
      <c r="D2085" t="s">
        <v>511</v>
      </c>
      <c r="E2085" s="52" t="s">
        <v>512</v>
      </c>
      <c r="F2085" t="s">
        <v>552</v>
      </c>
      <c r="G2085" s="21">
        <v>0</v>
      </c>
      <c r="H2085" s="21">
        <v>0</v>
      </c>
      <c r="I2085" s="21">
        <v>0</v>
      </c>
      <c r="J2085" s="21">
        <v>-8.18</v>
      </c>
      <c r="K2085" s="21">
        <v>0</v>
      </c>
      <c r="L2085" s="21">
        <v>-8.18</v>
      </c>
    </row>
    <row r="2086" spans="1:12" x14ac:dyDescent="0.25">
      <c r="A2086" s="10">
        <v>2081</v>
      </c>
      <c r="B2086" t="s">
        <v>550</v>
      </c>
      <c r="C2086" t="s">
        <v>13</v>
      </c>
      <c r="D2086" t="s">
        <v>511</v>
      </c>
      <c r="E2086" s="52" t="s">
        <v>512</v>
      </c>
      <c r="F2086" t="s">
        <v>552</v>
      </c>
      <c r="G2086" s="21">
        <v>0</v>
      </c>
      <c r="H2086" s="21">
        <v>0</v>
      </c>
      <c r="I2086" s="21">
        <v>0</v>
      </c>
      <c r="J2086" s="21">
        <v>-0.03</v>
      </c>
      <c r="K2086" s="21">
        <v>0</v>
      </c>
      <c r="L2086" s="21">
        <v>-0.03</v>
      </c>
    </row>
    <row r="2087" spans="1:12" x14ac:dyDescent="0.25">
      <c r="A2087" s="10">
        <v>2082</v>
      </c>
      <c r="B2087" t="s">
        <v>550</v>
      </c>
      <c r="C2087" t="s">
        <v>17</v>
      </c>
      <c r="D2087" t="s">
        <v>511</v>
      </c>
      <c r="E2087" s="52" t="s">
        <v>512</v>
      </c>
      <c r="F2087" t="s">
        <v>552</v>
      </c>
      <c r="G2087" s="21">
        <v>-0.04</v>
      </c>
      <c r="H2087" s="21">
        <v>0</v>
      </c>
      <c r="I2087" s="21">
        <v>0</v>
      </c>
      <c r="J2087" s="21">
        <v>0</v>
      </c>
      <c r="K2087" s="21">
        <v>0</v>
      </c>
      <c r="L2087" s="21">
        <v>-0.04</v>
      </c>
    </row>
    <row r="2088" spans="1:12" x14ac:dyDescent="0.25">
      <c r="A2088" s="10">
        <v>2083</v>
      </c>
      <c r="B2088" t="s">
        <v>550</v>
      </c>
      <c r="C2088" t="s">
        <v>17</v>
      </c>
      <c r="D2088" t="s">
        <v>511</v>
      </c>
      <c r="E2088" s="52" t="s">
        <v>512</v>
      </c>
      <c r="F2088" t="s">
        <v>552</v>
      </c>
      <c r="G2088" s="21">
        <v>-0.32</v>
      </c>
      <c r="H2088" s="21">
        <v>0</v>
      </c>
      <c r="I2088" s="21">
        <v>0</v>
      </c>
      <c r="J2088" s="21">
        <v>0</v>
      </c>
      <c r="K2088" s="21">
        <v>0.01</v>
      </c>
      <c r="L2088" s="21">
        <v>-0.31</v>
      </c>
    </row>
    <row r="2089" spans="1:12" x14ac:dyDescent="0.25">
      <c r="A2089" s="10">
        <v>2084</v>
      </c>
      <c r="B2089" t="s">
        <v>550</v>
      </c>
      <c r="C2089" t="s">
        <v>17</v>
      </c>
      <c r="D2089" t="s">
        <v>511</v>
      </c>
      <c r="E2089" s="52" t="s">
        <v>512</v>
      </c>
      <c r="F2089" t="s">
        <v>552</v>
      </c>
      <c r="G2089" s="21">
        <v>-68.150000000000006</v>
      </c>
      <c r="H2089" s="21">
        <v>0</v>
      </c>
      <c r="I2089" s="21">
        <v>0</v>
      </c>
      <c r="J2089" s="21">
        <v>0</v>
      </c>
      <c r="K2089" s="21">
        <v>1.36</v>
      </c>
      <c r="L2089" s="21">
        <v>-66.790000000000006</v>
      </c>
    </row>
    <row r="2090" spans="1:12" x14ac:dyDescent="0.25">
      <c r="A2090" s="10">
        <v>2085</v>
      </c>
      <c r="B2090" t="s">
        <v>550</v>
      </c>
      <c r="C2090" t="s">
        <v>17</v>
      </c>
      <c r="D2090" t="s">
        <v>511</v>
      </c>
      <c r="E2090" s="52" t="s">
        <v>512</v>
      </c>
      <c r="F2090" t="s">
        <v>552</v>
      </c>
      <c r="G2090" s="21">
        <v>-0.25</v>
      </c>
      <c r="H2090" s="21">
        <v>0</v>
      </c>
      <c r="I2090" s="21">
        <v>0</v>
      </c>
      <c r="J2090" s="21">
        <v>0</v>
      </c>
      <c r="K2090" s="21">
        <v>0</v>
      </c>
      <c r="L2090" s="21">
        <v>-0.25</v>
      </c>
    </row>
    <row r="2091" spans="1:12" x14ac:dyDescent="0.25">
      <c r="A2091" s="10">
        <v>2086</v>
      </c>
      <c r="B2091" t="s">
        <v>550</v>
      </c>
      <c r="C2091" t="s">
        <v>13</v>
      </c>
      <c r="D2091" t="s">
        <v>511</v>
      </c>
      <c r="E2091" s="52" t="s">
        <v>512</v>
      </c>
      <c r="F2091" t="s">
        <v>552</v>
      </c>
      <c r="G2091" s="21">
        <v>0</v>
      </c>
      <c r="H2091" s="21">
        <v>0</v>
      </c>
      <c r="I2091" s="21">
        <v>0</v>
      </c>
      <c r="J2091" s="21">
        <v>0</v>
      </c>
      <c r="K2091" s="21">
        <v>0</v>
      </c>
      <c r="L2091" s="21">
        <v>0</v>
      </c>
    </row>
    <row r="2092" spans="1:12" x14ac:dyDescent="0.25">
      <c r="A2092" s="10">
        <v>2087</v>
      </c>
      <c r="B2092" t="s">
        <v>550</v>
      </c>
      <c r="C2092" t="s">
        <v>13</v>
      </c>
      <c r="D2092" t="s">
        <v>511</v>
      </c>
      <c r="E2092" s="52" t="s">
        <v>512</v>
      </c>
      <c r="F2092" t="s">
        <v>552</v>
      </c>
      <c r="G2092" s="21">
        <v>0</v>
      </c>
      <c r="H2092" s="21">
        <v>0</v>
      </c>
      <c r="I2092" s="21">
        <v>0</v>
      </c>
      <c r="J2092" s="21">
        <v>-0.01</v>
      </c>
      <c r="K2092" s="21">
        <v>0</v>
      </c>
      <c r="L2092" s="21">
        <v>-0.01</v>
      </c>
    </row>
    <row r="2093" spans="1:12" x14ac:dyDescent="0.25">
      <c r="A2093" s="10">
        <v>2088</v>
      </c>
      <c r="B2093" t="s">
        <v>550</v>
      </c>
      <c r="C2093" t="s">
        <v>13</v>
      </c>
      <c r="D2093" t="s">
        <v>511</v>
      </c>
      <c r="E2093" s="52" t="s">
        <v>512</v>
      </c>
      <c r="F2093" t="s">
        <v>552</v>
      </c>
      <c r="G2093" s="21">
        <v>0</v>
      </c>
      <c r="H2093" s="21">
        <v>0</v>
      </c>
      <c r="I2093" s="21">
        <v>0</v>
      </c>
      <c r="J2093" s="21">
        <v>0</v>
      </c>
      <c r="K2093" s="21">
        <v>0</v>
      </c>
      <c r="L2093" s="21">
        <v>0</v>
      </c>
    </row>
    <row r="2094" spans="1:12" x14ac:dyDescent="0.25">
      <c r="A2094" s="10">
        <v>2089</v>
      </c>
      <c r="B2094" t="s">
        <v>550</v>
      </c>
      <c r="C2094" t="s">
        <v>13</v>
      </c>
      <c r="D2094" t="s">
        <v>511</v>
      </c>
      <c r="E2094" s="52" t="s">
        <v>512</v>
      </c>
      <c r="F2094" t="s">
        <v>552</v>
      </c>
      <c r="G2094" s="21">
        <v>0</v>
      </c>
      <c r="H2094" s="21">
        <v>0</v>
      </c>
      <c r="I2094" s="21">
        <v>0</v>
      </c>
      <c r="J2094" s="21">
        <v>-0.04</v>
      </c>
      <c r="K2094" s="21">
        <v>0</v>
      </c>
      <c r="L2094" s="21">
        <v>-0.04</v>
      </c>
    </row>
    <row r="2095" spans="1:12" x14ac:dyDescent="0.25">
      <c r="A2095" s="10">
        <v>2090</v>
      </c>
      <c r="B2095" t="s">
        <v>550</v>
      </c>
      <c r="C2095" t="s">
        <v>13</v>
      </c>
      <c r="D2095" t="s">
        <v>645</v>
      </c>
      <c r="E2095" s="52" t="s">
        <v>646</v>
      </c>
      <c r="F2095" t="s">
        <v>551</v>
      </c>
      <c r="G2095" s="21">
        <v>0</v>
      </c>
      <c r="H2095" s="21">
        <v>0</v>
      </c>
      <c r="I2095" s="21">
        <v>0</v>
      </c>
      <c r="J2095" s="21">
        <v>0</v>
      </c>
      <c r="K2095" s="21">
        <v>0</v>
      </c>
      <c r="L2095" s="21">
        <v>0</v>
      </c>
    </row>
    <row r="2096" spans="1:12" x14ac:dyDescent="0.25">
      <c r="A2096" s="10">
        <v>2091</v>
      </c>
      <c r="B2096" t="s">
        <v>550</v>
      </c>
      <c r="C2096" t="s">
        <v>17</v>
      </c>
      <c r="D2096" t="s">
        <v>645</v>
      </c>
      <c r="E2096" s="52" t="s">
        <v>646</v>
      </c>
      <c r="F2096" t="s">
        <v>551</v>
      </c>
      <c r="G2096" s="21">
        <v>-0.01</v>
      </c>
      <c r="H2096" s="21">
        <v>0</v>
      </c>
      <c r="I2096" s="21">
        <v>0</v>
      </c>
      <c r="J2096" s="21">
        <v>0</v>
      </c>
      <c r="K2096" s="21">
        <v>0</v>
      </c>
      <c r="L2096" s="21">
        <v>-0.01</v>
      </c>
    </row>
    <row r="2097" spans="1:12" x14ac:dyDescent="0.25">
      <c r="A2097" s="10">
        <v>2092</v>
      </c>
      <c r="B2097" t="s">
        <v>555</v>
      </c>
      <c r="C2097" t="s">
        <v>17</v>
      </c>
      <c r="D2097" t="s">
        <v>513</v>
      </c>
      <c r="E2097" s="52" t="s">
        <v>514</v>
      </c>
      <c r="F2097" t="s">
        <v>556</v>
      </c>
      <c r="G2097" s="21">
        <v>0</v>
      </c>
      <c r="H2097" s="21">
        <v>0</v>
      </c>
      <c r="I2097" s="21">
        <v>-1831.49</v>
      </c>
      <c r="J2097" s="21">
        <v>0</v>
      </c>
      <c r="K2097" s="21">
        <v>36.630000000000003</v>
      </c>
      <c r="L2097" s="21">
        <v>-1794.86</v>
      </c>
    </row>
    <row r="2098" spans="1:12" x14ac:dyDescent="0.25">
      <c r="A2098" s="10">
        <v>2093</v>
      </c>
      <c r="B2098" t="s">
        <v>555</v>
      </c>
      <c r="C2098" t="s">
        <v>17</v>
      </c>
      <c r="D2098" t="s">
        <v>513</v>
      </c>
      <c r="E2098" s="52" t="s">
        <v>514</v>
      </c>
      <c r="F2098" t="s">
        <v>556</v>
      </c>
      <c r="G2098" s="21">
        <v>-24.93</v>
      </c>
      <c r="H2098" s="21">
        <v>0</v>
      </c>
      <c r="I2098" s="21">
        <v>0</v>
      </c>
      <c r="J2098" s="21">
        <v>0</v>
      </c>
      <c r="K2098" s="21">
        <v>0.5</v>
      </c>
      <c r="L2098" s="21">
        <v>-24.43</v>
      </c>
    </row>
    <row r="2099" spans="1:12" x14ac:dyDescent="0.25">
      <c r="A2099" s="10">
        <v>2094</v>
      </c>
      <c r="B2099" t="s">
        <v>555</v>
      </c>
      <c r="C2099" t="s">
        <v>17</v>
      </c>
      <c r="D2099" t="s">
        <v>513</v>
      </c>
      <c r="E2099" s="52" t="s">
        <v>514</v>
      </c>
      <c r="F2099" t="s">
        <v>556</v>
      </c>
      <c r="G2099" s="21">
        <v>-23.37</v>
      </c>
      <c r="H2099" s="21">
        <v>0</v>
      </c>
      <c r="I2099" s="21">
        <v>0</v>
      </c>
      <c r="J2099" s="21">
        <v>0</v>
      </c>
      <c r="K2099" s="21">
        <v>0.47</v>
      </c>
      <c r="L2099" s="21">
        <v>-22.9</v>
      </c>
    </row>
    <row r="2100" spans="1:12" x14ac:dyDescent="0.25">
      <c r="A2100" s="10">
        <v>2095</v>
      </c>
      <c r="B2100" t="s">
        <v>555</v>
      </c>
      <c r="C2100" t="s">
        <v>13</v>
      </c>
      <c r="D2100" t="s">
        <v>513</v>
      </c>
      <c r="E2100" s="52" t="s">
        <v>514</v>
      </c>
      <c r="F2100" t="s">
        <v>556</v>
      </c>
      <c r="G2100" s="21">
        <v>0</v>
      </c>
      <c r="H2100" s="21">
        <v>0</v>
      </c>
      <c r="I2100" s="21">
        <v>0</v>
      </c>
      <c r="J2100" s="21">
        <v>-2.99</v>
      </c>
      <c r="K2100" s="21">
        <v>0</v>
      </c>
      <c r="L2100" s="21">
        <v>-2.99</v>
      </c>
    </row>
    <row r="2101" spans="1:12" x14ac:dyDescent="0.25">
      <c r="A2101" s="10">
        <v>2096</v>
      </c>
      <c r="B2101" t="s">
        <v>555</v>
      </c>
      <c r="C2101" t="s">
        <v>13</v>
      </c>
      <c r="D2101" t="s">
        <v>513</v>
      </c>
      <c r="E2101" s="52" t="s">
        <v>514</v>
      </c>
      <c r="F2101" t="s">
        <v>556</v>
      </c>
      <c r="G2101" s="21">
        <v>0</v>
      </c>
      <c r="H2101" s="21">
        <v>0</v>
      </c>
      <c r="I2101" s="21">
        <v>0</v>
      </c>
      <c r="J2101" s="21">
        <v>-2.8</v>
      </c>
      <c r="K2101" s="21">
        <v>0</v>
      </c>
      <c r="L2101" s="21">
        <v>-2.8</v>
      </c>
    </row>
    <row r="2102" spans="1:12" x14ac:dyDescent="0.25">
      <c r="A2102" s="10">
        <v>2097</v>
      </c>
      <c r="B2102" t="s">
        <v>557</v>
      </c>
      <c r="C2102" t="s">
        <v>17</v>
      </c>
      <c r="D2102" t="s">
        <v>513</v>
      </c>
      <c r="E2102" s="52" t="s">
        <v>514</v>
      </c>
      <c r="F2102" t="s">
        <v>558</v>
      </c>
      <c r="G2102" s="21">
        <v>0</v>
      </c>
      <c r="H2102" s="21">
        <v>0</v>
      </c>
      <c r="I2102" s="21">
        <v>-1282.5999999999999</v>
      </c>
      <c r="J2102" s="21">
        <v>0</v>
      </c>
      <c r="K2102" s="21">
        <v>25.65</v>
      </c>
      <c r="L2102" s="21">
        <v>-1256.95</v>
      </c>
    </row>
    <row r="2103" spans="1:12" x14ac:dyDescent="0.25">
      <c r="A2103" s="10">
        <v>2098</v>
      </c>
      <c r="B2103" t="s">
        <v>557</v>
      </c>
      <c r="C2103" t="s">
        <v>17</v>
      </c>
      <c r="D2103" t="s">
        <v>513</v>
      </c>
      <c r="E2103" s="52" t="s">
        <v>514</v>
      </c>
      <c r="F2103" t="s">
        <v>558</v>
      </c>
      <c r="G2103" s="21">
        <v>-20.25</v>
      </c>
      <c r="H2103" s="21">
        <v>0</v>
      </c>
      <c r="I2103" s="21">
        <v>0</v>
      </c>
      <c r="J2103" s="21">
        <v>0</v>
      </c>
      <c r="K2103" s="21">
        <v>0.4</v>
      </c>
      <c r="L2103" s="21">
        <v>-19.850000000000001</v>
      </c>
    </row>
    <row r="2104" spans="1:12" x14ac:dyDescent="0.25">
      <c r="A2104" s="10">
        <v>2099</v>
      </c>
      <c r="B2104" t="s">
        <v>557</v>
      </c>
      <c r="C2104" t="s">
        <v>13</v>
      </c>
      <c r="D2104" t="s">
        <v>513</v>
      </c>
      <c r="E2104" s="52" t="s">
        <v>514</v>
      </c>
      <c r="F2104" t="s">
        <v>558</v>
      </c>
      <c r="G2104" s="21">
        <v>0</v>
      </c>
      <c r="H2104" s="21">
        <v>0</v>
      </c>
      <c r="I2104" s="21">
        <v>0</v>
      </c>
      <c r="J2104" s="21">
        <v>-2.4300000000000002</v>
      </c>
      <c r="K2104" s="21">
        <v>0</v>
      </c>
      <c r="L2104" s="21">
        <v>-2.4300000000000002</v>
      </c>
    </row>
    <row r="2105" spans="1:12" x14ac:dyDescent="0.25">
      <c r="A2105" s="10">
        <v>2100</v>
      </c>
      <c r="B2105" t="s">
        <v>559</v>
      </c>
      <c r="C2105" t="s">
        <v>17</v>
      </c>
      <c r="D2105" t="s">
        <v>513</v>
      </c>
      <c r="E2105" s="52" t="s">
        <v>514</v>
      </c>
      <c r="F2105" t="s">
        <v>560</v>
      </c>
      <c r="G2105" s="21">
        <v>-0.08</v>
      </c>
      <c r="H2105" s="21">
        <v>0</v>
      </c>
      <c r="I2105" s="21">
        <v>0</v>
      </c>
      <c r="J2105" s="21">
        <v>0</v>
      </c>
      <c r="K2105" s="21">
        <v>0</v>
      </c>
      <c r="L2105" s="21">
        <v>-0.08</v>
      </c>
    </row>
    <row r="2106" spans="1:12" x14ac:dyDescent="0.25">
      <c r="A2106" s="10">
        <v>2101</v>
      </c>
      <c r="B2106" t="s">
        <v>559</v>
      </c>
      <c r="C2106" t="s">
        <v>13</v>
      </c>
      <c r="D2106" t="s">
        <v>513</v>
      </c>
      <c r="E2106" s="52" t="s">
        <v>514</v>
      </c>
      <c r="F2106" t="s">
        <v>560</v>
      </c>
      <c r="G2106" s="21">
        <v>0</v>
      </c>
      <c r="H2106" s="21">
        <v>0</v>
      </c>
      <c r="I2106" s="21">
        <v>0</v>
      </c>
      <c r="J2106" s="21">
        <v>-0.01</v>
      </c>
      <c r="K2106" s="21">
        <v>0</v>
      </c>
      <c r="L2106" s="21">
        <v>-0.01</v>
      </c>
    </row>
    <row r="2107" spans="1:12" x14ac:dyDescent="0.25">
      <c r="A2107" s="10">
        <v>2102</v>
      </c>
      <c r="B2107" t="s">
        <v>18</v>
      </c>
      <c r="C2107" t="s">
        <v>17</v>
      </c>
      <c r="D2107" t="s">
        <v>513</v>
      </c>
      <c r="E2107" s="52" t="s">
        <v>514</v>
      </c>
      <c r="F2107" t="s">
        <v>19</v>
      </c>
      <c r="G2107" s="21">
        <v>-0.68</v>
      </c>
      <c r="H2107" s="21">
        <v>0</v>
      </c>
      <c r="I2107" s="21">
        <v>0</v>
      </c>
      <c r="J2107" s="21">
        <v>0</v>
      </c>
      <c r="K2107" s="21">
        <v>0.6</v>
      </c>
      <c r="L2107" s="21">
        <v>-0.08</v>
      </c>
    </row>
    <row r="2108" spans="1:12" x14ac:dyDescent="0.25">
      <c r="A2108" s="10">
        <v>2103</v>
      </c>
      <c r="B2108" t="s">
        <v>18</v>
      </c>
      <c r="C2108" t="s">
        <v>17</v>
      </c>
      <c r="D2108" t="s">
        <v>513</v>
      </c>
      <c r="E2108" s="52" t="s">
        <v>514</v>
      </c>
      <c r="F2108" t="s">
        <v>19</v>
      </c>
      <c r="G2108" s="21">
        <v>0</v>
      </c>
      <c r="H2108" s="21">
        <v>0</v>
      </c>
      <c r="I2108" s="21">
        <v>-103.96</v>
      </c>
      <c r="J2108" s="21">
        <v>0</v>
      </c>
      <c r="K2108" s="21">
        <v>12.23</v>
      </c>
      <c r="L2108" s="21">
        <v>-91.73</v>
      </c>
    </row>
    <row r="2109" spans="1:12" x14ac:dyDescent="0.25">
      <c r="A2109" s="10">
        <v>2104</v>
      </c>
      <c r="B2109" t="s">
        <v>550</v>
      </c>
      <c r="C2109" t="s">
        <v>17</v>
      </c>
      <c r="D2109" t="s">
        <v>513</v>
      </c>
      <c r="E2109" s="52" t="s">
        <v>514</v>
      </c>
      <c r="F2109" t="s">
        <v>551</v>
      </c>
      <c r="G2109" s="21">
        <v>0</v>
      </c>
      <c r="H2109" s="21">
        <v>0</v>
      </c>
      <c r="I2109" s="21">
        <v>-8494.49</v>
      </c>
      <c r="J2109" s="21">
        <v>0</v>
      </c>
      <c r="K2109" s="21">
        <v>169.89</v>
      </c>
      <c r="L2109" s="21">
        <v>-8324.6</v>
      </c>
    </row>
    <row r="2110" spans="1:12" x14ac:dyDescent="0.25">
      <c r="A2110" s="10">
        <v>2105</v>
      </c>
      <c r="B2110" t="s">
        <v>550</v>
      </c>
      <c r="C2110" t="s">
        <v>13</v>
      </c>
      <c r="D2110" t="s">
        <v>513</v>
      </c>
      <c r="E2110" s="52" t="s">
        <v>514</v>
      </c>
      <c r="F2110" t="s">
        <v>551</v>
      </c>
      <c r="G2110" s="21">
        <v>0</v>
      </c>
      <c r="H2110" s="21">
        <v>0</v>
      </c>
      <c r="I2110" s="21">
        <v>0</v>
      </c>
      <c r="J2110" s="21">
        <v>-3515.39</v>
      </c>
      <c r="K2110" s="21">
        <v>0</v>
      </c>
      <c r="L2110" s="21">
        <v>-3515.39</v>
      </c>
    </row>
    <row r="2111" spans="1:12" x14ac:dyDescent="0.25">
      <c r="A2111" s="10">
        <v>2106</v>
      </c>
      <c r="B2111" t="s">
        <v>550</v>
      </c>
      <c r="C2111" t="s">
        <v>13</v>
      </c>
      <c r="D2111" t="s">
        <v>513</v>
      </c>
      <c r="E2111" s="52" t="s">
        <v>514</v>
      </c>
      <c r="F2111" t="s">
        <v>551</v>
      </c>
      <c r="G2111" s="21">
        <v>0</v>
      </c>
      <c r="H2111" s="21">
        <v>0</v>
      </c>
      <c r="I2111" s="21">
        <v>0</v>
      </c>
      <c r="J2111" s="21">
        <v>-201.12</v>
      </c>
      <c r="K2111" s="21">
        <v>0</v>
      </c>
      <c r="L2111" s="21">
        <v>-201.12</v>
      </c>
    </row>
    <row r="2112" spans="1:12" x14ac:dyDescent="0.25">
      <c r="A2112" s="10">
        <v>2107</v>
      </c>
      <c r="B2112" t="s">
        <v>550</v>
      </c>
      <c r="C2112" t="s">
        <v>17</v>
      </c>
      <c r="D2112" t="s">
        <v>513</v>
      </c>
      <c r="E2112" s="52" t="s">
        <v>514</v>
      </c>
      <c r="F2112" t="s">
        <v>551</v>
      </c>
      <c r="G2112" s="21">
        <v>-29294.94</v>
      </c>
      <c r="H2112" s="21">
        <v>0</v>
      </c>
      <c r="I2112" s="21">
        <v>0</v>
      </c>
      <c r="J2112" s="21">
        <v>0</v>
      </c>
      <c r="K2112" s="21">
        <v>585.9</v>
      </c>
      <c r="L2112" s="21">
        <v>-28709.040000000001</v>
      </c>
    </row>
    <row r="2113" spans="1:12" x14ac:dyDescent="0.25">
      <c r="A2113" s="10">
        <v>2108</v>
      </c>
      <c r="B2113" t="s">
        <v>550</v>
      </c>
      <c r="C2113" t="s">
        <v>17</v>
      </c>
      <c r="D2113" t="s">
        <v>513</v>
      </c>
      <c r="E2113" s="52" t="s">
        <v>514</v>
      </c>
      <c r="F2113" t="s">
        <v>551</v>
      </c>
      <c r="G2113" s="21">
        <v>-1676.01</v>
      </c>
      <c r="H2113" s="21">
        <v>0</v>
      </c>
      <c r="I2113" s="21">
        <v>0</v>
      </c>
      <c r="J2113" s="21">
        <v>0</v>
      </c>
      <c r="K2113" s="21">
        <v>33.520000000000003</v>
      </c>
      <c r="L2113" s="21">
        <v>-1642.49</v>
      </c>
    </row>
    <row r="2114" spans="1:12" x14ac:dyDescent="0.25">
      <c r="A2114" s="10">
        <v>2109</v>
      </c>
      <c r="B2114" t="s">
        <v>550</v>
      </c>
      <c r="C2114" t="s">
        <v>17</v>
      </c>
      <c r="D2114" t="s">
        <v>513</v>
      </c>
      <c r="E2114" s="52" t="s">
        <v>514</v>
      </c>
      <c r="F2114" t="s">
        <v>552</v>
      </c>
      <c r="G2114" s="21">
        <v>0</v>
      </c>
      <c r="H2114" s="21">
        <v>0</v>
      </c>
      <c r="I2114" s="21">
        <v>-0.61</v>
      </c>
      <c r="J2114" s="21">
        <v>0</v>
      </c>
      <c r="K2114" s="21">
        <v>0.01</v>
      </c>
      <c r="L2114" s="21">
        <v>-0.6</v>
      </c>
    </row>
    <row r="2115" spans="1:12" x14ac:dyDescent="0.25">
      <c r="A2115" s="10">
        <v>2110</v>
      </c>
      <c r="B2115" t="s">
        <v>550</v>
      </c>
      <c r="C2115" t="s">
        <v>13</v>
      </c>
      <c r="D2115" t="s">
        <v>513</v>
      </c>
      <c r="E2115" s="52" t="s">
        <v>514</v>
      </c>
      <c r="F2115" t="s">
        <v>552</v>
      </c>
      <c r="G2115" s="21">
        <v>0</v>
      </c>
      <c r="H2115" s="21">
        <v>0</v>
      </c>
      <c r="I2115" s="21">
        <v>0</v>
      </c>
      <c r="J2115" s="21">
        <v>-0.25</v>
      </c>
      <c r="K2115" s="21">
        <v>0</v>
      </c>
      <c r="L2115" s="21">
        <v>-0.25</v>
      </c>
    </row>
    <row r="2116" spans="1:12" x14ac:dyDescent="0.25">
      <c r="A2116" s="10">
        <v>2111</v>
      </c>
      <c r="B2116" t="s">
        <v>550</v>
      </c>
      <c r="C2116" t="s">
        <v>13</v>
      </c>
      <c r="D2116" t="s">
        <v>513</v>
      </c>
      <c r="E2116" s="52" t="s">
        <v>514</v>
      </c>
      <c r="F2116" t="s">
        <v>552</v>
      </c>
      <c r="G2116" s="21">
        <v>0</v>
      </c>
      <c r="H2116" s="21">
        <v>0</v>
      </c>
      <c r="I2116" s="21">
        <v>0</v>
      </c>
      <c r="J2116" s="21">
        <v>-0.01</v>
      </c>
      <c r="K2116" s="21">
        <v>0</v>
      </c>
      <c r="L2116" s="21">
        <v>-0.01</v>
      </c>
    </row>
    <row r="2117" spans="1:12" x14ac:dyDescent="0.25">
      <c r="A2117" s="10">
        <v>2112</v>
      </c>
      <c r="B2117" t="s">
        <v>550</v>
      </c>
      <c r="C2117" t="s">
        <v>17</v>
      </c>
      <c r="D2117" t="s">
        <v>513</v>
      </c>
      <c r="E2117" s="52" t="s">
        <v>514</v>
      </c>
      <c r="F2117" t="s">
        <v>552</v>
      </c>
      <c r="G2117" s="21">
        <v>-2.11</v>
      </c>
      <c r="H2117" s="21">
        <v>0</v>
      </c>
      <c r="I2117" s="21">
        <v>0</v>
      </c>
      <c r="J2117" s="21">
        <v>0</v>
      </c>
      <c r="K2117" s="21">
        <v>0.04</v>
      </c>
      <c r="L2117" s="21">
        <v>-2.0699999999999998</v>
      </c>
    </row>
    <row r="2118" spans="1:12" x14ac:dyDescent="0.25">
      <c r="A2118" s="10">
        <v>2113</v>
      </c>
      <c r="B2118" t="s">
        <v>550</v>
      </c>
      <c r="C2118" t="s">
        <v>17</v>
      </c>
      <c r="D2118" t="s">
        <v>513</v>
      </c>
      <c r="E2118" s="52" t="s">
        <v>514</v>
      </c>
      <c r="F2118" t="s">
        <v>552</v>
      </c>
      <c r="G2118" s="21">
        <v>-0.12</v>
      </c>
      <c r="H2118" s="21">
        <v>0</v>
      </c>
      <c r="I2118" s="21">
        <v>0</v>
      </c>
      <c r="J2118" s="21">
        <v>0</v>
      </c>
      <c r="K2118" s="21">
        <v>0</v>
      </c>
      <c r="L2118" s="21">
        <v>-0.12</v>
      </c>
    </row>
    <row r="2119" spans="1:12" ht="30" x14ac:dyDescent="0.25">
      <c r="A2119" s="10">
        <v>2114</v>
      </c>
      <c r="B2119" t="s">
        <v>555</v>
      </c>
      <c r="C2119" t="s">
        <v>17</v>
      </c>
      <c r="D2119" t="s">
        <v>515</v>
      </c>
      <c r="E2119" s="52" t="s">
        <v>516</v>
      </c>
      <c r="F2119" t="s">
        <v>556</v>
      </c>
      <c r="G2119" s="21">
        <v>-1523.09</v>
      </c>
      <c r="H2119" s="21">
        <v>0</v>
      </c>
      <c r="I2119" s="21">
        <v>0</v>
      </c>
      <c r="J2119" s="21">
        <v>0</v>
      </c>
      <c r="K2119" s="21">
        <v>30.46</v>
      </c>
      <c r="L2119" s="21">
        <v>-1492.63</v>
      </c>
    </row>
    <row r="2120" spans="1:12" ht="30" x14ac:dyDescent="0.25">
      <c r="A2120" s="10">
        <v>2115</v>
      </c>
      <c r="B2120" t="s">
        <v>555</v>
      </c>
      <c r="C2120" t="s">
        <v>13</v>
      </c>
      <c r="D2120" t="s">
        <v>515</v>
      </c>
      <c r="E2120" s="52" t="s">
        <v>516</v>
      </c>
      <c r="F2120" t="s">
        <v>556</v>
      </c>
      <c r="G2120" s="21">
        <v>0</v>
      </c>
      <c r="H2120" s="21">
        <v>0</v>
      </c>
      <c r="I2120" s="21">
        <v>0</v>
      </c>
      <c r="J2120" s="21">
        <v>-182.77</v>
      </c>
      <c r="K2120" s="21">
        <v>0</v>
      </c>
      <c r="L2120" s="21">
        <v>-182.77</v>
      </c>
    </row>
    <row r="2121" spans="1:12" ht="30" x14ac:dyDescent="0.25">
      <c r="A2121" s="10">
        <v>2116</v>
      </c>
      <c r="B2121" t="s">
        <v>557</v>
      </c>
      <c r="C2121" t="s">
        <v>17</v>
      </c>
      <c r="D2121" t="s">
        <v>515</v>
      </c>
      <c r="E2121" s="52" t="s">
        <v>516</v>
      </c>
      <c r="F2121" t="s">
        <v>558</v>
      </c>
      <c r="G2121" s="21">
        <v>-975.72</v>
      </c>
      <c r="H2121" s="21">
        <v>0</v>
      </c>
      <c r="I2121" s="21">
        <v>0</v>
      </c>
      <c r="J2121" s="21">
        <v>0</v>
      </c>
      <c r="K2121" s="21">
        <v>19.510000000000002</v>
      </c>
      <c r="L2121" s="21">
        <v>-956.21</v>
      </c>
    </row>
    <row r="2122" spans="1:12" ht="30" x14ac:dyDescent="0.25">
      <c r="A2122" s="10">
        <v>2117</v>
      </c>
      <c r="B2122" t="s">
        <v>557</v>
      </c>
      <c r="C2122" t="s">
        <v>13</v>
      </c>
      <c r="D2122" t="s">
        <v>515</v>
      </c>
      <c r="E2122" s="52" t="s">
        <v>516</v>
      </c>
      <c r="F2122" t="s">
        <v>558</v>
      </c>
      <c r="G2122" s="21">
        <v>0</v>
      </c>
      <c r="H2122" s="21">
        <v>0</v>
      </c>
      <c r="I2122" s="21">
        <v>0</v>
      </c>
      <c r="J2122" s="21">
        <v>-117.09</v>
      </c>
      <c r="K2122" s="21">
        <v>0</v>
      </c>
      <c r="L2122" s="21">
        <v>-117.09</v>
      </c>
    </row>
    <row r="2123" spans="1:12" ht="30" x14ac:dyDescent="0.25">
      <c r="A2123" s="10">
        <v>2118</v>
      </c>
      <c r="B2123" t="s">
        <v>18</v>
      </c>
      <c r="C2123" t="s">
        <v>17</v>
      </c>
      <c r="D2123" t="s">
        <v>515</v>
      </c>
      <c r="E2123" s="52" t="s">
        <v>516</v>
      </c>
      <c r="F2123" t="s">
        <v>19</v>
      </c>
      <c r="G2123" s="21">
        <v>-0.75</v>
      </c>
      <c r="H2123" s="21">
        <v>0</v>
      </c>
      <c r="I2123" s="21">
        <v>0</v>
      </c>
      <c r="J2123" s="21">
        <v>0</v>
      </c>
      <c r="K2123" s="21">
        <v>0.67</v>
      </c>
      <c r="L2123" s="21">
        <v>-0.08</v>
      </c>
    </row>
    <row r="2124" spans="1:12" ht="30" x14ac:dyDescent="0.25">
      <c r="A2124" s="10">
        <v>2119</v>
      </c>
      <c r="B2124" t="s">
        <v>550</v>
      </c>
      <c r="C2124" t="s">
        <v>13</v>
      </c>
      <c r="D2124" t="s">
        <v>515</v>
      </c>
      <c r="E2124" s="52" t="s">
        <v>516</v>
      </c>
      <c r="F2124" t="s">
        <v>551</v>
      </c>
      <c r="G2124" s="21">
        <v>0</v>
      </c>
      <c r="H2124" s="21">
        <v>0</v>
      </c>
      <c r="I2124" s="21">
        <v>0</v>
      </c>
      <c r="J2124" s="21">
        <v>-8017.19</v>
      </c>
      <c r="K2124" s="21">
        <v>0</v>
      </c>
      <c r="L2124" s="21">
        <v>-8017.19</v>
      </c>
    </row>
    <row r="2125" spans="1:12" ht="30" x14ac:dyDescent="0.25">
      <c r="A2125" s="10">
        <v>2120</v>
      </c>
      <c r="B2125" t="s">
        <v>550</v>
      </c>
      <c r="C2125" t="s">
        <v>13</v>
      </c>
      <c r="D2125" t="s">
        <v>515</v>
      </c>
      <c r="E2125" s="52" t="s">
        <v>516</v>
      </c>
      <c r="F2125" t="s">
        <v>551</v>
      </c>
      <c r="G2125" s="21">
        <v>0</v>
      </c>
      <c r="H2125" s="21">
        <v>0</v>
      </c>
      <c r="I2125" s="21">
        <v>0</v>
      </c>
      <c r="J2125" s="21">
        <v>-2033.78</v>
      </c>
      <c r="K2125" s="21">
        <v>0</v>
      </c>
      <c r="L2125" s="21">
        <v>-2033.78</v>
      </c>
    </row>
    <row r="2126" spans="1:12" ht="30" x14ac:dyDescent="0.25">
      <c r="A2126" s="10">
        <v>2121</v>
      </c>
      <c r="B2126" t="s">
        <v>550</v>
      </c>
      <c r="C2126" t="s">
        <v>17</v>
      </c>
      <c r="D2126" t="s">
        <v>515</v>
      </c>
      <c r="E2126" s="52" t="s">
        <v>516</v>
      </c>
      <c r="F2126" t="s">
        <v>551</v>
      </c>
      <c r="G2126" s="21">
        <v>-66809.919999999998</v>
      </c>
      <c r="H2126" s="21">
        <v>0</v>
      </c>
      <c r="I2126" s="21">
        <v>0</v>
      </c>
      <c r="J2126" s="21">
        <v>0</v>
      </c>
      <c r="K2126" s="21">
        <v>1336.2</v>
      </c>
      <c r="L2126" s="21">
        <v>-65473.72</v>
      </c>
    </row>
    <row r="2127" spans="1:12" ht="30" x14ac:dyDescent="0.25">
      <c r="A2127" s="10">
        <v>2122</v>
      </c>
      <c r="B2127" t="s">
        <v>550</v>
      </c>
      <c r="C2127" t="s">
        <v>17</v>
      </c>
      <c r="D2127" t="s">
        <v>515</v>
      </c>
      <c r="E2127" s="52" t="s">
        <v>516</v>
      </c>
      <c r="F2127" t="s">
        <v>551</v>
      </c>
      <c r="G2127" s="21">
        <v>-16948.18</v>
      </c>
      <c r="H2127" s="21">
        <v>0</v>
      </c>
      <c r="I2127" s="21">
        <v>0</v>
      </c>
      <c r="J2127" s="21">
        <v>0</v>
      </c>
      <c r="K2127" s="21">
        <v>338.96</v>
      </c>
      <c r="L2127" s="21">
        <v>-16609.22</v>
      </c>
    </row>
    <row r="2128" spans="1:12" ht="30" x14ac:dyDescent="0.25">
      <c r="A2128" s="10">
        <v>2123</v>
      </c>
      <c r="B2128" t="s">
        <v>550</v>
      </c>
      <c r="C2128" t="s">
        <v>13</v>
      </c>
      <c r="D2128" t="s">
        <v>515</v>
      </c>
      <c r="E2128" s="52" t="s">
        <v>516</v>
      </c>
      <c r="F2128" t="s">
        <v>552</v>
      </c>
      <c r="G2128" s="21">
        <v>0</v>
      </c>
      <c r="H2128" s="21">
        <v>0</v>
      </c>
      <c r="I2128" s="21">
        <v>0</v>
      </c>
      <c r="J2128" s="21">
        <v>-0.57999999999999996</v>
      </c>
      <c r="K2128" s="21">
        <v>0</v>
      </c>
      <c r="L2128" s="21">
        <v>-0.57999999999999996</v>
      </c>
    </row>
    <row r="2129" spans="1:12" ht="30" x14ac:dyDescent="0.25">
      <c r="A2129" s="10">
        <v>2124</v>
      </c>
      <c r="B2129" t="s">
        <v>550</v>
      </c>
      <c r="C2129" t="s">
        <v>13</v>
      </c>
      <c r="D2129" t="s">
        <v>515</v>
      </c>
      <c r="E2129" s="52" t="s">
        <v>516</v>
      </c>
      <c r="F2129" t="s">
        <v>552</v>
      </c>
      <c r="G2129" s="21">
        <v>0</v>
      </c>
      <c r="H2129" s="21">
        <v>0</v>
      </c>
      <c r="I2129" s="21">
        <v>0</v>
      </c>
      <c r="J2129" s="21">
        <v>-0.15</v>
      </c>
      <c r="K2129" s="21">
        <v>0</v>
      </c>
      <c r="L2129" s="21">
        <v>-0.15</v>
      </c>
    </row>
    <row r="2130" spans="1:12" ht="30" x14ac:dyDescent="0.25">
      <c r="A2130" s="10">
        <v>2125</v>
      </c>
      <c r="B2130" t="s">
        <v>550</v>
      </c>
      <c r="C2130" t="s">
        <v>17</v>
      </c>
      <c r="D2130" t="s">
        <v>515</v>
      </c>
      <c r="E2130" s="52" t="s">
        <v>516</v>
      </c>
      <c r="F2130" t="s">
        <v>552</v>
      </c>
      <c r="G2130" s="21">
        <v>-4.8099999999999996</v>
      </c>
      <c r="H2130" s="21">
        <v>0</v>
      </c>
      <c r="I2130" s="21">
        <v>0</v>
      </c>
      <c r="J2130" s="21">
        <v>0</v>
      </c>
      <c r="K2130" s="21">
        <v>0.1</v>
      </c>
      <c r="L2130" s="21">
        <v>-4.71</v>
      </c>
    </row>
    <row r="2131" spans="1:12" ht="30" x14ac:dyDescent="0.25">
      <c r="A2131" s="10">
        <v>2126</v>
      </c>
      <c r="B2131" t="s">
        <v>550</v>
      </c>
      <c r="C2131" t="s">
        <v>17</v>
      </c>
      <c r="D2131" t="s">
        <v>515</v>
      </c>
      <c r="E2131" s="52" t="s">
        <v>516</v>
      </c>
      <c r="F2131" t="s">
        <v>552</v>
      </c>
      <c r="G2131" s="21">
        <v>-1.22</v>
      </c>
      <c r="H2131" s="21">
        <v>0</v>
      </c>
      <c r="I2131" s="21">
        <v>0</v>
      </c>
      <c r="J2131" s="21">
        <v>0</v>
      </c>
      <c r="K2131" s="21">
        <v>0.02</v>
      </c>
      <c r="L2131" s="21">
        <v>-1.2</v>
      </c>
    </row>
    <row r="2132" spans="1:12" x14ac:dyDescent="0.25">
      <c r="A2132" s="10">
        <v>2127</v>
      </c>
      <c r="B2132" t="s">
        <v>557</v>
      </c>
      <c r="C2132" t="s">
        <v>17</v>
      </c>
      <c r="D2132" t="s">
        <v>517</v>
      </c>
      <c r="E2132" s="52" t="s">
        <v>518</v>
      </c>
      <c r="F2132" t="s">
        <v>558</v>
      </c>
      <c r="G2132" s="21">
        <v>-4.6900000000000004</v>
      </c>
      <c r="H2132" s="21">
        <v>0</v>
      </c>
      <c r="I2132" s="21">
        <v>0</v>
      </c>
      <c r="J2132" s="21">
        <v>0</v>
      </c>
      <c r="K2132" s="21">
        <v>0.09</v>
      </c>
      <c r="L2132" s="21">
        <v>-4.5999999999999996</v>
      </c>
    </row>
    <row r="2133" spans="1:12" x14ac:dyDescent="0.25">
      <c r="A2133" s="10">
        <v>2128</v>
      </c>
      <c r="B2133" t="s">
        <v>557</v>
      </c>
      <c r="C2133" t="s">
        <v>13</v>
      </c>
      <c r="D2133" t="s">
        <v>517</v>
      </c>
      <c r="E2133" s="52" t="s">
        <v>518</v>
      </c>
      <c r="F2133" t="s">
        <v>558</v>
      </c>
      <c r="G2133" s="21">
        <v>0</v>
      </c>
      <c r="H2133" s="21">
        <v>0</v>
      </c>
      <c r="I2133" s="21">
        <v>0</v>
      </c>
      <c r="J2133" s="21">
        <v>-0.56000000000000005</v>
      </c>
      <c r="K2133" s="21">
        <v>0</v>
      </c>
      <c r="L2133" s="21">
        <v>-0.56000000000000005</v>
      </c>
    </row>
    <row r="2134" spans="1:12" x14ac:dyDescent="0.25">
      <c r="A2134" s="10">
        <v>2129</v>
      </c>
      <c r="B2134" t="s">
        <v>18</v>
      </c>
      <c r="C2134" t="s">
        <v>17</v>
      </c>
      <c r="D2134" t="s">
        <v>517</v>
      </c>
      <c r="E2134" s="52" t="s">
        <v>518</v>
      </c>
      <c r="F2134" t="s">
        <v>19</v>
      </c>
      <c r="G2134" s="21">
        <v>-0.06</v>
      </c>
      <c r="H2134" s="21">
        <v>0</v>
      </c>
      <c r="I2134" s="21">
        <v>0</v>
      </c>
      <c r="J2134" s="21">
        <v>0</v>
      </c>
      <c r="K2134" s="21">
        <v>0.05</v>
      </c>
      <c r="L2134" s="21">
        <v>-0.01</v>
      </c>
    </row>
    <row r="2135" spans="1:12" x14ac:dyDescent="0.25">
      <c r="A2135" s="10">
        <v>2130</v>
      </c>
      <c r="B2135" t="s">
        <v>550</v>
      </c>
      <c r="C2135" t="s">
        <v>13</v>
      </c>
      <c r="D2135" t="s">
        <v>517</v>
      </c>
      <c r="E2135" s="52" t="s">
        <v>518</v>
      </c>
      <c r="F2135" t="s">
        <v>551</v>
      </c>
      <c r="G2135" s="21">
        <v>0</v>
      </c>
      <c r="H2135" s="21">
        <v>0</v>
      </c>
      <c r="I2135" s="21">
        <v>0</v>
      </c>
      <c r="J2135" s="21">
        <v>-131.41</v>
      </c>
      <c r="K2135" s="21">
        <v>0</v>
      </c>
      <c r="L2135" s="21">
        <v>-131.41</v>
      </c>
    </row>
    <row r="2136" spans="1:12" x14ac:dyDescent="0.25">
      <c r="A2136" s="10">
        <v>2131</v>
      </c>
      <c r="B2136" t="s">
        <v>550</v>
      </c>
      <c r="C2136" t="s">
        <v>17</v>
      </c>
      <c r="D2136" t="s">
        <v>517</v>
      </c>
      <c r="E2136" s="52" t="s">
        <v>518</v>
      </c>
      <c r="F2136" t="s">
        <v>551</v>
      </c>
      <c r="G2136" s="21">
        <v>-1095.08</v>
      </c>
      <c r="H2136" s="21">
        <v>0</v>
      </c>
      <c r="I2136" s="21">
        <v>0</v>
      </c>
      <c r="J2136" s="21">
        <v>0</v>
      </c>
      <c r="K2136" s="21">
        <v>21.9</v>
      </c>
      <c r="L2136" s="21">
        <v>-1073.18</v>
      </c>
    </row>
    <row r="2137" spans="1:12" x14ac:dyDescent="0.25">
      <c r="A2137" s="10">
        <v>2132</v>
      </c>
      <c r="B2137" t="s">
        <v>550</v>
      </c>
      <c r="C2137" t="s">
        <v>13</v>
      </c>
      <c r="D2137" t="s">
        <v>517</v>
      </c>
      <c r="E2137" s="52" t="s">
        <v>518</v>
      </c>
      <c r="F2137" t="s">
        <v>552</v>
      </c>
      <c r="G2137" s="21">
        <v>0</v>
      </c>
      <c r="H2137" s="21">
        <v>0</v>
      </c>
      <c r="I2137" s="21">
        <v>0</v>
      </c>
      <c r="J2137" s="21">
        <v>-0.01</v>
      </c>
      <c r="K2137" s="21">
        <v>0</v>
      </c>
      <c r="L2137" s="21">
        <v>-0.01</v>
      </c>
    </row>
    <row r="2138" spans="1:12" x14ac:dyDescent="0.25">
      <c r="A2138" s="10">
        <v>2133</v>
      </c>
      <c r="B2138" t="s">
        <v>550</v>
      </c>
      <c r="C2138" t="s">
        <v>17</v>
      </c>
      <c r="D2138" t="s">
        <v>517</v>
      </c>
      <c r="E2138" s="52" t="s">
        <v>518</v>
      </c>
      <c r="F2138" t="s">
        <v>552</v>
      </c>
      <c r="G2138" s="21">
        <v>-0.08</v>
      </c>
      <c r="H2138" s="21">
        <v>0</v>
      </c>
      <c r="I2138" s="21">
        <v>0</v>
      </c>
      <c r="J2138" s="21">
        <v>0</v>
      </c>
      <c r="K2138" s="21">
        <v>0</v>
      </c>
      <c r="L2138" s="21">
        <v>-0.08</v>
      </c>
    </row>
    <row r="2139" spans="1:12" x14ac:dyDescent="0.25">
      <c r="A2139" s="10">
        <v>2134</v>
      </c>
      <c r="B2139" t="s">
        <v>18</v>
      </c>
      <c r="C2139" t="s">
        <v>17</v>
      </c>
      <c r="D2139" t="s">
        <v>519</v>
      </c>
      <c r="E2139" s="52" t="s">
        <v>520</v>
      </c>
      <c r="F2139" t="s">
        <v>19</v>
      </c>
      <c r="G2139" s="21">
        <v>-5</v>
      </c>
      <c r="H2139" s="21">
        <v>0</v>
      </c>
      <c r="I2139" s="21">
        <v>0</v>
      </c>
      <c r="J2139" s="21">
        <v>0</v>
      </c>
      <c r="K2139" s="21">
        <v>4.4400000000000004</v>
      </c>
      <c r="L2139" s="21">
        <v>-0.56000000000000005</v>
      </c>
    </row>
    <row r="2140" spans="1:12" x14ac:dyDescent="0.25">
      <c r="A2140" s="10">
        <v>2135</v>
      </c>
      <c r="B2140" t="s">
        <v>550</v>
      </c>
      <c r="C2140" t="s">
        <v>13</v>
      </c>
      <c r="D2140" t="s">
        <v>519</v>
      </c>
      <c r="E2140" s="52" t="s">
        <v>520</v>
      </c>
      <c r="F2140" t="s">
        <v>551</v>
      </c>
      <c r="G2140" s="21">
        <v>0</v>
      </c>
      <c r="H2140" s="21">
        <v>0</v>
      </c>
      <c r="I2140" s="21">
        <v>0</v>
      </c>
      <c r="J2140" s="21">
        <v>-50791.8</v>
      </c>
      <c r="K2140" s="21">
        <v>0</v>
      </c>
      <c r="L2140" s="21">
        <v>-50791.8</v>
      </c>
    </row>
    <row r="2141" spans="1:12" x14ac:dyDescent="0.25">
      <c r="A2141" s="10">
        <v>2136</v>
      </c>
      <c r="B2141" t="s">
        <v>550</v>
      </c>
      <c r="C2141" t="s">
        <v>17</v>
      </c>
      <c r="D2141" t="s">
        <v>519</v>
      </c>
      <c r="E2141" s="52" t="s">
        <v>520</v>
      </c>
      <c r="F2141" t="s">
        <v>551</v>
      </c>
      <c r="G2141" s="21">
        <v>-423264.99</v>
      </c>
      <c r="H2141" s="21">
        <v>0</v>
      </c>
      <c r="I2141" s="21">
        <v>0</v>
      </c>
      <c r="J2141" s="21">
        <v>0</v>
      </c>
      <c r="K2141" s="21">
        <v>8465.2999999999993</v>
      </c>
      <c r="L2141" s="21">
        <v>-414799.69</v>
      </c>
    </row>
    <row r="2142" spans="1:12" x14ac:dyDescent="0.25">
      <c r="A2142" s="10">
        <v>2137</v>
      </c>
      <c r="B2142" t="s">
        <v>550</v>
      </c>
      <c r="C2142" t="s">
        <v>13</v>
      </c>
      <c r="D2142" t="s">
        <v>519</v>
      </c>
      <c r="E2142" s="52" t="s">
        <v>520</v>
      </c>
      <c r="F2142" t="s">
        <v>552</v>
      </c>
      <c r="G2142" s="21">
        <v>0</v>
      </c>
      <c r="H2142" s="21">
        <v>0</v>
      </c>
      <c r="I2142" s="21">
        <v>0</v>
      </c>
      <c r="J2142" s="21">
        <v>-3.65</v>
      </c>
      <c r="K2142" s="21">
        <v>0</v>
      </c>
      <c r="L2142" s="21">
        <v>-3.65</v>
      </c>
    </row>
    <row r="2143" spans="1:12" x14ac:dyDescent="0.25">
      <c r="A2143" s="10">
        <v>2138</v>
      </c>
      <c r="B2143" t="s">
        <v>550</v>
      </c>
      <c r="C2143" t="s">
        <v>17</v>
      </c>
      <c r="D2143" t="s">
        <v>519</v>
      </c>
      <c r="E2143" s="52" t="s">
        <v>520</v>
      </c>
      <c r="F2143" t="s">
        <v>552</v>
      </c>
      <c r="G2143" s="21">
        <v>-30.44</v>
      </c>
      <c r="H2143" s="21">
        <v>0</v>
      </c>
      <c r="I2143" s="21">
        <v>0</v>
      </c>
      <c r="J2143" s="21">
        <v>0</v>
      </c>
      <c r="K2143" s="21">
        <v>0.61</v>
      </c>
      <c r="L2143" s="21">
        <v>-29.83</v>
      </c>
    </row>
    <row r="2144" spans="1:12" x14ac:dyDescent="0.25">
      <c r="A2144" s="10">
        <v>2139</v>
      </c>
      <c r="B2144" t="s">
        <v>557</v>
      </c>
      <c r="C2144" t="s">
        <v>17</v>
      </c>
      <c r="D2144" t="s">
        <v>521</v>
      </c>
      <c r="E2144" s="52" t="s">
        <v>522</v>
      </c>
      <c r="F2144" t="s">
        <v>558</v>
      </c>
      <c r="G2144" s="21">
        <v>-396.01</v>
      </c>
      <c r="H2144" s="21">
        <v>0</v>
      </c>
      <c r="I2144" s="21">
        <v>0</v>
      </c>
      <c r="J2144" s="21">
        <v>0</v>
      </c>
      <c r="K2144" s="21">
        <v>7.92</v>
      </c>
      <c r="L2144" s="21">
        <v>-388.09</v>
      </c>
    </row>
    <row r="2145" spans="1:12" x14ac:dyDescent="0.25">
      <c r="A2145" s="10">
        <v>2140</v>
      </c>
      <c r="B2145" t="s">
        <v>557</v>
      </c>
      <c r="C2145" t="s">
        <v>13</v>
      </c>
      <c r="D2145" t="s">
        <v>521</v>
      </c>
      <c r="E2145" s="52" t="s">
        <v>522</v>
      </c>
      <c r="F2145" t="s">
        <v>558</v>
      </c>
      <c r="G2145" s="21">
        <v>0</v>
      </c>
      <c r="H2145" s="21">
        <v>0</v>
      </c>
      <c r="I2145" s="21">
        <v>0</v>
      </c>
      <c r="J2145" s="21">
        <v>-47.52</v>
      </c>
      <c r="K2145" s="21">
        <v>0</v>
      </c>
      <c r="L2145" s="21">
        <v>-47.52</v>
      </c>
    </row>
    <row r="2146" spans="1:12" x14ac:dyDescent="0.25">
      <c r="A2146" s="10">
        <v>2141</v>
      </c>
      <c r="B2146" t="s">
        <v>559</v>
      </c>
      <c r="C2146" t="s">
        <v>17</v>
      </c>
      <c r="D2146" t="s">
        <v>521</v>
      </c>
      <c r="E2146" s="52" t="s">
        <v>522</v>
      </c>
      <c r="F2146" t="s">
        <v>560</v>
      </c>
      <c r="G2146" s="21">
        <v>-0.01</v>
      </c>
      <c r="H2146" s="21">
        <v>0</v>
      </c>
      <c r="I2146" s="21">
        <v>0</v>
      </c>
      <c r="J2146" s="21">
        <v>0</v>
      </c>
      <c r="K2146" s="21">
        <v>0</v>
      </c>
      <c r="L2146" s="21">
        <v>-0.01</v>
      </c>
    </row>
    <row r="2147" spans="1:12" x14ac:dyDescent="0.25">
      <c r="A2147" s="10">
        <v>2142</v>
      </c>
      <c r="B2147" t="s">
        <v>559</v>
      </c>
      <c r="C2147" t="s">
        <v>13</v>
      </c>
      <c r="D2147" t="s">
        <v>521</v>
      </c>
      <c r="E2147" s="52" t="s">
        <v>522</v>
      </c>
      <c r="F2147" t="s">
        <v>560</v>
      </c>
      <c r="G2147" s="21">
        <v>0</v>
      </c>
      <c r="H2147" s="21">
        <v>0</v>
      </c>
      <c r="I2147" s="21">
        <v>0</v>
      </c>
      <c r="J2147" s="21">
        <v>0</v>
      </c>
      <c r="K2147" s="21">
        <v>0</v>
      </c>
      <c r="L2147" s="21">
        <v>0</v>
      </c>
    </row>
    <row r="2148" spans="1:12" x14ac:dyDescent="0.25">
      <c r="A2148" s="10">
        <v>2143</v>
      </c>
      <c r="B2148" t="s">
        <v>18</v>
      </c>
      <c r="C2148" t="s">
        <v>17</v>
      </c>
      <c r="D2148" t="s">
        <v>521</v>
      </c>
      <c r="E2148" s="52" t="s">
        <v>522</v>
      </c>
      <c r="F2148" t="s">
        <v>19</v>
      </c>
      <c r="G2148" s="21">
        <v>-18.43</v>
      </c>
      <c r="H2148" s="21">
        <v>0</v>
      </c>
      <c r="I2148" s="21">
        <v>0</v>
      </c>
      <c r="J2148" s="21">
        <v>0</v>
      </c>
      <c r="K2148" s="21">
        <v>16.350000000000001</v>
      </c>
      <c r="L2148" s="21">
        <v>-2.08</v>
      </c>
    </row>
    <row r="2149" spans="1:12" x14ac:dyDescent="0.25">
      <c r="A2149" s="10">
        <v>2144</v>
      </c>
      <c r="B2149" t="s">
        <v>18</v>
      </c>
      <c r="C2149" t="s">
        <v>17</v>
      </c>
      <c r="D2149" t="s">
        <v>521</v>
      </c>
      <c r="E2149" s="52" t="s">
        <v>522</v>
      </c>
      <c r="F2149" t="s">
        <v>19</v>
      </c>
      <c r="G2149" s="21">
        <v>-1.49</v>
      </c>
      <c r="H2149" s="21">
        <v>0</v>
      </c>
      <c r="I2149" s="21">
        <v>0</v>
      </c>
      <c r="J2149" s="21">
        <v>0</v>
      </c>
      <c r="K2149" s="21">
        <v>1.33</v>
      </c>
      <c r="L2149" s="21">
        <v>-0.16</v>
      </c>
    </row>
    <row r="2150" spans="1:12" x14ac:dyDescent="0.25">
      <c r="A2150" s="10">
        <v>2145</v>
      </c>
      <c r="B2150" t="s">
        <v>550</v>
      </c>
      <c r="C2150" t="s">
        <v>13</v>
      </c>
      <c r="D2150" t="s">
        <v>521</v>
      </c>
      <c r="E2150" s="52" t="s">
        <v>522</v>
      </c>
      <c r="F2150" t="s">
        <v>551</v>
      </c>
      <c r="G2150" s="21">
        <v>0</v>
      </c>
      <c r="H2150" s="21">
        <v>0</v>
      </c>
      <c r="I2150" s="21">
        <v>0</v>
      </c>
      <c r="J2150" s="21">
        <v>-15660.55</v>
      </c>
      <c r="K2150" s="21">
        <v>0</v>
      </c>
      <c r="L2150" s="21">
        <v>-15660.55</v>
      </c>
    </row>
    <row r="2151" spans="1:12" x14ac:dyDescent="0.25">
      <c r="A2151" s="10">
        <v>2146</v>
      </c>
      <c r="B2151" t="s">
        <v>550</v>
      </c>
      <c r="C2151" t="s">
        <v>17</v>
      </c>
      <c r="D2151" t="s">
        <v>521</v>
      </c>
      <c r="E2151" s="52" t="s">
        <v>522</v>
      </c>
      <c r="F2151" t="s">
        <v>551</v>
      </c>
      <c r="G2151" s="21">
        <v>-130504.56</v>
      </c>
      <c r="H2151" s="21">
        <v>0</v>
      </c>
      <c r="I2151" s="21">
        <v>0</v>
      </c>
      <c r="J2151" s="21">
        <v>0</v>
      </c>
      <c r="K2151" s="21">
        <v>2610.09</v>
      </c>
      <c r="L2151" s="21">
        <v>-127894.47</v>
      </c>
    </row>
    <row r="2152" spans="1:12" x14ac:dyDescent="0.25">
      <c r="A2152" s="10">
        <v>2147</v>
      </c>
      <c r="B2152" t="s">
        <v>550</v>
      </c>
      <c r="C2152" t="s">
        <v>13</v>
      </c>
      <c r="D2152" t="s">
        <v>521</v>
      </c>
      <c r="E2152" s="52" t="s">
        <v>522</v>
      </c>
      <c r="F2152" t="s">
        <v>552</v>
      </c>
      <c r="G2152" s="21">
        <v>0</v>
      </c>
      <c r="H2152" s="21">
        <v>0</v>
      </c>
      <c r="I2152" s="21">
        <v>0</v>
      </c>
      <c r="J2152" s="21">
        <v>-1.1299999999999999</v>
      </c>
      <c r="K2152" s="21">
        <v>0</v>
      </c>
      <c r="L2152" s="21">
        <v>-1.1299999999999999</v>
      </c>
    </row>
    <row r="2153" spans="1:12" x14ac:dyDescent="0.25">
      <c r="A2153" s="10">
        <v>2148</v>
      </c>
      <c r="B2153" t="s">
        <v>550</v>
      </c>
      <c r="C2153" t="s">
        <v>17</v>
      </c>
      <c r="D2153" t="s">
        <v>521</v>
      </c>
      <c r="E2153" s="52" t="s">
        <v>522</v>
      </c>
      <c r="F2153" t="s">
        <v>552</v>
      </c>
      <c r="G2153" s="21">
        <v>-9.39</v>
      </c>
      <c r="H2153" s="21">
        <v>0</v>
      </c>
      <c r="I2153" s="21">
        <v>0</v>
      </c>
      <c r="J2153" s="21">
        <v>0</v>
      </c>
      <c r="K2153" s="21">
        <v>0.19</v>
      </c>
      <c r="L2153" s="21">
        <v>-9.1999999999999993</v>
      </c>
    </row>
    <row r="2154" spans="1:12" x14ac:dyDescent="0.25">
      <c r="A2154" s="10">
        <v>2149</v>
      </c>
      <c r="B2154" t="s">
        <v>18</v>
      </c>
      <c r="C2154" t="s">
        <v>17</v>
      </c>
      <c r="D2154" t="s">
        <v>523</v>
      </c>
      <c r="E2154" s="52" t="s">
        <v>524</v>
      </c>
      <c r="F2154" t="s">
        <v>19</v>
      </c>
      <c r="G2154" s="21">
        <v>0</v>
      </c>
      <c r="H2154" s="21">
        <v>0</v>
      </c>
      <c r="I2154" s="21">
        <v>0</v>
      </c>
      <c r="J2154" s="21">
        <v>0</v>
      </c>
      <c r="K2154" s="21">
        <v>0</v>
      </c>
      <c r="L2154" s="21">
        <v>0</v>
      </c>
    </row>
    <row r="2155" spans="1:12" x14ac:dyDescent="0.25">
      <c r="A2155" s="10">
        <v>2150</v>
      </c>
      <c r="B2155" t="s">
        <v>20</v>
      </c>
      <c r="C2155" t="s">
        <v>17</v>
      </c>
      <c r="D2155" t="s">
        <v>523</v>
      </c>
      <c r="E2155" s="52" t="s">
        <v>524</v>
      </c>
      <c r="F2155" t="s">
        <v>21</v>
      </c>
      <c r="G2155" s="21">
        <v>0</v>
      </c>
      <c r="H2155" s="21">
        <v>0</v>
      </c>
      <c r="I2155" s="21">
        <v>0</v>
      </c>
      <c r="J2155" s="21">
        <v>0</v>
      </c>
      <c r="K2155" s="21">
        <v>0</v>
      </c>
      <c r="L2155" s="21">
        <v>0</v>
      </c>
    </row>
    <row r="2156" spans="1:12" x14ac:dyDescent="0.25">
      <c r="A2156" s="10">
        <v>2151</v>
      </c>
      <c r="B2156" t="s">
        <v>550</v>
      </c>
      <c r="C2156" t="s">
        <v>17</v>
      </c>
      <c r="D2156" t="s">
        <v>523</v>
      </c>
      <c r="E2156" s="52" t="s">
        <v>524</v>
      </c>
      <c r="F2156" t="s">
        <v>551</v>
      </c>
      <c r="G2156" s="21">
        <v>0</v>
      </c>
      <c r="H2156" s="21">
        <v>0</v>
      </c>
      <c r="I2156" s="21">
        <v>-83.16</v>
      </c>
      <c r="J2156" s="21">
        <v>0</v>
      </c>
      <c r="K2156" s="21">
        <v>1.66</v>
      </c>
      <c r="L2156" s="21">
        <v>-81.5</v>
      </c>
    </row>
    <row r="2157" spans="1:12" x14ac:dyDescent="0.25">
      <c r="A2157" s="10">
        <v>2152</v>
      </c>
      <c r="B2157" t="s">
        <v>550</v>
      </c>
      <c r="C2157" t="s">
        <v>17</v>
      </c>
      <c r="D2157" t="s">
        <v>523</v>
      </c>
      <c r="E2157" s="52" t="s">
        <v>524</v>
      </c>
      <c r="F2157" t="s">
        <v>552</v>
      </c>
      <c r="G2157" s="21">
        <v>0</v>
      </c>
      <c r="H2157" s="21">
        <v>0</v>
      </c>
      <c r="I2157" s="21">
        <v>-0.01</v>
      </c>
      <c r="J2157" s="21">
        <v>0</v>
      </c>
      <c r="K2157" s="21">
        <v>0</v>
      </c>
      <c r="L2157" s="21">
        <v>-0.01</v>
      </c>
    </row>
    <row r="2158" spans="1:12" ht="30" x14ac:dyDescent="0.25">
      <c r="A2158" s="10">
        <v>2153</v>
      </c>
      <c r="B2158" t="s">
        <v>559</v>
      </c>
      <c r="C2158" t="s">
        <v>17</v>
      </c>
      <c r="D2158" t="s">
        <v>525</v>
      </c>
      <c r="E2158" s="52" t="s">
        <v>526</v>
      </c>
      <c r="F2158" t="s">
        <v>560</v>
      </c>
      <c r="G2158" s="21">
        <v>-1819.42</v>
      </c>
      <c r="H2158" s="21">
        <v>0</v>
      </c>
      <c r="I2158" s="21">
        <v>0</v>
      </c>
      <c r="J2158" s="21">
        <v>0</v>
      </c>
      <c r="K2158" s="21">
        <v>36.39</v>
      </c>
      <c r="L2158" s="21">
        <v>-1783.03</v>
      </c>
    </row>
    <row r="2159" spans="1:12" ht="30" x14ac:dyDescent="0.25">
      <c r="A2159" s="10">
        <v>2154</v>
      </c>
      <c r="B2159" t="s">
        <v>559</v>
      </c>
      <c r="C2159" t="s">
        <v>13</v>
      </c>
      <c r="D2159" t="s">
        <v>525</v>
      </c>
      <c r="E2159" s="52" t="s">
        <v>526</v>
      </c>
      <c r="F2159" t="s">
        <v>560</v>
      </c>
      <c r="G2159" s="21">
        <v>0</v>
      </c>
      <c r="H2159" s="21">
        <v>0</v>
      </c>
      <c r="I2159" s="21">
        <v>0</v>
      </c>
      <c r="J2159" s="21">
        <v>-126.38</v>
      </c>
      <c r="K2159" s="21">
        <v>0</v>
      </c>
      <c r="L2159" s="21">
        <v>-126.38</v>
      </c>
    </row>
    <row r="2160" spans="1:12" ht="30" x14ac:dyDescent="0.25">
      <c r="A2160" s="10">
        <v>2155</v>
      </c>
      <c r="B2160" t="s">
        <v>18</v>
      </c>
      <c r="C2160" t="s">
        <v>17</v>
      </c>
      <c r="D2160" t="s">
        <v>525</v>
      </c>
      <c r="E2160" s="52" t="s">
        <v>526</v>
      </c>
      <c r="F2160" t="s">
        <v>19</v>
      </c>
      <c r="G2160" s="21">
        <v>-0.26</v>
      </c>
      <c r="H2160" s="21">
        <v>0</v>
      </c>
      <c r="I2160" s="21">
        <v>0</v>
      </c>
      <c r="J2160" s="21">
        <v>0</v>
      </c>
      <c r="K2160" s="21">
        <v>0.23</v>
      </c>
      <c r="L2160" s="21">
        <v>-0.03</v>
      </c>
    </row>
    <row r="2161" spans="1:12" ht="30" x14ac:dyDescent="0.25">
      <c r="A2161" s="10">
        <v>2156</v>
      </c>
      <c r="B2161" t="s">
        <v>550</v>
      </c>
      <c r="C2161" t="s">
        <v>13</v>
      </c>
      <c r="D2161" t="s">
        <v>525</v>
      </c>
      <c r="E2161" s="52" t="s">
        <v>526</v>
      </c>
      <c r="F2161" t="s">
        <v>551</v>
      </c>
      <c r="G2161" s="21">
        <v>0</v>
      </c>
      <c r="H2161" s="21">
        <v>0</v>
      </c>
      <c r="I2161" s="21">
        <v>0</v>
      </c>
      <c r="J2161" s="21">
        <v>-0.03</v>
      </c>
      <c r="K2161" s="21">
        <v>0</v>
      </c>
      <c r="L2161" s="21">
        <v>-0.03</v>
      </c>
    </row>
    <row r="2162" spans="1:12" ht="30" x14ac:dyDescent="0.25">
      <c r="A2162" s="10">
        <v>2157</v>
      </c>
      <c r="B2162" t="s">
        <v>550</v>
      </c>
      <c r="C2162" t="s">
        <v>17</v>
      </c>
      <c r="D2162" t="s">
        <v>525</v>
      </c>
      <c r="E2162" s="52" t="s">
        <v>526</v>
      </c>
      <c r="F2162" t="s">
        <v>551</v>
      </c>
      <c r="G2162" s="21">
        <v>-0.25</v>
      </c>
      <c r="H2162" s="21">
        <v>0</v>
      </c>
      <c r="I2162" s="21">
        <v>0</v>
      </c>
      <c r="J2162" s="21">
        <v>0</v>
      </c>
      <c r="K2162" s="21">
        <v>0</v>
      </c>
      <c r="L2162" s="21">
        <v>-0.25</v>
      </c>
    </row>
    <row r="2163" spans="1:12" ht="30" x14ac:dyDescent="0.25">
      <c r="A2163" s="10">
        <v>2158</v>
      </c>
      <c r="B2163" t="s">
        <v>559</v>
      </c>
      <c r="C2163" t="s">
        <v>17</v>
      </c>
      <c r="D2163" t="s">
        <v>527</v>
      </c>
      <c r="E2163" s="52" t="s">
        <v>528</v>
      </c>
      <c r="F2163" t="s">
        <v>560</v>
      </c>
      <c r="G2163" s="21">
        <v>-0.44</v>
      </c>
      <c r="H2163" s="21">
        <v>0</v>
      </c>
      <c r="I2163" s="21">
        <v>0</v>
      </c>
      <c r="J2163" s="21">
        <v>0</v>
      </c>
      <c r="K2163" s="21">
        <v>0.01</v>
      </c>
      <c r="L2163" s="21">
        <v>-0.43</v>
      </c>
    </row>
    <row r="2164" spans="1:12" ht="30" x14ac:dyDescent="0.25">
      <c r="A2164" s="10">
        <v>2159</v>
      </c>
      <c r="B2164" t="s">
        <v>559</v>
      </c>
      <c r="C2164" t="s">
        <v>13</v>
      </c>
      <c r="D2164" t="s">
        <v>527</v>
      </c>
      <c r="E2164" s="52" t="s">
        <v>528</v>
      </c>
      <c r="F2164" t="s">
        <v>560</v>
      </c>
      <c r="G2164" s="21">
        <v>0</v>
      </c>
      <c r="H2164" s="21">
        <v>0</v>
      </c>
      <c r="I2164" s="21">
        <v>0</v>
      </c>
      <c r="J2164" s="21">
        <v>-0.05</v>
      </c>
      <c r="K2164" s="21">
        <v>0</v>
      </c>
      <c r="L2164" s="21">
        <v>-0.05</v>
      </c>
    </row>
    <row r="2165" spans="1:12" ht="30" x14ac:dyDescent="0.25">
      <c r="A2165" s="10">
        <v>2160</v>
      </c>
      <c r="B2165" t="s">
        <v>18</v>
      </c>
      <c r="C2165" t="s">
        <v>17</v>
      </c>
      <c r="D2165" t="s">
        <v>527</v>
      </c>
      <c r="E2165" s="52" t="s">
        <v>528</v>
      </c>
      <c r="F2165" t="s">
        <v>19</v>
      </c>
      <c r="G2165" s="21">
        <v>-1.99</v>
      </c>
      <c r="H2165" s="21">
        <v>0</v>
      </c>
      <c r="I2165" s="21">
        <v>0</v>
      </c>
      <c r="J2165" s="21">
        <v>0</v>
      </c>
      <c r="K2165" s="21">
        <v>1.76</v>
      </c>
      <c r="L2165" s="21">
        <v>-0.23</v>
      </c>
    </row>
    <row r="2166" spans="1:12" ht="30" x14ac:dyDescent="0.25">
      <c r="A2166" s="10">
        <v>2161</v>
      </c>
      <c r="B2166" t="s">
        <v>550</v>
      </c>
      <c r="C2166" t="s">
        <v>13</v>
      </c>
      <c r="D2166" t="s">
        <v>527</v>
      </c>
      <c r="E2166" s="52" t="s">
        <v>528</v>
      </c>
      <c r="F2166" t="s">
        <v>551</v>
      </c>
      <c r="G2166" s="21">
        <v>0</v>
      </c>
      <c r="H2166" s="21">
        <v>0</v>
      </c>
      <c r="I2166" s="21">
        <v>0</v>
      </c>
      <c r="J2166" s="21">
        <v>-97.13</v>
      </c>
      <c r="K2166" s="21">
        <v>0</v>
      </c>
      <c r="L2166" s="21">
        <v>-97.13</v>
      </c>
    </row>
    <row r="2167" spans="1:12" ht="30" x14ac:dyDescent="0.25">
      <c r="A2167" s="10">
        <v>2162</v>
      </c>
      <c r="B2167" t="s">
        <v>550</v>
      </c>
      <c r="C2167" t="s">
        <v>17</v>
      </c>
      <c r="D2167" t="s">
        <v>527</v>
      </c>
      <c r="E2167" s="52" t="s">
        <v>528</v>
      </c>
      <c r="F2167" t="s">
        <v>551</v>
      </c>
      <c r="G2167" s="21">
        <v>-809.43</v>
      </c>
      <c r="H2167" s="21">
        <v>0</v>
      </c>
      <c r="I2167" s="21">
        <v>0</v>
      </c>
      <c r="J2167" s="21">
        <v>0</v>
      </c>
      <c r="K2167" s="21">
        <v>16.190000000000001</v>
      </c>
      <c r="L2167" s="21">
        <v>-793.24</v>
      </c>
    </row>
    <row r="2168" spans="1:12" ht="30" x14ac:dyDescent="0.25">
      <c r="A2168" s="10">
        <v>2163</v>
      </c>
      <c r="B2168" t="s">
        <v>550</v>
      </c>
      <c r="C2168" t="s">
        <v>13</v>
      </c>
      <c r="D2168" t="s">
        <v>527</v>
      </c>
      <c r="E2168" s="52" t="s">
        <v>528</v>
      </c>
      <c r="F2168" t="s">
        <v>552</v>
      </c>
      <c r="G2168" s="21">
        <v>0</v>
      </c>
      <c r="H2168" s="21">
        <v>0</v>
      </c>
      <c r="I2168" s="21">
        <v>0</v>
      </c>
      <c r="J2168" s="21">
        <v>-0.01</v>
      </c>
      <c r="K2168" s="21">
        <v>0</v>
      </c>
      <c r="L2168" s="21">
        <v>-0.01</v>
      </c>
    </row>
    <row r="2169" spans="1:12" ht="30" x14ac:dyDescent="0.25">
      <c r="A2169" s="10">
        <v>2164</v>
      </c>
      <c r="B2169" t="s">
        <v>550</v>
      </c>
      <c r="C2169" t="s">
        <v>17</v>
      </c>
      <c r="D2169" t="s">
        <v>527</v>
      </c>
      <c r="E2169" s="52" t="s">
        <v>528</v>
      </c>
      <c r="F2169" t="s">
        <v>552</v>
      </c>
      <c r="G2169" s="21">
        <v>-0.06</v>
      </c>
      <c r="H2169" s="21">
        <v>0</v>
      </c>
      <c r="I2169" s="21">
        <v>0</v>
      </c>
      <c r="J2169" s="21">
        <v>0</v>
      </c>
      <c r="K2169" s="21">
        <v>0</v>
      </c>
      <c r="L2169" s="21">
        <v>-0.06</v>
      </c>
    </row>
    <row r="2170" spans="1:12" ht="30" x14ac:dyDescent="0.25">
      <c r="A2170" s="10">
        <v>2165</v>
      </c>
      <c r="B2170" t="s">
        <v>555</v>
      </c>
      <c r="C2170" t="s">
        <v>17</v>
      </c>
      <c r="D2170" t="s">
        <v>529</v>
      </c>
      <c r="E2170" s="52" t="s">
        <v>530</v>
      </c>
      <c r="F2170" t="s">
        <v>556</v>
      </c>
      <c r="G2170" s="21">
        <v>-2.74</v>
      </c>
      <c r="H2170" s="21">
        <v>0</v>
      </c>
      <c r="I2170" s="21">
        <v>0</v>
      </c>
      <c r="J2170" s="21">
        <v>0</v>
      </c>
      <c r="K2170" s="21">
        <v>0.05</v>
      </c>
      <c r="L2170" s="21">
        <v>-2.69</v>
      </c>
    </row>
    <row r="2171" spans="1:12" ht="30" x14ac:dyDescent="0.25">
      <c r="A2171" s="10">
        <v>2166</v>
      </c>
      <c r="B2171" t="s">
        <v>555</v>
      </c>
      <c r="C2171" t="s">
        <v>13</v>
      </c>
      <c r="D2171" t="s">
        <v>529</v>
      </c>
      <c r="E2171" s="52" t="s">
        <v>530</v>
      </c>
      <c r="F2171" t="s">
        <v>556</v>
      </c>
      <c r="G2171" s="21">
        <v>0</v>
      </c>
      <c r="H2171" s="21">
        <v>0</v>
      </c>
      <c r="I2171" s="21">
        <v>0</v>
      </c>
      <c r="J2171" s="21">
        <v>-0.33</v>
      </c>
      <c r="K2171" s="21">
        <v>0</v>
      </c>
      <c r="L2171" s="21">
        <v>-0.33</v>
      </c>
    </row>
    <row r="2172" spans="1:12" ht="30" x14ac:dyDescent="0.25">
      <c r="A2172" s="10">
        <v>2167</v>
      </c>
      <c r="B2172" t="s">
        <v>557</v>
      </c>
      <c r="C2172" t="s">
        <v>17</v>
      </c>
      <c r="D2172" t="s">
        <v>529</v>
      </c>
      <c r="E2172" s="52" t="s">
        <v>530</v>
      </c>
      <c r="F2172" t="s">
        <v>558</v>
      </c>
      <c r="G2172" s="21">
        <v>-0.8</v>
      </c>
      <c r="H2172" s="21">
        <v>0</v>
      </c>
      <c r="I2172" s="21">
        <v>0</v>
      </c>
      <c r="J2172" s="21">
        <v>0</v>
      </c>
      <c r="K2172" s="21">
        <v>0.02</v>
      </c>
      <c r="L2172" s="21">
        <v>-0.78</v>
      </c>
    </row>
    <row r="2173" spans="1:12" ht="30" x14ac:dyDescent="0.25">
      <c r="A2173" s="10">
        <v>2168</v>
      </c>
      <c r="B2173" t="s">
        <v>557</v>
      </c>
      <c r="C2173" t="s">
        <v>13</v>
      </c>
      <c r="D2173" t="s">
        <v>529</v>
      </c>
      <c r="E2173" s="52" t="s">
        <v>530</v>
      </c>
      <c r="F2173" t="s">
        <v>558</v>
      </c>
      <c r="G2173" s="21">
        <v>0</v>
      </c>
      <c r="H2173" s="21">
        <v>0</v>
      </c>
      <c r="I2173" s="21">
        <v>0</v>
      </c>
      <c r="J2173" s="21">
        <v>-0.1</v>
      </c>
      <c r="K2173" s="21">
        <v>0</v>
      </c>
      <c r="L2173" s="21">
        <v>-0.1</v>
      </c>
    </row>
    <row r="2174" spans="1:12" ht="30" x14ac:dyDescent="0.25">
      <c r="A2174" s="10">
        <v>2169</v>
      </c>
      <c r="B2174" t="s">
        <v>18</v>
      </c>
      <c r="C2174" t="s">
        <v>17</v>
      </c>
      <c r="D2174" t="s">
        <v>529</v>
      </c>
      <c r="E2174" s="52" t="s">
        <v>530</v>
      </c>
      <c r="F2174" t="s">
        <v>19</v>
      </c>
      <c r="G2174" s="21">
        <v>-0.46</v>
      </c>
      <c r="H2174" s="21">
        <v>0</v>
      </c>
      <c r="I2174" s="21">
        <v>0</v>
      </c>
      <c r="J2174" s="21">
        <v>0</v>
      </c>
      <c r="K2174" s="21">
        <v>0.41</v>
      </c>
      <c r="L2174" s="21">
        <v>-0.05</v>
      </c>
    </row>
    <row r="2175" spans="1:12" ht="30" x14ac:dyDescent="0.25">
      <c r="A2175" s="10">
        <v>2170</v>
      </c>
      <c r="B2175" t="s">
        <v>18</v>
      </c>
      <c r="C2175" t="s">
        <v>17</v>
      </c>
      <c r="D2175" t="s">
        <v>529</v>
      </c>
      <c r="E2175" s="52" t="s">
        <v>530</v>
      </c>
      <c r="F2175" t="s">
        <v>19</v>
      </c>
      <c r="G2175" s="21">
        <v>-0.01</v>
      </c>
      <c r="H2175" s="21">
        <v>0</v>
      </c>
      <c r="I2175" s="21">
        <v>0</v>
      </c>
      <c r="J2175" s="21">
        <v>0</v>
      </c>
      <c r="K2175" s="21">
        <v>0.01</v>
      </c>
      <c r="L2175" s="21">
        <v>0</v>
      </c>
    </row>
    <row r="2176" spans="1:12" ht="30" x14ac:dyDescent="0.25">
      <c r="A2176" s="10">
        <v>2171</v>
      </c>
      <c r="B2176" t="s">
        <v>550</v>
      </c>
      <c r="C2176" t="s">
        <v>13</v>
      </c>
      <c r="D2176" t="s">
        <v>529</v>
      </c>
      <c r="E2176" s="52" t="s">
        <v>530</v>
      </c>
      <c r="F2176" t="s">
        <v>551</v>
      </c>
      <c r="G2176" s="21">
        <v>0</v>
      </c>
      <c r="H2176" s="21">
        <v>0</v>
      </c>
      <c r="I2176" s="21">
        <v>0</v>
      </c>
      <c r="J2176" s="21">
        <v>-686.63</v>
      </c>
      <c r="K2176" s="21">
        <v>0</v>
      </c>
      <c r="L2176" s="21">
        <v>-686.63</v>
      </c>
    </row>
    <row r="2177" spans="1:12" ht="30" x14ac:dyDescent="0.25">
      <c r="A2177" s="10">
        <v>2172</v>
      </c>
      <c r="B2177" t="s">
        <v>550</v>
      </c>
      <c r="C2177" t="s">
        <v>13</v>
      </c>
      <c r="D2177" t="s">
        <v>529</v>
      </c>
      <c r="E2177" s="52" t="s">
        <v>530</v>
      </c>
      <c r="F2177" t="s">
        <v>551</v>
      </c>
      <c r="G2177" s="21">
        <v>0</v>
      </c>
      <c r="H2177" s="21">
        <v>0</v>
      </c>
      <c r="I2177" s="21">
        <v>0</v>
      </c>
      <c r="J2177" s="21">
        <v>-43.37</v>
      </c>
      <c r="K2177" s="21">
        <v>0</v>
      </c>
      <c r="L2177" s="21">
        <v>-43.37</v>
      </c>
    </row>
    <row r="2178" spans="1:12" ht="30" x14ac:dyDescent="0.25">
      <c r="A2178" s="10">
        <v>2173</v>
      </c>
      <c r="B2178" t="s">
        <v>550</v>
      </c>
      <c r="C2178" t="s">
        <v>17</v>
      </c>
      <c r="D2178" t="s">
        <v>529</v>
      </c>
      <c r="E2178" s="52" t="s">
        <v>530</v>
      </c>
      <c r="F2178" t="s">
        <v>551</v>
      </c>
      <c r="G2178" s="21">
        <v>-6322.41</v>
      </c>
      <c r="H2178" s="21">
        <v>0</v>
      </c>
      <c r="I2178" s="21">
        <v>0</v>
      </c>
      <c r="J2178" s="21">
        <v>0</v>
      </c>
      <c r="K2178" s="21">
        <v>126.45</v>
      </c>
      <c r="L2178" s="21">
        <v>-6195.96</v>
      </c>
    </row>
    <row r="2179" spans="1:12" ht="30" x14ac:dyDescent="0.25">
      <c r="A2179" s="10">
        <v>2174</v>
      </c>
      <c r="B2179" t="s">
        <v>550</v>
      </c>
      <c r="C2179" t="s">
        <v>17</v>
      </c>
      <c r="D2179" t="s">
        <v>529</v>
      </c>
      <c r="E2179" s="52" t="s">
        <v>530</v>
      </c>
      <c r="F2179" t="s">
        <v>551</v>
      </c>
      <c r="G2179" s="21">
        <v>-361.41</v>
      </c>
      <c r="H2179" s="21">
        <v>0</v>
      </c>
      <c r="I2179" s="21">
        <v>0</v>
      </c>
      <c r="J2179" s="21">
        <v>0</v>
      </c>
      <c r="K2179" s="21">
        <v>7.23</v>
      </c>
      <c r="L2179" s="21">
        <v>-354.18</v>
      </c>
    </row>
    <row r="2180" spans="1:12" ht="30" x14ac:dyDescent="0.25">
      <c r="A2180" s="10">
        <v>2175</v>
      </c>
      <c r="B2180" t="s">
        <v>550</v>
      </c>
      <c r="C2180" t="s">
        <v>13</v>
      </c>
      <c r="D2180" t="s">
        <v>529</v>
      </c>
      <c r="E2180" s="52" t="s">
        <v>530</v>
      </c>
      <c r="F2180" t="s">
        <v>552</v>
      </c>
      <c r="G2180" s="21">
        <v>0</v>
      </c>
      <c r="H2180" s="21">
        <v>0</v>
      </c>
      <c r="I2180" s="21">
        <v>0</v>
      </c>
      <c r="J2180" s="21">
        <v>-0.05</v>
      </c>
      <c r="K2180" s="21">
        <v>0</v>
      </c>
      <c r="L2180" s="21">
        <v>-0.05</v>
      </c>
    </row>
    <row r="2181" spans="1:12" ht="30" x14ac:dyDescent="0.25">
      <c r="A2181" s="10">
        <v>2176</v>
      </c>
      <c r="B2181" t="s">
        <v>550</v>
      </c>
      <c r="C2181" t="s">
        <v>13</v>
      </c>
      <c r="D2181" t="s">
        <v>529</v>
      </c>
      <c r="E2181" s="52" t="s">
        <v>530</v>
      </c>
      <c r="F2181" t="s">
        <v>552</v>
      </c>
      <c r="G2181" s="21">
        <v>0</v>
      </c>
      <c r="H2181" s="21">
        <v>0</v>
      </c>
      <c r="I2181" s="21">
        <v>0</v>
      </c>
      <c r="J2181" s="21">
        <v>0</v>
      </c>
      <c r="K2181" s="21">
        <v>0</v>
      </c>
      <c r="L2181" s="21">
        <v>0</v>
      </c>
    </row>
    <row r="2182" spans="1:12" ht="30" x14ac:dyDescent="0.25">
      <c r="A2182" s="10">
        <v>2177</v>
      </c>
      <c r="B2182" t="s">
        <v>550</v>
      </c>
      <c r="C2182" t="s">
        <v>17</v>
      </c>
      <c r="D2182" t="s">
        <v>529</v>
      </c>
      <c r="E2182" s="52" t="s">
        <v>530</v>
      </c>
      <c r="F2182" t="s">
        <v>552</v>
      </c>
      <c r="G2182" s="21">
        <v>-0.45</v>
      </c>
      <c r="H2182" s="21">
        <v>0</v>
      </c>
      <c r="I2182" s="21">
        <v>0</v>
      </c>
      <c r="J2182" s="21">
        <v>0</v>
      </c>
      <c r="K2182" s="21">
        <v>0.01</v>
      </c>
      <c r="L2182" s="21">
        <v>-0.44</v>
      </c>
    </row>
    <row r="2183" spans="1:12" ht="30" x14ac:dyDescent="0.25">
      <c r="A2183" s="10">
        <v>2178</v>
      </c>
      <c r="B2183" t="s">
        <v>550</v>
      </c>
      <c r="C2183" t="s">
        <v>17</v>
      </c>
      <c r="D2183" t="s">
        <v>529</v>
      </c>
      <c r="E2183" s="52" t="s">
        <v>530</v>
      </c>
      <c r="F2183" t="s">
        <v>552</v>
      </c>
      <c r="G2183" s="21">
        <v>-0.03</v>
      </c>
      <c r="H2183" s="21">
        <v>0</v>
      </c>
      <c r="I2183" s="21">
        <v>0</v>
      </c>
      <c r="J2183" s="21">
        <v>0</v>
      </c>
      <c r="K2183" s="21">
        <v>0</v>
      </c>
      <c r="L2183" s="21">
        <v>-0.03</v>
      </c>
    </row>
    <row r="2184" spans="1:12" ht="30" x14ac:dyDescent="0.25">
      <c r="A2184" s="10">
        <v>2179</v>
      </c>
      <c r="B2184" t="s">
        <v>18</v>
      </c>
      <c r="C2184" t="s">
        <v>17</v>
      </c>
      <c r="D2184" t="s">
        <v>531</v>
      </c>
      <c r="E2184" s="52" t="s">
        <v>532</v>
      </c>
      <c r="F2184" t="s">
        <v>19</v>
      </c>
      <c r="G2184" s="21">
        <v>0</v>
      </c>
      <c r="H2184" s="21">
        <v>0</v>
      </c>
      <c r="I2184" s="21">
        <v>-0.03</v>
      </c>
      <c r="J2184" s="21">
        <v>0</v>
      </c>
      <c r="K2184" s="21">
        <v>0</v>
      </c>
      <c r="L2184" s="21">
        <v>-0.03</v>
      </c>
    </row>
    <row r="2185" spans="1:12" ht="30" x14ac:dyDescent="0.25">
      <c r="A2185" s="10">
        <v>2180</v>
      </c>
      <c r="B2185" t="s">
        <v>18</v>
      </c>
      <c r="C2185" t="s">
        <v>17</v>
      </c>
      <c r="D2185" t="s">
        <v>531</v>
      </c>
      <c r="E2185" s="52" t="s">
        <v>532</v>
      </c>
      <c r="F2185" t="s">
        <v>19</v>
      </c>
      <c r="G2185" s="21">
        <v>0</v>
      </c>
      <c r="H2185" s="21">
        <v>0</v>
      </c>
      <c r="I2185" s="21">
        <v>-0.01</v>
      </c>
      <c r="J2185" s="21">
        <v>0</v>
      </c>
      <c r="K2185" s="21">
        <v>0</v>
      </c>
      <c r="L2185" s="21">
        <v>-0.01</v>
      </c>
    </row>
    <row r="2186" spans="1:12" ht="30" x14ac:dyDescent="0.25">
      <c r="A2186" s="10">
        <v>2181</v>
      </c>
      <c r="B2186" t="s">
        <v>20</v>
      </c>
      <c r="C2186" t="s">
        <v>17</v>
      </c>
      <c r="D2186" t="s">
        <v>531</v>
      </c>
      <c r="E2186" s="52" t="s">
        <v>532</v>
      </c>
      <c r="F2186" t="s">
        <v>21</v>
      </c>
      <c r="G2186" s="21">
        <v>0</v>
      </c>
      <c r="H2186" s="21">
        <v>0</v>
      </c>
      <c r="I2186" s="21">
        <v>0</v>
      </c>
      <c r="J2186" s="21">
        <v>0</v>
      </c>
      <c r="K2186" s="21">
        <v>0</v>
      </c>
      <c r="L2186" s="21">
        <v>0</v>
      </c>
    </row>
    <row r="2187" spans="1:12" x14ac:dyDescent="0.25">
      <c r="A2187" s="10">
        <v>2182</v>
      </c>
      <c r="B2187" t="s">
        <v>555</v>
      </c>
      <c r="C2187" t="s">
        <v>17</v>
      </c>
      <c r="D2187" t="s">
        <v>533</v>
      </c>
      <c r="E2187" s="52" t="s">
        <v>534</v>
      </c>
      <c r="F2187" t="s">
        <v>556</v>
      </c>
      <c r="G2187" s="21">
        <v>-10114.16</v>
      </c>
      <c r="H2187" s="21">
        <v>0</v>
      </c>
      <c r="I2187" s="21">
        <v>0</v>
      </c>
      <c r="J2187" s="21">
        <v>0</v>
      </c>
      <c r="K2187" s="21">
        <v>202.28</v>
      </c>
      <c r="L2187" s="21">
        <v>-9911.8799999999992</v>
      </c>
    </row>
    <row r="2188" spans="1:12" x14ac:dyDescent="0.25">
      <c r="A2188" s="10">
        <v>2183</v>
      </c>
      <c r="B2188" t="s">
        <v>557</v>
      </c>
      <c r="C2188" t="s">
        <v>17</v>
      </c>
      <c r="D2188" t="s">
        <v>533</v>
      </c>
      <c r="E2188" s="52" t="s">
        <v>534</v>
      </c>
      <c r="F2188" t="s">
        <v>558</v>
      </c>
      <c r="G2188" s="21">
        <v>-4805.09</v>
      </c>
      <c r="H2188" s="21">
        <v>0</v>
      </c>
      <c r="I2188" s="21">
        <v>0</v>
      </c>
      <c r="J2188" s="21">
        <v>0</v>
      </c>
      <c r="K2188" s="21">
        <v>96.1</v>
      </c>
      <c r="L2188" s="21">
        <v>-4708.99</v>
      </c>
    </row>
    <row r="2189" spans="1:12" x14ac:dyDescent="0.25">
      <c r="A2189" s="10">
        <v>2184</v>
      </c>
      <c r="B2189" t="s">
        <v>18</v>
      </c>
      <c r="C2189" t="s">
        <v>17</v>
      </c>
      <c r="D2189" t="s">
        <v>533</v>
      </c>
      <c r="E2189" s="52" t="s">
        <v>534</v>
      </c>
      <c r="F2189" t="s">
        <v>19</v>
      </c>
      <c r="G2189" s="21">
        <v>-28.84</v>
      </c>
      <c r="H2189" s="21">
        <v>0</v>
      </c>
      <c r="I2189" s="21">
        <v>0</v>
      </c>
      <c r="J2189" s="21">
        <v>0</v>
      </c>
      <c r="K2189" s="21">
        <v>25.58</v>
      </c>
      <c r="L2189" s="21">
        <v>-3.26</v>
      </c>
    </row>
    <row r="2190" spans="1:12" x14ac:dyDescent="0.25">
      <c r="A2190" s="10">
        <v>2185</v>
      </c>
      <c r="B2190" t="s">
        <v>18</v>
      </c>
      <c r="C2190" t="s">
        <v>13</v>
      </c>
      <c r="D2190" t="s">
        <v>533</v>
      </c>
      <c r="E2190" s="52" t="s">
        <v>534</v>
      </c>
      <c r="F2190" t="s">
        <v>19</v>
      </c>
      <c r="G2190" s="21">
        <v>0</v>
      </c>
      <c r="H2190" s="21">
        <v>0</v>
      </c>
      <c r="I2190" s="21">
        <v>0</v>
      </c>
      <c r="J2190" s="21">
        <v>-16920.03</v>
      </c>
      <c r="K2190" s="21">
        <v>0</v>
      </c>
      <c r="L2190" s="21">
        <v>-16920.03</v>
      </c>
    </row>
    <row r="2191" spans="1:12" x14ac:dyDescent="0.25">
      <c r="A2191" s="10">
        <v>2186</v>
      </c>
      <c r="B2191" t="s">
        <v>550</v>
      </c>
      <c r="C2191" t="s">
        <v>17</v>
      </c>
      <c r="D2191" t="s">
        <v>533</v>
      </c>
      <c r="E2191" s="52" t="s">
        <v>534</v>
      </c>
      <c r="F2191" t="s">
        <v>551</v>
      </c>
      <c r="G2191" s="21">
        <v>-334543.82</v>
      </c>
      <c r="H2191" s="21">
        <v>0</v>
      </c>
      <c r="I2191" s="21">
        <v>0</v>
      </c>
      <c r="J2191" s="21">
        <v>0</v>
      </c>
      <c r="K2191" s="21">
        <v>6690.88</v>
      </c>
      <c r="L2191" s="21">
        <v>-327852.94</v>
      </c>
    </row>
    <row r="2192" spans="1:12" x14ac:dyDescent="0.25">
      <c r="A2192" s="10">
        <v>2187</v>
      </c>
      <c r="B2192" t="s">
        <v>550</v>
      </c>
      <c r="C2192" t="s">
        <v>17</v>
      </c>
      <c r="D2192" t="s">
        <v>533</v>
      </c>
      <c r="E2192" s="52" t="s">
        <v>534</v>
      </c>
      <c r="F2192" t="s">
        <v>552</v>
      </c>
      <c r="G2192" s="21">
        <v>-24.06</v>
      </c>
      <c r="H2192" s="21">
        <v>0</v>
      </c>
      <c r="I2192" s="21">
        <v>0</v>
      </c>
      <c r="J2192" s="21">
        <v>0</v>
      </c>
      <c r="K2192" s="21">
        <v>0.48</v>
      </c>
      <c r="L2192" s="21">
        <v>-23.58</v>
      </c>
    </row>
    <row r="2193" spans="1:12" ht="30" x14ac:dyDescent="0.25">
      <c r="A2193" s="10">
        <v>2188</v>
      </c>
      <c r="B2193" t="s">
        <v>555</v>
      </c>
      <c r="C2193" t="s">
        <v>17</v>
      </c>
      <c r="D2193" t="s">
        <v>535</v>
      </c>
      <c r="E2193" s="52" t="s">
        <v>536</v>
      </c>
      <c r="F2193" t="s">
        <v>556</v>
      </c>
      <c r="G2193" s="21">
        <v>-1046.29</v>
      </c>
      <c r="H2193" s="21">
        <v>0</v>
      </c>
      <c r="I2193" s="21">
        <v>0</v>
      </c>
      <c r="J2193" s="21">
        <v>0</v>
      </c>
      <c r="K2193" s="21">
        <v>20.93</v>
      </c>
      <c r="L2193" s="21">
        <v>-1025.3599999999999</v>
      </c>
    </row>
    <row r="2194" spans="1:12" ht="30" x14ac:dyDescent="0.25">
      <c r="A2194" s="10">
        <v>2189</v>
      </c>
      <c r="B2194" t="s">
        <v>555</v>
      </c>
      <c r="C2194" t="s">
        <v>17</v>
      </c>
      <c r="D2194" t="s">
        <v>535</v>
      </c>
      <c r="E2194" s="52" t="s">
        <v>536</v>
      </c>
      <c r="F2194" t="s">
        <v>556</v>
      </c>
      <c r="G2194" s="21">
        <v>0</v>
      </c>
      <c r="H2194" s="21">
        <v>0</v>
      </c>
      <c r="I2194" s="21">
        <v>-743.7</v>
      </c>
      <c r="J2194" s="21">
        <v>0</v>
      </c>
      <c r="K2194" s="21">
        <v>14.87</v>
      </c>
      <c r="L2194" s="21">
        <v>-728.83</v>
      </c>
    </row>
    <row r="2195" spans="1:12" ht="30" x14ac:dyDescent="0.25">
      <c r="A2195" s="10">
        <v>2190</v>
      </c>
      <c r="B2195" t="s">
        <v>555</v>
      </c>
      <c r="C2195" t="s">
        <v>13</v>
      </c>
      <c r="D2195" t="s">
        <v>535</v>
      </c>
      <c r="E2195" s="52" t="s">
        <v>536</v>
      </c>
      <c r="F2195" t="s">
        <v>556</v>
      </c>
      <c r="G2195" s="21">
        <v>0</v>
      </c>
      <c r="H2195" s="21">
        <v>0</v>
      </c>
      <c r="I2195" s="21">
        <v>0</v>
      </c>
      <c r="J2195" s="21">
        <v>-125.55</v>
      </c>
      <c r="K2195" s="21">
        <v>0</v>
      </c>
      <c r="L2195" s="21">
        <v>-125.55</v>
      </c>
    </row>
    <row r="2196" spans="1:12" ht="30" x14ac:dyDescent="0.25">
      <c r="A2196" s="10">
        <v>2191</v>
      </c>
      <c r="B2196" t="s">
        <v>557</v>
      </c>
      <c r="C2196" t="s">
        <v>17</v>
      </c>
      <c r="D2196" t="s">
        <v>535</v>
      </c>
      <c r="E2196" s="52" t="s">
        <v>536</v>
      </c>
      <c r="F2196" t="s">
        <v>558</v>
      </c>
      <c r="G2196" s="21">
        <v>-570.16</v>
      </c>
      <c r="H2196" s="21">
        <v>0</v>
      </c>
      <c r="I2196" s="21">
        <v>0</v>
      </c>
      <c r="J2196" s="21">
        <v>0</v>
      </c>
      <c r="K2196" s="21">
        <v>11.4</v>
      </c>
      <c r="L2196" s="21">
        <v>-558.76</v>
      </c>
    </row>
    <row r="2197" spans="1:12" ht="30" x14ac:dyDescent="0.25">
      <c r="A2197" s="10">
        <v>2192</v>
      </c>
      <c r="B2197" t="s">
        <v>557</v>
      </c>
      <c r="C2197" t="s">
        <v>17</v>
      </c>
      <c r="D2197" t="s">
        <v>535</v>
      </c>
      <c r="E2197" s="52" t="s">
        <v>536</v>
      </c>
      <c r="F2197" t="s">
        <v>558</v>
      </c>
      <c r="G2197" s="21">
        <v>0</v>
      </c>
      <c r="H2197" s="21">
        <v>0</v>
      </c>
      <c r="I2197" s="21">
        <v>-536.65</v>
      </c>
      <c r="J2197" s="21">
        <v>0</v>
      </c>
      <c r="K2197" s="21">
        <v>10.73</v>
      </c>
      <c r="L2197" s="21">
        <v>-525.91999999999996</v>
      </c>
    </row>
    <row r="2198" spans="1:12" ht="30" x14ac:dyDescent="0.25">
      <c r="A2198" s="10">
        <v>2193</v>
      </c>
      <c r="B2198" t="s">
        <v>557</v>
      </c>
      <c r="C2198" t="s">
        <v>13</v>
      </c>
      <c r="D2198" t="s">
        <v>535</v>
      </c>
      <c r="E2198" s="52" t="s">
        <v>536</v>
      </c>
      <c r="F2198" t="s">
        <v>558</v>
      </c>
      <c r="G2198" s="21">
        <v>0</v>
      </c>
      <c r="H2198" s="21">
        <v>0</v>
      </c>
      <c r="I2198" s="21">
        <v>0</v>
      </c>
      <c r="J2198" s="21">
        <v>-68.42</v>
      </c>
      <c r="K2198" s="21">
        <v>0</v>
      </c>
      <c r="L2198" s="21">
        <v>-68.42</v>
      </c>
    </row>
    <row r="2199" spans="1:12" ht="30" x14ac:dyDescent="0.25">
      <c r="A2199" s="10">
        <v>2194</v>
      </c>
      <c r="B2199" t="s">
        <v>559</v>
      </c>
      <c r="C2199" t="s">
        <v>17</v>
      </c>
      <c r="D2199" t="s">
        <v>535</v>
      </c>
      <c r="E2199" s="52" t="s">
        <v>536</v>
      </c>
      <c r="F2199" t="s">
        <v>560</v>
      </c>
      <c r="G2199" s="21">
        <v>-832.95</v>
      </c>
      <c r="H2199" s="21">
        <v>0</v>
      </c>
      <c r="I2199" s="21">
        <v>0</v>
      </c>
      <c r="J2199" s="21">
        <v>0</v>
      </c>
      <c r="K2199" s="21">
        <v>16.66</v>
      </c>
      <c r="L2199" s="21">
        <v>-816.29</v>
      </c>
    </row>
    <row r="2200" spans="1:12" ht="30" x14ac:dyDescent="0.25">
      <c r="A2200" s="10">
        <v>2195</v>
      </c>
      <c r="B2200" t="s">
        <v>559</v>
      </c>
      <c r="C2200" t="s">
        <v>17</v>
      </c>
      <c r="D2200" t="s">
        <v>535</v>
      </c>
      <c r="E2200" s="52" t="s">
        <v>536</v>
      </c>
      <c r="F2200" t="s">
        <v>560</v>
      </c>
      <c r="G2200" s="21">
        <v>0</v>
      </c>
      <c r="H2200" s="21">
        <v>0</v>
      </c>
      <c r="I2200" s="21">
        <v>-5.22</v>
      </c>
      <c r="J2200" s="21">
        <v>0</v>
      </c>
      <c r="K2200" s="21">
        <v>0.1</v>
      </c>
      <c r="L2200" s="21">
        <v>-5.12</v>
      </c>
    </row>
    <row r="2201" spans="1:12" ht="30" x14ac:dyDescent="0.25">
      <c r="A2201" s="10">
        <v>2196</v>
      </c>
      <c r="B2201" t="s">
        <v>559</v>
      </c>
      <c r="C2201" t="s">
        <v>13</v>
      </c>
      <c r="D2201" t="s">
        <v>535</v>
      </c>
      <c r="E2201" s="52" t="s">
        <v>536</v>
      </c>
      <c r="F2201" t="s">
        <v>560</v>
      </c>
      <c r="G2201" s="21">
        <v>0</v>
      </c>
      <c r="H2201" s="21">
        <v>0</v>
      </c>
      <c r="I2201" s="21">
        <v>0</v>
      </c>
      <c r="J2201" s="21">
        <v>-99.95</v>
      </c>
      <c r="K2201" s="21">
        <v>0</v>
      </c>
      <c r="L2201" s="21">
        <v>-99.95</v>
      </c>
    </row>
    <row r="2202" spans="1:12" ht="30" x14ac:dyDescent="0.25">
      <c r="A2202" s="10">
        <v>2197</v>
      </c>
      <c r="B2202" t="s">
        <v>18</v>
      </c>
      <c r="C2202" t="s">
        <v>17</v>
      </c>
      <c r="D2202" t="s">
        <v>535</v>
      </c>
      <c r="E2202" s="52" t="s">
        <v>536</v>
      </c>
      <c r="F2202" t="s">
        <v>19</v>
      </c>
      <c r="G2202" s="21">
        <v>-11.03</v>
      </c>
      <c r="H2202" s="21">
        <v>0</v>
      </c>
      <c r="I2202" s="21">
        <v>0</v>
      </c>
      <c r="J2202" s="21">
        <v>0</v>
      </c>
      <c r="K2202" s="21">
        <v>9.7899999999999991</v>
      </c>
      <c r="L2202" s="21">
        <v>-1.24</v>
      </c>
    </row>
    <row r="2203" spans="1:12" ht="30" x14ac:dyDescent="0.25">
      <c r="A2203" s="10">
        <v>2198</v>
      </c>
      <c r="B2203" t="s">
        <v>18</v>
      </c>
      <c r="C2203" t="s">
        <v>17</v>
      </c>
      <c r="D2203" t="s">
        <v>535</v>
      </c>
      <c r="E2203" s="52" t="s">
        <v>536</v>
      </c>
      <c r="F2203" t="s">
        <v>19</v>
      </c>
      <c r="G2203" s="21">
        <v>0</v>
      </c>
      <c r="H2203" s="21">
        <v>0</v>
      </c>
      <c r="I2203" s="21">
        <v>-12.97</v>
      </c>
      <c r="J2203" s="21">
        <v>0</v>
      </c>
      <c r="K2203" s="21">
        <v>1.53</v>
      </c>
      <c r="L2203" s="21">
        <v>-11.44</v>
      </c>
    </row>
    <row r="2204" spans="1:12" ht="30" x14ac:dyDescent="0.25">
      <c r="A2204" s="10">
        <v>2199</v>
      </c>
      <c r="B2204" t="s">
        <v>18</v>
      </c>
      <c r="C2204" t="s">
        <v>17</v>
      </c>
      <c r="D2204" t="s">
        <v>535</v>
      </c>
      <c r="E2204" s="52" t="s">
        <v>536</v>
      </c>
      <c r="F2204" t="s">
        <v>19</v>
      </c>
      <c r="G2204" s="21">
        <v>0</v>
      </c>
      <c r="H2204" s="21">
        <v>0</v>
      </c>
      <c r="I2204" s="21">
        <v>-84.66</v>
      </c>
      <c r="J2204" s="21">
        <v>0</v>
      </c>
      <c r="K2204" s="21">
        <v>9.9600000000000009</v>
      </c>
      <c r="L2204" s="21">
        <v>-74.7</v>
      </c>
    </row>
    <row r="2205" spans="1:12" ht="30" x14ac:dyDescent="0.25">
      <c r="A2205" s="10">
        <v>2200</v>
      </c>
      <c r="B2205" t="s">
        <v>550</v>
      </c>
      <c r="C2205" t="s">
        <v>13</v>
      </c>
      <c r="D2205" t="s">
        <v>535</v>
      </c>
      <c r="E2205" s="52" t="s">
        <v>536</v>
      </c>
      <c r="F2205" t="s">
        <v>551</v>
      </c>
      <c r="G2205" s="21">
        <v>0</v>
      </c>
      <c r="H2205" s="21">
        <v>0</v>
      </c>
      <c r="I2205" s="21">
        <v>0</v>
      </c>
      <c r="J2205" s="21">
        <v>-15474.35</v>
      </c>
      <c r="K2205" s="21">
        <v>0</v>
      </c>
      <c r="L2205" s="21">
        <v>-15474.35</v>
      </c>
    </row>
    <row r="2206" spans="1:12" ht="30" x14ac:dyDescent="0.25">
      <c r="A2206" s="10">
        <v>2201</v>
      </c>
      <c r="B2206" t="s">
        <v>550</v>
      </c>
      <c r="C2206" t="s">
        <v>13</v>
      </c>
      <c r="D2206" t="s">
        <v>535</v>
      </c>
      <c r="E2206" s="52" t="s">
        <v>536</v>
      </c>
      <c r="F2206" t="s">
        <v>551</v>
      </c>
      <c r="G2206" s="21">
        <v>0</v>
      </c>
      <c r="H2206" s="21">
        <v>0</v>
      </c>
      <c r="I2206" s="21">
        <v>0</v>
      </c>
      <c r="J2206" s="21">
        <v>-40.159999999999997</v>
      </c>
      <c r="K2206" s="21">
        <v>0</v>
      </c>
      <c r="L2206" s="21">
        <v>-40.159999999999997</v>
      </c>
    </row>
    <row r="2207" spans="1:12" ht="30" x14ac:dyDescent="0.25">
      <c r="A2207" s="10">
        <v>2202</v>
      </c>
      <c r="B2207" t="s">
        <v>550</v>
      </c>
      <c r="C2207" t="s">
        <v>17</v>
      </c>
      <c r="D2207" t="s">
        <v>535</v>
      </c>
      <c r="E2207" s="52" t="s">
        <v>536</v>
      </c>
      <c r="F2207" t="s">
        <v>551</v>
      </c>
      <c r="G2207" s="21">
        <v>-128952.91</v>
      </c>
      <c r="H2207" s="21">
        <v>0</v>
      </c>
      <c r="I2207" s="21">
        <v>0</v>
      </c>
      <c r="J2207" s="21">
        <v>0</v>
      </c>
      <c r="K2207" s="21">
        <v>2579.06</v>
      </c>
      <c r="L2207" s="21">
        <v>-126373.85</v>
      </c>
    </row>
    <row r="2208" spans="1:12" ht="30" x14ac:dyDescent="0.25">
      <c r="A2208" s="10">
        <v>2203</v>
      </c>
      <c r="B2208" t="s">
        <v>550</v>
      </c>
      <c r="C2208" t="s">
        <v>17</v>
      </c>
      <c r="D2208" t="s">
        <v>535</v>
      </c>
      <c r="E2208" s="52" t="s">
        <v>536</v>
      </c>
      <c r="F2208" t="s">
        <v>551</v>
      </c>
      <c r="G2208" s="21">
        <v>0</v>
      </c>
      <c r="H2208" s="21">
        <v>0</v>
      </c>
      <c r="I2208" s="21">
        <v>-116992.66</v>
      </c>
      <c r="J2208" s="21">
        <v>0</v>
      </c>
      <c r="K2208" s="21">
        <v>2339.85</v>
      </c>
      <c r="L2208" s="21">
        <v>-114652.81</v>
      </c>
    </row>
    <row r="2209" spans="1:12" ht="30" x14ac:dyDescent="0.25">
      <c r="A2209" s="10">
        <v>2204</v>
      </c>
      <c r="B2209" t="s">
        <v>550</v>
      </c>
      <c r="C2209" t="s">
        <v>17</v>
      </c>
      <c r="D2209" t="s">
        <v>535</v>
      </c>
      <c r="E2209" s="52" t="s">
        <v>536</v>
      </c>
      <c r="F2209" t="s">
        <v>551</v>
      </c>
      <c r="G2209" s="21">
        <v>-334.7</v>
      </c>
      <c r="H2209" s="21">
        <v>0</v>
      </c>
      <c r="I2209" s="21">
        <v>0</v>
      </c>
      <c r="J2209" s="21">
        <v>0</v>
      </c>
      <c r="K2209" s="21">
        <v>6.69</v>
      </c>
      <c r="L2209" s="21">
        <v>-328.01</v>
      </c>
    </row>
    <row r="2210" spans="1:12" ht="30" x14ac:dyDescent="0.25">
      <c r="A2210" s="10">
        <v>2205</v>
      </c>
      <c r="B2210" t="s">
        <v>550</v>
      </c>
      <c r="C2210" t="s">
        <v>17</v>
      </c>
      <c r="D2210" t="s">
        <v>535</v>
      </c>
      <c r="E2210" s="52" t="s">
        <v>536</v>
      </c>
      <c r="F2210" t="s">
        <v>551</v>
      </c>
      <c r="G2210" s="21">
        <v>0</v>
      </c>
      <c r="H2210" s="21">
        <v>0</v>
      </c>
      <c r="I2210" s="21">
        <v>-87083.21</v>
      </c>
      <c r="J2210" s="21">
        <v>0</v>
      </c>
      <c r="K2210" s="21">
        <v>1741.66</v>
      </c>
      <c r="L2210" s="21">
        <v>-85341.55</v>
      </c>
    </row>
    <row r="2211" spans="1:12" ht="30" x14ac:dyDescent="0.25">
      <c r="A2211" s="10">
        <v>2206</v>
      </c>
      <c r="B2211" t="s">
        <v>550</v>
      </c>
      <c r="C2211" t="s">
        <v>13</v>
      </c>
      <c r="D2211" t="s">
        <v>535</v>
      </c>
      <c r="E2211" s="52" t="s">
        <v>536</v>
      </c>
      <c r="F2211" t="s">
        <v>552</v>
      </c>
      <c r="G2211" s="21">
        <v>0</v>
      </c>
      <c r="H2211" s="21">
        <v>0</v>
      </c>
      <c r="I2211" s="21">
        <v>0</v>
      </c>
      <c r="J2211" s="21">
        <v>-1.1100000000000001</v>
      </c>
      <c r="K2211" s="21">
        <v>0</v>
      </c>
      <c r="L2211" s="21">
        <v>-1.1100000000000001</v>
      </c>
    </row>
    <row r="2212" spans="1:12" ht="30" x14ac:dyDescent="0.25">
      <c r="A2212" s="10">
        <v>2207</v>
      </c>
      <c r="B2212" t="s">
        <v>550</v>
      </c>
      <c r="C2212" t="s">
        <v>13</v>
      </c>
      <c r="D2212" t="s">
        <v>535</v>
      </c>
      <c r="E2212" s="52" t="s">
        <v>536</v>
      </c>
      <c r="F2212" t="s">
        <v>552</v>
      </c>
      <c r="G2212" s="21">
        <v>0</v>
      </c>
      <c r="H2212" s="21">
        <v>0</v>
      </c>
      <c r="I2212" s="21">
        <v>0</v>
      </c>
      <c r="J2212" s="21">
        <v>0</v>
      </c>
      <c r="K2212" s="21">
        <v>0</v>
      </c>
      <c r="L2212" s="21">
        <v>0</v>
      </c>
    </row>
    <row r="2213" spans="1:12" ht="30" x14ac:dyDescent="0.25">
      <c r="A2213" s="10">
        <v>2208</v>
      </c>
      <c r="B2213" t="s">
        <v>550</v>
      </c>
      <c r="C2213" t="s">
        <v>17</v>
      </c>
      <c r="D2213" t="s">
        <v>535</v>
      </c>
      <c r="E2213" s="52" t="s">
        <v>536</v>
      </c>
      <c r="F2213" t="s">
        <v>552</v>
      </c>
      <c r="G2213" s="21">
        <v>-9.2799999999999994</v>
      </c>
      <c r="H2213" s="21">
        <v>0</v>
      </c>
      <c r="I2213" s="21">
        <v>0</v>
      </c>
      <c r="J2213" s="21">
        <v>0</v>
      </c>
      <c r="K2213" s="21">
        <v>0.19</v>
      </c>
      <c r="L2213" s="21">
        <v>-9.09</v>
      </c>
    </row>
    <row r="2214" spans="1:12" ht="30" x14ac:dyDescent="0.25">
      <c r="A2214" s="10">
        <v>2209</v>
      </c>
      <c r="B2214" t="s">
        <v>550</v>
      </c>
      <c r="C2214" t="s">
        <v>17</v>
      </c>
      <c r="D2214" t="s">
        <v>535</v>
      </c>
      <c r="E2214" s="52" t="s">
        <v>536</v>
      </c>
      <c r="F2214" t="s">
        <v>552</v>
      </c>
      <c r="G2214" s="21">
        <v>0</v>
      </c>
      <c r="H2214" s="21">
        <v>0</v>
      </c>
      <c r="I2214" s="21">
        <v>-8.42</v>
      </c>
      <c r="J2214" s="21">
        <v>0</v>
      </c>
      <c r="K2214" s="21">
        <v>0.17</v>
      </c>
      <c r="L2214" s="21">
        <v>-8.25</v>
      </c>
    </row>
    <row r="2215" spans="1:12" ht="30" x14ac:dyDescent="0.25">
      <c r="A2215" s="10">
        <v>2210</v>
      </c>
      <c r="B2215" t="s">
        <v>550</v>
      </c>
      <c r="C2215" t="s">
        <v>17</v>
      </c>
      <c r="D2215" t="s">
        <v>535</v>
      </c>
      <c r="E2215" s="52" t="s">
        <v>536</v>
      </c>
      <c r="F2215" t="s">
        <v>552</v>
      </c>
      <c r="G2215" s="21">
        <v>-0.02</v>
      </c>
      <c r="H2215" s="21">
        <v>0</v>
      </c>
      <c r="I2215" s="21">
        <v>0</v>
      </c>
      <c r="J2215" s="21">
        <v>0</v>
      </c>
      <c r="K2215" s="21">
        <v>0</v>
      </c>
      <c r="L2215" s="21">
        <v>-0.02</v>
      </c>
    </row>
    <row r="2216" spans="1:12" ht="30" x14ac:dyDescent="0.25">
      <c r="A2216" s="10">
        <v>2211</v>
      </c>
      <c r="B2216" t="s">
        <v>550</v>
      </c>
      <c r="C2216" t="s">
        <v>17</v>
      </c>
      <c r="D2216" t="s">
        <v>535</v>
      </c>
      <c r="E2216" s="52" t="s">
        <v>536</v>
      </c>
      <c r="F2216" t="s">
        <v>552</v>
      </c>
      <c r="G2216" s="21">
        <v>0</v>
      </c>
      <c r="H2216" s="21">
        <v>0</v>
      </c>
      <c r="I2216" s="21">
        <v>-6.26</v>
      </c>
      <c r="J2216" s="21">
        <v>0</v>
      </c>
      <c r="K2216" s="21">
        <v>0.13</v>
      </c>
      <c r="L2216" s="21">
        <v>-6.13</v>
      </c>
    </row>
    <row r="2217" spans="1:12" ht="30" x14ac:dyDescent="0.25">
      <c r="A2217" s="10">
        <v>2212</v>
      </c>
      <c r="B2217" t="s">
        <v>555</v>
      </c>
      <c r="C2217" t="s">
        <v>17</v>
      </c>
      <c r="D2217" t="s">
        <v>537</v>
      </c>
      <c r="E2217" s="52" t="s">
        <v>538</v>
      </c>
      <c r="F2217" t="s">
        <v>556</v>
      </c>
      <c r="G2217" s="21">
        <v>-0.77</v>
      </c>
      <c r="H2217" s="21">
        <v>0</v>
      </c>
      <c r="I2217" s="21">
        <v>0</v>
      </c>
      <c r="J2217" s="21">
        <v>0</v>
      </c>
      <c r="K2217" s="21">
        <v>0.02</v>
      </c>
      <c r="L2217" s="21">
        <v>-0.75</v>
      </c>
    </row>
    <row r="2218" spans="1:12" ht="30" x14ac:dyDescent="0.25">
      <c r="A2218" s="10">
        <v>2213</v>
      </c>
      <c r="B2218" t="s">
        <v>555</v>
      </c>
      <c r="C2218" t="s">
        <v>13</v>
      </c>
      <c r="D2218" t="s">
        <v>537</v>
      </c>
      <c r="E2218" s="52" t="s">
        <v>538</v>
      </c>
      <c r="F2218" t="s">
        <v>556</v>
      </c>
      <c r="G2218" s="21">
        <v>0</v>
      </c>
      <c r="H2218" s="21">
        <v>0</v>
      </c>
      <c r="I2218" s="21">
        <v>0</v>
      </c>
      <c r="J2218" s="21">
        <v>-0.09</v>
      </c>
      <c r="K2218" s="21">
        <v>0</v>
      </c>
      <c r="L2218" s="21">
        <v>-0.09</v>
      </c>
    </row>
    <row r="2219" spans="1:12" ht="30" x14ac:dyDescent="0.25">
      <c r="A2219" s="10">
        <v>2214</v>
      </c>
      <c r="B2219" t="s">
        <v>557</v>
      </c>
      <c r="C2219" t="s">
        <v>17</v>
      </c>
      <c r="D2219" t="s">
        <v>537</v>
      </c>
      <c r="E2219" s="52" t="s">
        <v>538</v>
      </c>
      <c r="F2219" t="s">
        <v>558</v>
      </c>
      <c r="G2219" s="21">
        <v>-13.71</v>
      </c>
      <c r="H2219" s="21">
        <v>0</v>
      </c>
      <c r="I2219" s="21">
        <v>0</v>
      </c>
      <c r="J2219" s="21">
        <v>0</v>
      </c>
      <c r="K2219" s="21">
        <v>0.27</v>
      </c>
      <c r="L2219" s="21">
        <v>-13.44</v>
      </c>
    </row>
    <row r="2220" spans="1:12" ht="30" x14ac:dyDescent="0.25">
      <c r="A2220" s="10">
        <v>2215</v>
      </c>
      <c r="B2220" t="s">
        <v>557</v>
      </c>
      <c r="C2220" t="s">
        <v>13</v>
      </c>
      <c r="D2220" t="s">
        <v>537</v>
      </c>
      <c r="E2220" s="52" t="s">
        <v>538</v>
      </c>
      <c r="F2220" t="s">
        <v>558</v>
      </c>
      <c r="G2220" s="21">
        <v>0</v>
      </c>
      <c r="H2220" s="21">
        <v>0</v>
      </c>
      <c r="I2220" s="21">
        <v>0</v>
      </c>
      <c r="J2220" s="21">
        <v>-1.65</v>
      </c>
      <c r="K2220" s="21">
        <v>0</v>
      </c>
      <c r="L2220" s="21">
        <v>-1.65</v>
      </c>
    </row>
    <row r="2221" spans="1:12" ht="30" x14ac:dyDescent="0.25">
      <c r="A2221" s="10">
        <v>2216</v>
      </c>
      <c r="B2221" t="s">
        <v>18</v>
      </c>
      <c r="C2221" t="s">
        <v>17</v>
      </c>
      <c r="D2221" t="s">
        <v>537</v>
      </c>
      <c r="E2221" s="52" t="s">
        <v>538</v>
      </c>
      <c r="F2221" t="s">
        <v>19</v>
      </c>
      <c r="G2221" s="21">
        <v>-0.2</v>
      </c>
      <c r="H2221" s="21">
        <v>0</v>
      </c>
      <c r="I2221" s="21">
        <v>0</v>
      </c>
      <c r="J2221" s="21">
        <v>0</v>
      </c>
      <c r="K2221" s="21">
        <v>0.18</v>
      </c>
      <c r="L2221" s="21">
        <v>-0.02</v>
      </c>
    </row>
    <row r="2222" spans="1:12" ht="30" x14ac:dyDescent="0.25">
      <c r="A2222" s="10">
        <v>2217</v>
      </c>
      <c r="B2222" t="s">
        <v>550</v>
      </c>
      <c r="C2222" t="s">
        <v>13</v>
      </c>
      <c r="D2222" t="s">
        <v>647</v>
      </c>
      <c r="E2222" s="52" t="s">
        <v>538</v>
      </c>
      <c r="F2222" t="s">
        <v>551</v>
      </c>
      <c r="G2222" s="21">
        <v>0</v>
      </c>
      <c r="H2222" s="21">
        <v>0</v>
      </c>
      <c r="I2222" s="21">
        <v>0</v>
      </c>
      <c r="J2222" s="21">
        <v>-1.66</v>
      </c>
      <c r="K2222" s="21">
        <v>0</v>
      </c>
      <c r="L2222" s="21">
        <v>-1.66</v>
      </c>
    </row>
    <row r="2223" spans="1:12" ht="30" x14ac:dyDescent="0.25">
      <c r="A2223" s="10">
        <v>2218</v>
      </c>
      <c r="B2223" t="s">
        <v>550</v>
      </c>
      <c r="C2223" t="s">
        <v>13</v>
      </c>
      <c r="D2223" t="s">
        <v>647</v>
      </c>
      <c r="E2223" s="52" t="s">
        <v>538</v>
      </c>
      <c r="F2223" t="s">
        <v>551</v>
      </c>
      <c r="G2223" s="21">
        <v>0</v>
      </c>
      <c r="H2223" s="21">
        <v>0</v>
      </c>
      <c r="I2223" s="21">
        <v>0</v>
      </c>
      <c r="J2223" s="21">
        <v>-1022.28</v>
      </c>
      <c r="K2223" s="21">
        <v>0</v>
      </c>
      <c r="L2223" s="21">
        <v>-1022.28</v>
      </c>
    </row>
    <row r="2224" spans="1:12" ht="30" x14ac:dyDescent="0.25">
      <c r="A2224" s="10">
        <v>2219</v>
      </c>
      <c r="B2224" t="s">
        <v>550</v>
      </c>
      <c r="C2224" t="s">
        <v>17</v>
      </c>
      <c r="D2224" t="s">
        <v>647</v>
      </c>
      <c r="E2224" s="52" t="s">
        <v>538</v>
      </c>
      <c r="F2224" t="s">
        <v>551</v>
      </c>
      <c r="G2224" s="21">
        <v>-13.8</v>
      </c>
      <c r="H2224" s="21">
        <v>0</v>
      </c>
      <c r="I2224" s="21">
        <v>0</v>
      </c>
      <c r="J2224" s="21">
        <v>0</v>
      </c>
      <c r="K2224" s="21">
        <v>0.28000000000000003</v>
      </c>
      <c r="L2224" s="21">
        <v>-13.52</v>
      </c>
    </row>
    <row r="2225" spans="1:12" ht="30" x14ac:dyDescent="0.25">
      <c r="A2225" s="10">
        <v>2220</v>
      </c>
      <c r="B2225" t="s">
        <v>550</v>
      </c>
      <c r="C2225" t="s">
        <v>17</v>
      </c>
      <c r="D2225" t="s">
        <v>647</v>
      </c>
      <c r="E2225" s="52" t="s">
        <v>538</v>
      </c>
      <c r="F2225" t="s">
        <v>551</v>
      </c>
      <c r="G2225" s="21">
        <v>-8519.0400000000009</v>
      </c>
      <c r="H2225" s="21">
        <v>0</v>
      </c>
      <c r="I2225" s="21">
        <v>0</v>
      </c>
      <c r="J2225" s="21">
        <v>0</v>
      </c>
      <c r="K2225" s="21">
        <v>170.38</v>
      </c>
      <c r="L2225" s="21">
        <v>-8348.66</v>
      </c>
    </row>
    <row r="2226" spans="1:12" ht="30" x14ac:dyDescent="0.25">
      <c r="A2226" s="10">
        <v>2221</v>
      </c>
      <c r="B2226" t="s">
        <v>550</v>
      </c>
      <c r="C2226" t="s">
        <v>13</v>
      </c>
      <c r="D2226" t="s">
        <v>647</v>
      </c>
      <c r="E2226" s="52" t="s">
        <v>538</v>
      </c>
      <c r="F2226" t="s">
        <v>552</v>
      </c>
      <c r="G2226" s="21">
        <v>0</v>
      </c>
      <c r="H2226" s="21">
        <v>0</v>
      </c>
      <c r="I2226" s="21">
        <v>0</v>
      </c>
      <c r="J2226" s="21">
        <v>-7.0000000000000007E-2</v>
      </c>
      <c r="K2226" s="21">
        <v>0</v>
      </c>
      <c r="L2226" s="21">
        <v>-7.0000000000000007E-2</v>
      </c>
    </row>
    <row r="2227" spans="1:12" ht="30" x14ac:dyDescent="0.25">
      <c r="A2227" s="10">
        <v>2222</v>
      </c>
      <c r="B2227" t="s">
        <v>550</v>
      </c>
      <c r="C2227" t="s">
        <v>17</v>
      </c>
      <c r="D2227" t="s">
        <v>647</v>
      </c>
      <c r="E2227" s="52" t="s">
        <v>538</v>
      </c>
      <c r="F2227" t="s">
        <v>552</v>
      </c>
      <c r="G2227" s="21">
        <v>-0.61</v>
      </c>
      <c r="H2227" s="21">
        <v>0</v>
      </c>
      <c r="I2227" s="21">
        <v>0</v>
      </c>
      <c r="J2227" s="21">
        <v>0</v>
      </c>
      <c r="K2227" s="21">
        <v>0.01</v>
      </c>
      <c r="L2227" s="21">
        <v>-0.6</v>
      </c>
    </row>
    <row r="2228" spans="1:12" ht="30" x14ac:dyDescent="0.25">
      <c r="A2228" s="10">
        <v>2223</v>
      </c>
      <c r="B2228" t="s">
        <v>550</v>
      </c>
      <c r="C2228" t="s">
        <v>17</v>
      </c>
      <c r="D2228" t="s">
        <v>648</v>
      </c>
      <c r="E2228" s="52" t="s">
        <v>540</v>
      </c>
      <c r="F2228" t="s">
        <v>551</v>
      </c>
      <c r="G2228" s="21">
        <v>0</v>
      </c>
      <c r="H2228" s="21">
        <v>0</v>
      </c>
      <c r="I2228" s="21">
        <v>-5.23</v>
      </c>
      <c r="J2228" s="21">
        <v>0</v>
      </c>
      <c r="K2228" s="21">
        <v>0.1</v>
      </c>
      <c r="L2228" s="21">
        <v>-5.13</v>
      </c>
    </row>
    <row r="2229" spans="1:12" ht="30" x14ac:dyDescent="0.25">
      <c r="A2229" s="10">
        <v>2224</v>
      </c>
      <c r="B2229" t="s">
        <v>18</v>
      </c>
      <c r="C2229" t="s">
        <v>17</v>
      </c>
      <c r="D2229" t="s">
        <v>541</v>
      </c>
      <c r="E2229" s="52" t="s">
        <v>542</v>
      </c>
      <c r="F2229" t="s">
        <v>19</v>
      </c>
      <c r="G2229" s="21">
        <v>0</v>
      </c>
      <c r="H2229" s="21">
        <v>0</v>
      </c>
      <c r="I2229" s="21">
        <v>-0.06</v>
      </c>
      <c r="J2229" s="21">
        <v>0</v>
      </c>
      <c r="K2229" s="21">
        <v>0.01</v>
      </c>
      <c r="L2229" s="21">
        <v>-0.05</v>
      </c>
    </row>
    <row r="2230" spans="1:12" ht="30" x14ac:dyDescent="0.25">
      <c r="A2230" s="10">
        <v>2225</v>
      </c>
      <c r="B2230" t="s">
        <v>550</v>
      </c>
      <c r="C2230" t="s">
        <v>17</v>
      </c>
      <c r="D2230" t="s">
        <v>649</v>
      </c>
      <c r="E2230" s="52" t="s">
        <v>542</v>
      </c>
      <c r="F2230" t="s">
        <v>551</v>
      </c>
      <c r="G2230" s="21">
        <v>0</v>
      </c>
      <c r="H2230" s="21">
        <v>0</v>
      </c>
      <c r="I2230" s="21">
        <v>-23.91</v>
      </c>
      <c r="J2230" s="21">
        <v>0</v>
      </c>
      <c r="K2230" s="21">
        <v>0.48</v>
      </c>
      <c r="L2230" s="21">
        <v>-23.43</v>
      </c>
    </row>
    <row r="2231" spans="1:12" ht="30" x14ac:dyDescent="0.25">
      <c r="A2231" s="10">
        <v>2226</v>
      </c>
      <c r="B2231" t="s">
        <v>550</v>
      </c>
      <c r="C2231" t="s">
        <v>17</v>
      </c>
      <c r="D2231" t="s">
        <v>649</v>
      </c>
      <c r="E2231" s="52" t="s">
        <v>542</v>
      </c>
      <c r="F2231" t="s">
        <v>551</v>
      </c>
      <c r="G2231" s="21">
        <v>0</v>
      </c>
      <c r="H2231" s="21">
        <v>0</v>
      </c>
      <c r="I2231" s="21">
        <v>-15.82</v>
      </c>
      <c r="J2231" s="21">
        <v>0</v>
      </c>
      <c r="K2231" s="21">
        <v>0.32</v>
      </c>
      <c r="L2231" s="21">
        <v>-15.5</v>
      </c>
    </row>
    <row r="2232" spans="1:12" ht="30" x14ac:dyDescent="0.25">
      <c r="A2232" s="10">
        <v>2227</v>
      </c>
      <c r="B2232" t="s">
        <v>18</v>
      </c>
      <c r="C2232" t="s">
        <v>17</v>
      </c>
      <c r="D2232" t="s">
        <v>543</v>
      </c>
      <c r="E2232" s="52" t="s">
        <v>544</v>
      </c>
      <c r="F2232" t="s">
        <v>19</v>
      </c>
      <c r="G2232" s="21">
        <v>0</v>
      </c>
      <c r="H2232" s="21">
        <v>0</v>
      </c>
      <c r="I2232" s="21">
        <v>-0.08</v>
      </c>
      <c r="J2232" s="21">
        <v>0</v>
      </c>
      <c r="K2232" s="21">
        <v>0.01</v>
      </c>
      <c r="L2232" s="21">
        <v>-7.0000000000000007E-2</v>
      </c>
    </row>
    <row r="2233" spans="1:12" ht="30" x14ac:dyDescent="0.25">
      <c r="A2233" s="10">
        <v>2228</v>
      </c>
      <c r="B2233" t="s">
        <v>550</v>
      </c>
      <c r="C2233" t="s">
        <v>17</v>
      </c>
      <c r="D2233" t="s">
        <v>650</v>
      </c>
      <c r="E2233" s="52" t="s">
        <v>544</v>
      </c>
      <c r="F2233" t="s">
        <v>551</v>
      </c>
      <c r="G2233" s="21">
        <v>0</v>
      </c>
      <c r="H2233" s="21">
        <v>0</v>
      </c>
      <c r="I2233" s="21">
        <v>-52.28</v>
      </c>
      <c r="J2233" s="21">
        <v>0</v>
      </c>
      <c r="K2233" s="21">
        <v>1.05</v>
      </c>
      <c r="L2233" s="21">
        <v>-51.23</v>
      </c>
    </row>
    <row r="2234" spans="1:12" ht="30" x14ac:dyDescent="0.25">
      <c r="A2234" s="10">
        <v>2229</v>
      </c>
      <c r="B2234" t="s">
        <v>550</v>
      </c>
      <c r="C2234" t="s">
        <v>17</v>
      </c>
      <c r="D2234" t="s">
        <v>650</v>
      </c>
      <c r="E2234" s="52" t="s">
        <v>544</v>
      </c>
      <c r="F2234" t="s">
        <v>551</v>
      </c>
      <c r="G2234" s="21">
        <v>0</v>
      </c>
      <c r="H2234" s="21">
        <v>0</v>
      </c>
      <c r="I2234" s="21">
        <v>-182.89</v>
      </c>
      <c r="J2234" s="21">
        <v>0</v>
      </c>
      <c r="K2234" s="21">
        <v>3.66</v>
      </c>
      <c r="L2234" s="21">
        <v>-179.23</v>
      </c>
    </row>
    <row r="2235" spans="1:12" ht="30" x14ac:dyDescent="0.25">
      <c r="A2235" s="10">
        <v>2230</v>
      </c>
      <c r="B2235" t="s">
        <v>550</v>
      </c>
      <c r="C2235" t="s">
        <v>17</v>
      </c>
      <c r="D2235" t="s">
        <v>650</v>
      </c>
      <c r="E2235" s="52" t="s">
        <v>544</v>
      </c>
      <c r="F2235" t="s">
        <v>552</v>
      </c>
      <c r="G2235" s="21">
        <v>0</v>
      </c>
      <c r="H2235" s="21">
        <v>0</v>
      </c>
      <c r="I2235" s="21">
        <v>-0.01</v>
      </c>
      <c r="J2235" s="21">
        <v>0</v>
      </c>
      <c r="K2235" s="21">
        <v>0</v>
      </c>
      <c r="L2235" s="21">
        <v>-0.01</v>
      </c>
    </row>
    <row r="2236" spans="1:12" x14ac:dyDescent="0.25">
      <c r="C2236" t="s">
        <v>545</v>
      </c>
      <c r="G2236" s="21">
        <v>-18448252.710000001</v>
      </c>
      <c r="H2236" s="21">
        <v>0</v>
      </c>
      <c r="I2236" s="21">
        <v>-4222779.28</v>
      </c>
      <c r="J2236" s="21">
        <v>-1689668.54</v>
      </c>
      <c r="K2236" s="21">
        <v>451996.54</v>
      </c>
      <c r="L2236" s="21">
        <v>-23908703.989999998</v>
      </c>
    </row>
    <row r="2237" spans="1:12" x14ac:dyDescent="0.25">
      <c r="G2237" s="21">
        <f>SUM(G6:G2235)</f>
        <v>-18448252.709999964</v>
      </c>
      <c r="H2237" s="21">
        <f t="shared" ref="H2237:L2237" si="0">SUM(H6:H2235)</f>
        <v>0</v>
      </c>
      <c r="I2237" s="21">
        <f>SUM(I6:I2235)</f>
        <v>-4222816.4399999864</v>
      </c>
      <c r="J2237" s="21">
        <f t="shared" si="0"/>
        <v>-1689668.5400000017</v>
      </c>
      <c r="K2237" s="21">
        <f t="shared" si="0"/>
        <v>451997.28000000108</v>
      </c>
      <c r="L2237" s="21">
        <f t="shared" si="0"/>
        <v>-23908740.409999974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4387"/>
  <sheetViews>
    <sheetView tabSelected="1" zoomScaleNormal="100" workbookViewId="0">
      <pane ySplit="6" topLeftCell="A217" activePane="bottomLeft" state="frozen"/>
      <selection pane="bottomLeft" activeCell="G4" sqref="G4"/>
    </sheetView>
  </sheetViews>
  <sheetFormatPr defaultRowHeight="15" x14ac:dyDescent="0.25"/>
  <cols>
    <col min="1" max="1" width="6.5703125" customWidth="1"/>
    <col min="2" max="2" width="10.140625" customWidth="1"/>
    <col min="3" max="3" width="15" bestFit="1" customWidth="1"/>
    <col min="4" max="4" width="14.140625" customWidth="1"/>
    <col min="5" max="5" width="36.140625" customWidth="1"/>
    <col min="6" max="6" width="28.5703125" customWidth="1"/>
    <col min="7" max="12" width="15.85546875" customWidth="1"/>
    <col min="13" max="13" width="6.85546875" customWidth="1"/>
    <col min="14" max="14" width="9.140625" style="67"/>
  </cols>
  <sheetData>
    <row r="2" spans="1:15" x14ac:dyDescent="0.25">
      <c r="A2" t="s">
        <v>0</v>
      </c>
    </row>
    <row r="3" spans="1:15" x14ac:dyDescent="0.25">
      <c r="A3" t="s">
        <v>1</v>
      </c>
    </row>
    <row r="4" spans="1:15" x14ac:dyDescent="0.25">
      <c r="A4" t="s">
        <v>653</v>
      </c>
    </row>
    <row r="6" spans="1:15" s="3" customFormat="1" ht="25.5" x14ac:dyDescent="0.25">
      <c r="A6" s="1" t="s">
        <v>547</v>
      </c>
      <c r="B6" s="2" t="s">
        <v>2</v>
      </c>
      <c r="C6" s="2" t="s">
        <v>3</v>
      </c>
      <c r="D6" s="2" t="s">
        <v>548</v>
      </c>
      <c r="E6" s="2" t="s">
        <v>546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65" t="s">
        <v>549</v>
      </c>
      <c r="N6" s="2" t="s">
        <v>651</v>
      </c>
      <c r="O6" s="66" t="s">
        <v>652</v>
      </c>
    </row>
    <row r="7" spans="1:15" s="4" customFormat="1" x14ac:dyDescent="0.25">
      <c r="A7" s="7">
        <v>1</v>
      </c>
      <c r="B7" s="8" t="s">
        <v>18</v>
      </c>
      <c r="C7" s="8" t="s">
        <v>17</v>
      </c>
      <c r="D7" s="8" t="s">
        <v>14</v>
      </c>
      <c r="E7" s="8" t="s">
        <v>15</v>
      </c>
      <c r="F7" s="8" t="s">
        <v>19</v>
      </c>
      <c r="G7" s="9">
        <v>0.24</v>
      </c>
      <c r="H7" s="9">
        <v>0</v>
      </c>
      <c r="I7" s="9">
        <v>0</v>
      </c>
      <c r="J7" s="9">
        <v>0</v>
      </c>
      <c r="K7" s="9">
        <v>-0.21</v>
      </c>
      <c r="L7" s="9">
        <v>0.03</v>
      </c>
      <c r="M7" s="10"/>
      <c r="N7" s="67"/>
      <c r="O7" s="11"/>
    </row>
    <row r="8" spans="1:15" s="4" customFormat="1" x14ac:dyDescent="0.25">
      <c r="A8" s="12"/>
      <c r="B8" s="13"/>
      <c r="C8" s="13"/>
      <c r="D8" s="8" t="s">
        <v>14</v>
      </c>
      <c r="E8" s="8" t="s">
        <v>15</v>
      </c>
      <c r="F8" s="8" t="s">
        <v>19</v>
      </c>
      <c r="G8" s="14">
        <f t="shared" ref="G8:L8" si="0">SUBTOTAL(9,G7:G7)</f>
        <v>0.24</v>
      </c>
      <c r="H8" s="14">
        <f t="shared" si="0"/>
        <v>0</v>
      </c>
      <c r="I8" s="14">
        <f t="shared" si="0"/>
        <v>0</v>
      </c>
      <c r="J8" s="14">
        <f t="shared" si="0"/>
        <v>0</v>
      </c>
      <c r="K8" s="14">
        <f t="shared" si="0"/>
        <v>-0.21</v>
      </c>
      <c r="L8" s="14">
        <f t="shared" si="0"/>
        <v>0.03</v>
      </c>
      <c r="M8" s="11">
        <v>2151</v>
      </c>
      <c r="N8" s="69"/>
      <c r="O8" s="11">
        <v>1</v>
      </c>
    </row>
    <row r="9" spans="1:15" x14ac:dyDescent="0.25">
      <c r="A9" s="15"/>
      <c r="B9" s="16"/>
      <c r="C9" s="16"/>
      <c r="D9" s="16"/>
      <c r="E9" s="16"/>
      <c r="F9" s="16"/>
      <c r="G9" s="17"/>
      <c r="H9" s="17"/>
      <c r="I9" s="17"/>
      <c r="J9" s="17"/>
      <c r="K9" s="17"/>
      <c r="L9" s="17"/>
      <c r="M9" s="15"/>
      <c r="O9" s="11"/>
    </row>
    <row r="10" spans="1:15" x14ac:dyDescent="0.25">
      <c r="A10" s="18">
        <v>2</v>
      </c>
      <c r="B10" s="19" t="s">
        <v>550</v>
      </c>
      <c r="C10" s="19" t="s">
        <v>17</v>
      </c>
      <c r="D10" s="19" t="s">
        <v>14</v>
      </c>
      <c r="E10" s="19" t="s">
        <v>15</v>
      </c>
      <c r="F10" s="19" t="s">
        <v>551</v>
      </c>
      <c r="G10" s="20">
        <v>4520.13</v>
      </c>
      <c r="H10" s="20">
        <v>0</v>
      </c>
      <c r="I10" s="20">
        <v>0</v>
      </c>
      <c r="J10" s="20">
        <v>0</v>
      </c>
      <c r="K10" s="20">
        <v>-90.4</v>
      </c>
      <c r="L10" s="20">
        <v>4429.7299999999996</v>
      </c>
      <c r="M10" s="15"/>
      <c r="O10" s="11"/>
    </row>
    <row r="11" spans="1:15" s="4" customFormat="1" x14ac:dyDescent="0.25">
      <c r="A11" s="18">
        <v>3</v>
      </c>
      <c r="B11" s="19" t="s">
        <v>550</v>
      </c>
      <c r="C11" s="19" t="s">
        <v>13</v>
      </c>
      <c r="D11" s="19" t="s">
        <v>14</v>
      </c>
      <c r="E11" s="19" t="s">
        <v>15</v>
      </c>
      <c r="F11" s="19" t="s">
        <v>551</v>
      </c>
      <c r="G11" s="20">
        <v>0</v>
      </c>
      <c r="H11" s="20">
        <v>0</v>
      </c>
      <c r="I11" s="20">
        <v>0</v>
      </c>
      <c r="J11" s="20">
        <v>542.41999999999996</v>
      </c>
      <c r="K11" s="20">
        <v>0</v>
      </c>
      <c r="L11" s="20">
        <v>542.41999999999996</v>
      </c>
      <c r="M11" s="15"/>
      <c r="N11" s="67"/>
      <c r="O11" s="11"/>
    </row>
    <row r="12" spans="1:15" x14ac:dyDescent="0.25">
      <c r="A12" s="12"/>
      <c r="B12" s="13"/>
      <c r="C12" s="13"/>
      <c r="D12" s="19" t="s">
        <v>14</v>
      </c>
      <c r="E12" s="19" t="s">
        <v>15</v>
      </c>
      <c r="F12" s="19" t="s">
        <v>551</v>
      </c>
      <c r="G12" s="14">
        <f t="shared" ref="G12:L12" si="1">SUBTOTAL(9,G10:G11)</f>
        <v>4520.13</v>
      </c>
      <c r="H12" s="14">
        <f t="shared" si="1"/>
        <v>0</v>
      </c>
      <c r="I12" s="14">
        <f t="shared" si="1"/>
        <v>0</v>
      </c>
      <c r="J12" s="14">
        <f t="shared" si="1"/>
        <v>542.41999999999996</v>
      </c>
      <c r="K12" s="14">
        <f t="shared" si="1"/>
        <v>-90.4</v>
      </c>
      <c r="L12" s="14">
        <f t="shared" si="1"/>
        <v>4972.1499999999996</v>
      </c>
      <c r="M12" s="11">
        <v>2152</v>
      </c>
      <c r="N12" s="69"/>
      <c r="O12" s="11">
        <f>O8+1</f>
        <v>2</v>
      </c>
    </row>
    <row r="13" spans="1:15" x14ac:dyDescent="0.25">
      <c r="A13" s="15"/>
      <c r="B13" s="16"/>
      <c r="C13" s="16"/>
      <c r="D13" s="16"/>
      <c r="E13" s="16"/>
      <c r="F13" s="16"/>
      <c r="G13" s="17"/>
      <c r="H13" s="17"/>
      <c r="I13" s="17"/>
      <c r="J13" s="17"/>
      <c r="K13" s="17"/>
      <c r="L13" s="17"/>
      <c r="M13" s="15"/>
      <c r="O13" s="11"/>
    </row>
    <row r="14" spans="1:15" s="4" customFormat="1" x14ac:dyDescent="0.25">
      <c r="A14" s="18">
        <v>4</v>
      </c>
      <c r="B14" s="19" t="s">
        <v>550</v>
      </c>
      <c r="C14" s="19" t="s">
        <v>17</v>
      </c>
      <c r="D14" s="19" t="s">
        <v>14</v>
      </c>
      <c r="E14" s="19" t="s">
        <v>15</v>
      </c>
      <c r="F14" s="19" t="s">
        <v>552</v>
      </c>
      <c r="G14" s="20">
        <v>0.33</v>
      </c>
      <c r="H14" s="20">
        <v>0</v>
      </c>
      <c r="I14" s="20">
        <v>0</v>
      </c>
      <c r="J14" s="20">
        <v>0</v>
      </c>
      <c r="K14" s="20">
        <v>-0.01</v>
      </c>
      <c r="L14" s="20">
        <v>0.32</v>
      </c>
      <c r="M14" s="15"/>
      <c r="N14" s="67"/>
      <c r="O14" s="11"/>
    </row>
    <row r="15" spans="1:15" x14ac:dyDescent="0.25">
      <c r="A15" s="18">
        <v>5</v>
      </c>
      <c r="B15" s="19" t="s">
        <v>550</v>
      </c>
      <c r="C15" s="19" t="s">
        <v>13</v>
      </c>
      <c r="D15" s="19" t="s">
        <v>14</v>
      </c>
      <c r="E15" s="19" t="s">
        <v>15</v>
      </c>
      <c r="F15" s="19" t="s">
        <v>552</v>
      </c>
      <c r="G15" s="20">
        <v>0</v>
      </c>
      <c r="H15" s="20">
        <v>0</v>
      </c>
      <c r="I15" s="20">
        <v>0</v>
      </c>
      <c r="J15" s="20">
        <v>0.04</v>
      </c>
      <c r="K15" s="20">
        <v>0</v>
      </c>
      <c r="L15" s="20">
        <v>0.04</v>
      </c>
      <c r="M15" s="15"/>
      <c r="O15" s="11"/>
    </row>
    <row r="16" spans="1:15" x14ac:dyDescent="0.25">
      <c r="A16" s="12"/>
      <c r="B16" s="13"/>
      <c r="C16" s="13"/>
      <c r="D16" s="19" t="s">
        <v>14</v>
      </c>
      <c r="E16" s="19" t="s">
        <v>15</v>
      </c>
      <c r="F16" s="19" t="s">
        <v>552</v>
      </c>
      <c r="G16" s="14">
        <f t="shared" ref="G16:L16" si="2">SUBTOTAL(9,G14:G15)</f>
        <v>0.33</v>
      </c>
      <c r="H16" s="14">
        <f t="shared" si="2"/>
        <v>0</v>
      </c>
      <c r="I16" s="14">
        <f t="shared" si="2"/>
        <v>0</v>
      </c>
      <c r="J16" s="14">
        <f t="shared" si="2"/>
        <v>0.04</v>
      </c>
      <c r="K16" s="14">
        <f t="shared" si="2"/>
        <v>-0.01</v>
      </c>
      <c r="L16" s="14">
        <f t="shared" si="2"/>
        <v>0.36</v>
      </c>
      <c r="M16" s="11">
        <v>2153</v>
      </c>
      <c r="N16" s="69"/>
      <c r="O16" s="11">
        <f>O12+1</f>
        <v>3</v>
      </c>
    </row>
    <row r="17" spans="1:15" s="4" customFormat="1" x14ac:dyDescent="0.25">
      <c r="A17" s="15"/>
      <c r="B17" s="16"/>
      <c r="C17" s="16"/>
      <c r="D17" s="16"/>
      <c r="E17" s="16"/>
      <c r="F17" s="16"/>
      <c r="G17" s="17"/>
      <c r="H17" s="17"/>
      <c r="I17" s="17"/>
      <c r="J17" s="17"/>
      <c r="K17" s="17"/>
      <c r="L17" s="17"/>
      <c r="M17" s="15"/>
      <c r="N17" s="67"/>
      <c r="O17" s="11"/>
    </row>
    <row r="18" spans="1:15" s="4" customFormat="1" x14ac:dyDescent="0.25">
      <c r="A18" s="18">
        <v>6</v>
      </c>
      <c r="B18" s="19" t="s">
        <v>550</v>
      </c>
      <c r="C18" s="19" t="s">
        <v>17</v>
      </c>
      <c r="D18" s="19" t="s">
        <v>553</v>
      </c>
      <c r="E18" s="19" t="s">
        <v>554</v>
      </c>
      <c r="F18" s="19" t="s">
        <v>551</v>
      </c>
      <c r="G18" s="20">
        <v>0</v>
      </c>
      <c r="H18" s="20">
        <v>0</v>
      </c>
      <c r="I18" s="20">
        <v>121.62</v>
      </c>
      <c r="J18" s="20">
        <v>0</v>
      </c>
      <c r="K18" s="20">
        <v>-2.4300000000000002</v>
      </c>
      <c r="L18" s="20">
        <v>119.19</v>
      </c>
      <c r="M18" s="15"/>
      <c r="N18" s="67"/>
      <c r="O18" s="11"/>
    </row>
    <row r="19" spans="1:15" x14ac:dyDescent="0.25">
      <c r="A19" s="18">
        <v>7</v>
      </c>
      <c r="B19" s="19" t="s">
        <v>550</v>
      </c>
      <c r="C19" s="19" t="s">
        <v>17</v>
      </c>
      <c r="D19" s="19" t="s">
        <v>553</v>
      </c>
      <c r="E19" s="19" t="s">
        <v>554</v>
      </c>
      <c r="F19" s="19" t="s">
        <v>551</v>
      </c>
      <c r="G19" s="20">
        <v>0</v>
      </c>
      <c r="H19" s="20">
        <v>0</v>
      </c>
      <c r="I19" s="20">
        <v>44.2</v>
      </c>
      <c r="J19" s="20">
        <v>0</v>
      </c>
      <c r="K19" s="20">
        <v>-0.88</v>
      </c>
      <c r="L19" s="20">
        <v>43.32</v>
      </c>
      <c r="M19" s="15"/>
      <c r="O19" s="11"/>
    </row>
    <row r="20" spans="1:15" x14ac:dyDescent="0.25">
      <c r="A20" s="53"/>
      <c r="B20" s="54"/>
      <c r="C20" s="54"/>
      <c r="D20" s="55" t="s">
        <v>25</v>
      </c>
      <c r="E20" s="19" t="s">
        <v>554</v>
      </c>
      <c r="F20" s="19" t="s">
        <v>551</v>
      </c>
      <c r="G20" s="14">
        <f t="shared" ref="G20:L20" si="3">SUBTOTAL(9,G18:G19)</f>
        <v>0</v>
      </c>
      <c r="H20" s="14">
        <f t="shared" si="3"/>
        <v>0</v>
      </c>
      <c r="I20" s="14">
        <f t="shared" si="3"/>
        <v>165.82</v>
      </c>
      <c r="J20" s="14">
        <f t="shared" si="3"/>
        <v>0</v>
      </c>
      <c r="K20" s="14">
        <f t="shared" si="3"/>
        <v>-3.31</v>
      </c>
      <c r="L20" s="14">
        <f t="shared" si="3"/>
        <v>162.51</v>
      </c>
      <c r="M20" s="56">
        <v>2119</v>
      </c>
      <c r="N20" s="69"/>
      <c r="O20" s="11">
        <f>O16+1</f>
        <v>4</v>
      </c>
    </row>
    <row r="21" spans="1:15" s="4" customFormat="1" x14ac:dyDescent="0.25">
      <c r="A21" s="15"/>
      <c r="B21" s="16"/>
      <c r="C21" s="16"/>
      <c r="D21" s="16"/>
      <c r="E21" s="16"/>
      <c r="F21" s="16"/>
      <c r="G21" s="17"/>
      <c r="H21" s="17"/>
      <c r="I21" s="17"/>
      <c r="J21" s="17"/>
      <c r="K21" s="17"/>
      <c r="L21" s="17"/>
      <c r="M21" s="15"/>
      <c r="N21" s="67"/>
      <c r="O21" s="11"/>
    </row>
    <row r="22" spans="1:15" s="4" customFormat="1" x14ac:dyDescent="0.25">
      <c r="A22" s="18">
        <v>8</v>
      </c>
      <c r="B22" s="19" t="s">
        <v>550</v>
      </c>
      <c r="C22" s="19" t="s">
        <v>17</v>
      </c>
      <c r="D22" s="19" t="s">
        <v>553</v>
      </c>
      <c r="E22" s="19" t="s">
        <v>554</v>
      </c>
      <c r="F22" s="19" t="s">
        <v>552</v>
      </c>
      <c r="G22" s="20">
        <v>0</v>
      </c>
      <c r="H22" s="20">
        <v>0</v>
      </c>
      <c r="I22" s="20">
        <v>0.01</v>
      </c>
      <c r="J22" s="20">
        <v>0</v>
      </c>
      <c r="K22" s="20">
        <v>0</v>
      </c>
      <c r="L22" s="20">
        <v>0.01</v>
      </c>
      <c r="M22" s="15"/>
      <c r="N22" s="67"/>
      <c r="O22" s="11"/>
    </row>
    <row r="23" spans="1:15" x14ac:dyDescent="0.25">
      <c r="A23" s="53"/>
      <c r="B23" s="54"/>
      <c r="C23" s="54"/>
      <c r="D23" s="55" t="s">
        <v>25</v>
      </c>
      <c r="E23" s="55" t="s">
        <v>554</v>
      </c>
      <c r="F23" s="19" t="s">
        <v>552</v>
      </c>
      <c r="G23" s="14">
        <f t="shared" ref="G23:L23" si="4">SUBTOTAL(9,G22:G22)</f>
        <v>0</v>
      </c>
      <c r="H23" s="14">
        <f t="shared" si="4"/>
        <v>0</v>
      </c>
      <c r="I23" s="14">
        <f t="shared" si="4"/>
        <v>0.01</v>
      </c>
      <c r="J23" s="14">
        <f t="shared" si="4"/>
        <v>0</v>
      </c>
      <c r="K23" s="14">
        <f t="shared" si="4"/>
        <v>0</v>
      </c>
      <c r="L23" s="14">
        <f t="shared" si="4"/>
        <v>0.01</v>
      </c>
      <c r="M23" s="56">
        <v>2120</v>
      </c>
      <c r="N23" s="69"/>
      <c r="O23" s="11">
        <f>O20+1</f>
        <v>5</v>
      </c>
    </row>
    <row r="24" spans="1:15" x14ac:dyDescent="0.25">
      <c r="A24" s="10"/>
      <c r="F24" s="16"/>
      <c r="G24" s="17"/>
      <c r="H24" s="17"/>
      <c r="I24" s="17"/>
      <c r="J24" s="17"/>
      <c r="K24" s="17"/>
      <c r="L24" s="17"/>
      <c r="M24" s="10"/>
      <c r="O24" s="11"/>
    </row>
    <row r="25" spans="1:15" s="4" customFormat="1" x14ac:dyDescent="0.25">
      <c r="A25" s="6">
        <v>9</v>
      </c>
      <c r="B25" s="5" t="s">
        <v>555</v>
      </c>
      <c r="C25" s="5" t="s">
        <v>17</v>
      </c>
      <c r="D25" s="5" t="s">
        <v>25</v>
      </c>
      <c r="E25" s="5" t="s">
        <v>26</v>
      </c>
      <c r="F25" s="19" t="s">
        <v>556</v>
      </c>
      <c r="G25" s="20">
        <v>189.38</v>
      </c>
      <c r="H25" s="20">
        <v>0</v>
      </c>
      <c r="I25" s="20">
        <v>0</v>
      </c>
      <c r="J25" s="20">
        <v>0</v>
      </c>
      <c r="K25" s="20">
        <v>-3.79</v>
      </c>
      <c r="L25" s="20">
        <v>185.59</v>
      </c>
      <c r="M25" s="10"/>
      <c r="N25" s="67"/>
      <c r="O25" s="11"/>
    </row>
    <row r="26" spans="1:15" s="4" customFormat="1" x14ac:dyDescent="0.25">
      <c r="A26" s="6">
        <v>10</v>
      </c>
      <c r="B26" s="5" t="s">
        <v>555</v>
      </c>
      <c r="C26" s="5" t="s">
        <v>13</v>
      </c>
      <c r="D26" s="5" t="s">
        <v>25</v>
      </c>
      <c r="E26" s="5" t="s">
        <v>26</v>
      </c>
      <c r="F26" s="19" t="s">
        <v>556</v>
      </c>
      <c r="G26" s="20">
        <v>0</v>
      </c>
      <c r="H26" s="20">
        <v>0</v>
      </c>
      <c r="I26" s="20">
        <v>0</v>
      </c>
      <c r="J26" s="20">
        <v>22.73</v>
      </c>
      <c r="K26" s="20">
        <v>0</v>
      </c>
      <c r="L26" s="20">
        <v>22.73</v>
      </c>
      <c r="M26" s="10"/>
      <c r="N26" s="67"/>
      <c r="O26" s="11"/>
    </row>
    <row r="27" spans="1:15" x14ac:dyDescent="0.25">
      <c r="A27" s="6"/>
      <c r="B27" s="5"/>
      <c r="C27" s="5"/>
      <c r="D27" s="5" t="s">
        <v>25</v>
      </c>
      <c r="E27" s="5" t="s">
        <v>26</v>
      </c>
      <c r="F27" s="19" t="s">
        <v>556</v>
      </c>
      <c r="G27" s="14">
        <f t="shared" ref="G27:L27" si="5">SUBTOTAL(9,G25:G26)</f>
        <v>189.38</v>
      </c>
      <c r="H27" s="14">
        <f t="shared" si="5"/>
        <v>0</v>
      </c>
      <c r="I27" s="14">
        <f t="shared" si="5"/>
        <v>0</v>
      </c>
      <c r="J27" s="14">
        <f t="shared" si="5"/>
        <v>22.73</v>
      </c>
      <c r="K27" s="14">
        <f t="shared" si="5"/>
        <v>-3.79</v>
      </c>
      <c r="L27" s="14">
        <f t="shared" si="5"/>
        <v>208.32</v>
      </c>
      <c r="M27" s="11">
        <v>2154</v>
      </c>
      <c r="N27" s="69"/>
      <c r="O27" s="11">
        <f>O23+1</f>
        <v>6</v>
      </c>
    </row>
    <row r="28" spans="1:15" x14ac:dyDescent="0.25">
      <c r="A28" s="10"/>
      <c r="G28" s="21"/>
      <c r="H28" s="21"/>
      <c r="I28" s="21"/>
      <c r="J28" s="21"/>
      <c r="K28" s="21"/>
      <c r="L28" s="21"/>
      <c r="M28" s="10"/>
      <c r="O28" s="11"/>
    </row>
    <row r="29" spans="1:15" s="4" customFormat="1" x14ac:dyDescent="0.25">
      <c r="A29" s="6">
        <v>11</v>
      </c>
      <c r="B29" s="5" t="s">
        <v>557</v>
      </c>
      <c r="C29" s="5" t="s">
        <v>17</v>
      </c>
      <c r="D29" s="5" t="s">
        <v>25</v>
      </c>
      <c r="E29" s="5" t="s">
        <v>26</v>
      </c>
      <c r="F29" s="5" t="s">
        <v>558</v>
      </c>
      <c r="G29" s="22">
        <v>118.54</v>
      </c>
      <c r="H29" s="22">
        <v>0</v>
      </c>
      <c r="I29" s="22">
        <v>0</v>
      </c>
      <c r="J29" s="22">
        <v>0</v>
      </c>
      <c r="K29" s="22">
        <v>-2.37</v>
      </c>
      <c r="L29" s="22">
        <v>116.17</v>
      </c>
      <c r="M29" s="10"/>
      <c r="N29" s="67"/>
      <c r="O29" s="11"/>
    </row>
    <row r="30" spans="1:15" x14ac:dyDescent="0.25">
      <c r="A30" s="6">
        <v>12</v>
      </c>
      <c r="B30" s="5" t="s">
        <v>557</v>
      </c>
      <c r="C30" s="5" t="s">
        <v>13</v>
      </c>
      <c r="D30" s="5" t="s">
        <v>25</v>
      </c>
      <c r="E30" s="5" t="s">
        <v>26</v>
      </c>
      <c r="F30" s="5" t="s">
        <v>558</v>
      </c>
      <c r="G30" s="22">
        <v>0</v>
      </c>
      <c r="H30" s="22">
        <v>0</v>
      </c>
      <c r="I30" s="22">
        <v>0</v>
      </c>
      <c r="J30" s="22">
        <v>14.22</v>
      </c>
      <c r="K30" s="22">
        <v>0</v>
      </c>
      <c r="L30" s="22">
        <v>14.22</v>
      </c>
      <c r="M30" s="10"/>
      <c r="O30" s="11"/>
    </row>
    <row r="31" spans="1:15" x14ac:dyDescent="0.25">
      <c r="A31" s="6"/>
      <c r="B31" s="5"/>
      <c r="C31" s="5"/>
      <c r="D31" s="5" t="s">
        <v>25</v>
      </c>
      <c r="E31" s="5" t="s">
        <v>26</v>
      </c>
      <c r="F31" s="5" t="s">
        <v>558</v>
      </c>
      <c r="G31" s="14">
        <f t="shared" ref="G31:L31" si="6">SUBTOTAL(9,G29:G30)</f>
        <v>118.54</v>
      </c>
      <c r="H31" s="14">
        <f t="shared" si="6"/>
        <v>0</v>
      </c>
      <c r="I31" s="14">
        <f t="shared" si="6"/>
        <v>0</v>
      </c>
      <c r="J31" s="14">
        <f t="shared" si="6"/>
        <v>14.22</v>
      </c>
      <c r="K31" s="14">
        <f t="shared" si="6"/>
        <v>-2.37</v>
      </c>
      <c r="L31" s="14">
        <f t="shared" si="6"/>
        <v>130.39000000000001</v>
      </c>
      <c r="M31" s="10">
        <v>2155</v>
      </c>
      <c r="N31" s="69"/>
      <c r="O31" s="11">
        <f>O27+1</f>
        <v>7</v>
      </c>
    </row>
    <row r="32" spans="1:15" s="4" customFormat="1" x14ac:dyDescent="0.25">
      <c r="A32" s="10"/>
      <c r="B32"/>
      <c r="C32"/>
      <c r="D32"/>
      <c r="E32"/>
      <c r="F32"/>
      <c r="G32" s="21"/>
      <c r="H32" s="21"/>
      <c r="I32" s="21"/>
      <c r="J32" s="21"/>
      <c r="K32" s="21"/>
      <c r="L32" s="21"/>
      <c r="M32" s="10"/>
      <c r="N32" s="67"/>
      <c r="O32" s="11"/>
    </row>
    <row r="33" spans="1:15" x14ac:dyDescent="0.25">
      <c r="A33" s="6">
        <v>13</v>
      </c>
      <c r="B33" s="5" t="s">
        <v>559</v>
      </c>
      <c r="C33" s="5" t="s">
        <v>17</v>
      </c>
      <c r="D33" s="5" t="s">
        <v>25</v>
      </c>
      <c r="E33" s="5" t="s">
        <v>26</v>
      </c>
      <c r="F33" s="5" t="s">
        <v>560</v>
      </c>
      <c r="G33" s="22">
        <v>239.71</v>
      </c>
      <c r="H33" s="22">
        <v>0</v>
      </c>
      <c r="I33" s="22">
        <v>0</v>
      </c>
      <c r="J33" s="22">
        <v>0</v>
      </c>
      <c r="K33" s="22">
        <v>-4.79</v>
      </c>
      <c r="L33" s="22">
        <v>234.92</v>
      </c>
      <c r="M33" s="10"/>
      <c r="O33" s="11"/>
    </row>
    <row r="34" spans="1:15" x14ac:dyDescent="0.25">
      <c r="A34" s="6">
        <v>14</v>
      </c>
      <c r="B34" s="5" t="s">
        <v>559</v>
      </c>
      <c r="C34" s="5" t="s">
        <v>13</v>
      </c>
      <c r="D34" s="5" t="s">
        <v>25</v>
      </c>
      <c r="E34" s="5" t="s">
        <v>26</v>
      </c>
      <c r="F34" s="5" t="s">
        <v>560</v>
      </c>
      <c r="G34" s="22">
        <v>0</v>
      </c>
      <c r="H34" s="22">
        <v>0</v>
      </c>
      <c r="I34" s="22">
        <v>0</v>
      </c>
      <c r="J34" s="22">
        <v>28.77</v>
      </c>
      <c r="K34" s="22">
        <v>0</v>
      </c>
      <c r="L34" s="22">
        <v>28.77</v>
      </c>
      <c r="M34" s="10"/>
      <c r="O34" s="11"/>
    </row>
    <row r="35" spans="1:15" s="4" customFormat="1" x14ac:dyDescent="0.25">
      <c r="A35" s="6"/>
      <c r="B35" s="5"/>
      <c r="C35" s="5"/>
      <c r="D35" s="5" t="s">
        <v>25</v>
      </c>
      <c r="E35" s="5" t="s">
        <v>26</v>
      </c>
      <c r="F35" s="5" t="s">
        <v>560</v>
      </c>
      <c r="G35" s="14">
        <f t="shared" ref="G35:L35" si="7">SUBTOTAL(9,G33:G34)</f>
        <v>239.71</v>
      </c>
      <c r="H35" s="14">
        <f t="shared" si="7"/>
        <v>0</v>
      </c>
      <c r="I35" s="14">
        <f t="shared" si="7"/>
        <v>0</v>
      </c>
      <c r="J35" s="14">
        <f t="shared" si="7"/>
        <v>28.77</v>
      </c>
      <c r="K35" s="14">
        <f t="shared" si="7"/>
        <v>-4.79</v>
      </c>
      <c r="L35" s="14">
        <f t="shared" si="7"/>
        <v>263.69</v>
      </c>
      <c r="M35" s="10">
        <v>2156</v>
      </c>
      <c r="N35" s="69"/>
      <c r="O35" s="11">
        <f>O31+1</f>
        <v>8</v>
      </c>
    </row>
    <row r="36" spans="1:15" s="4" customFormat="1" x14ac:dyDescent="0.25">
      <c r="A36" s="10"/>
      <c r="B36"/>
      <c r="C36"/>
      <c r="D36"/>
      <c r="E36"/>
      <c r="F36"/>
      <c r="G36" s="21"/>
      <c r="H36" s="21"/>
      <c r="I36" s="21"/>
      <c r="J36" s="21"/>
      <c r="K36" s="21"/>
      <c r="L36" s="21"/>
      <c r="M36" s="10"/>
      <c r="N36" s="67"/>
      <c r="O36" s="11"/>
    </row>
    <row r="37" spans="1:15" x14ac:dyDescent="0.25">
      <c r="A37" s="6">
        <v>15</v>
      </c>
      <c r="B37" s="5" t="s">
        <v>18</v>
      </c>
      <c r="C37" s="5" t="s">
        <v>17</v>
      </c>
      <c r="D37" s="5" t="s">
        <v>25</v>
      </c>
      <c r="E37" s="5" t="s">
        <v>26</v>
      </c>
      <c r="F37" s="5" t="s">
        <v>19</v>
      </c>
      <c r="G37" s="22">
        <v>0.76</v>
      </c>
      <c r="H37" s="22">
        <v>0</v>
      </c>
      <c r="I37" s="22">
        <v>0</v>
      </c>
      <c r="J37" s="22">
        <v>0</v>
      </c>
      <c r="K37" s="22">
        <v>-0.68</v>
      </c>
      <c r="L37" s="22">
        <v>0.08</v>
      </c>
      <c r="M37" s="10"/>
      <c r="O37" s="11"/>
    </row>
    <row r="38" spans="1:15" x14ac:dyDescent="0.25">
      <c r="A38" s="6"/>
      <c r="B38" s="5"/>
      <c r="C38" s="5"/>
      <c r="D38" s="5" t="s">
        <v>25</v>
      </c>
      <c r="E38" s="5" t="s">
        <v>26</v>
      </c>
      <c r="F38" s="5" t="s">
        <v>19</v>
      </c>
      <c r="G38" s="14">
        <f t="shared" ref="G38:L38" si="8">SUBTOTAL(9,G37:G37)</f>
        <v>0.76</v>
      </c>
      <c r="H38" s="14">
        <f t="shared" si="8"/>
        <v>0</v>
      </c>
      <c r="I38" s="14">
        <f t="shared" si="8"/>
        <v>0</v>
      </c>
      <c r="J38" s="14">
        <f t="shared" si="8"/>
        <v>0</v>
      </c>
      <c r="K38" s="14">
        <f t="shared" si="8"/>
        <v>-0.68</v>
      </c>
      <c r="L38" s="14">
        <f t="shared" si="8"/>
        <v>0.08</v>
      </c>
      <c r="M38" s="10">
        <v>2157</v>
      </c>
      <c r="N38" s="69"/>
      <c r="O38" s="11">
        <f>O35+1</f>
        <v>9</v>
      </c>
    </row>
    <row r="39" spans="1:15" s="4" customFormat="1" x14ac:dyDescent="0.25">
      <c r="A39" s="10"/>
      <c r="B39"/>
      <c r="C39"/>
      <c r="D39"/>
      <c r="E39"/>
      <c r="F39"/>
      <c r="G39" s="21"/>
      <c r="H39" s="21"/>
      <c r="I39" s="21"/>
      <c r="J39" s="21"/>
      <c r="K39" s="21"/>
      <c r="L39" s="21"/>
      <c r="M39" s="10"/>
      <c r="N39" s="67"/>
      <c r="O39" s="11"/>
    </row>
    <row r="40" spans="1:15" s="4" customFormat="1" x14ac:dyDescent="0.25">
      <c r="A40" s="6">
        <v>16</v>
      </c>
      <c r="B40" s="5" t="s">
        <v>550</v>
      </c>
      <c r="C40" s="5" t="s">
        <v>17</v>
      </c>
      <c r="D40" s="5" t="s">
        <v>25</v>
      </c>
      <c r="E40" s="5" t="s">
        <v>26</v>
      </c>
      <c r="F40" s="5" t="s">
        <v>551</v>
      </c>
      <c r="G40" s="22">
        <v>622.39</v>
      </c>
      <c r="H40" s="22">
        <v>0</v>
      </c>
      <c r="I40" s="22">
        <v>0</v>
      </c>
      <c r="J40" s="22">
        <v>0</v>
      </c>
      <c r="K40" s="22">
        <v>-12.45</v>
      </c>
      <c r="L40" s="22">
        <v>609.94000000000005</v>
      </c>
      <c r="M40" s="10"/>
      <c r="N40" s="67"/>
      <c r="O40" s="11"/>
    </row>
    <row r="41" spans="1:15" x14ac:dyDescent="0.25">
      <c r="A41" s="6">
        <v>17</v>
      </c>
      <c r="B41" s="5" t="s">
        <v>550</v>
      </c>
      <c r="C41" s="5" t="s">
        <v>17</v>
      </c>
      <c r="D41" s="5" t="s">
        <v>25</v>
      </c>
      <c r="E41" s="5" t="s">
        <v>26</v>
      </c>
      <c r="F41" s="5" t="s">
        <v>551</v>
      </c>
      <c r="G41" s="22">
        <v>6239.41</v>
      </c>
      <c r="H41" s="22">
        <v>0</v>
      </c>
      <c r="I41" s="22">
        <v>0</v>
      </c>
      <c r="J41" s="22">
        <v>0</v>
      </c>
      <c r="K41" s="22">
        <v>-124.79</v>
      </c>
      <c r="L41" s="22">
        <v>6114.62</v>
      </c>
      <c r="M41" s="10"/>
      <c r="O41" s="11"/>
    </row>
    <row r="42" spans="1:15" x14ac:dyDescent="0.25">
      <c r="A42" s="6">
        <v>18</v>
      </c>
      <c r="B42" s="5" t="s">
        <v>550</v>
      </c>
      <c r="C42" s="5" t="s">
        <v>13</v>
      </c>
      <c r="D42" s="5" t="s">
        <v>25</v>
      </c>
      <c r="E42" s="5" t="s">
        <v>26</v>
      </c>
      <c r="F42" s="5" t="s">
        <v>551</v>
      </c>
      <c r="G42" s="22">
        <v>0</v>
      </c>
      <c r="H42" s="22">
        <v>0</v>
      </c>
      <c r="I42" s="22">
        <v>0</v>
      </c>
      <c r="J42" s="22">
        <v>74.69</v>
      </c>
      <c r="K42" s="22">
        <v>0</v>
      </c>
      <c r="L42" s="22">
        <v>74.69</v>
      </c>
      <c r="M42" s="10"/>
      <c r="O42" s="11"/>
    </row>
    <row r="43" spans="1:15" s="4" customFormat="1" x14ac:dyDescent="0.25">
      <c r="A43" s="6">
        <v>19</v>
      </c>
      <c r="B43" s="5" t="s">
        <v>550</v>
      </c>
      <c r="C43" s="5" t="s">
        <v>13</v>
      </c>
      <c r="D43" s="5" t="s">
        <v>25</v>
      </c>
      <c r="E43" s="5" t="s">
        <v>26</v>
      </c>
      <c r="F43" s="5" t="s">
        <v>551</v>
      </c>
      <c r="G43" s="22">
        <v>0</v>
      </c>
      <c r="H43" s="22">
        <v>0</v>
      </c>
      <c r="I43" s="22">
        <v>0</v>
      </c>
      <c r="J43" s="22">
        <v>748.73</v>
      </c>
      <c r="K43" s="22">
        <v>0</v>
      </c>
      <c r="L43" s="22">
        <v>748.73</v>
      </c>
      <c r="M43" s="10"/>
      <c r="N43" s="67"/>
      <c r="O43" s="11"/>
    </row>
    <row r="44" spans="1:15" s="4" customFormat="1" x14ac:dyDescent="0.25">
      <c r="A44" s="6"/>
      <c r="B44" s="5"/>
      <c r="C44" s="5"/>
      <c r="D44" s="5" t="s">
        <v>25</v>
      </c>
      <c r="E44" s="5" t="s">
        <v>26</v>
      </c>
      <c r="F44" s="5" t="s">
        <v>551</v>
      </c>
      <c r="G44" s="14">
        <f t="shared" ref="G44:L44" si="9">SUBTOTAL(9,G40:G43)</f>
        <v>6861.8</v>
      </c>
      <c r="H44" s="14">
        <f t="shared" si="9"/>
        <v>0</v>
      </c>
      <c r="I44" s="14">
        <f t="shared" si="9"/>
        <v>0</v>
      </c>
      <c r="J44" s="14">
        <f t="shared" si="9"/>
        <v>823.42000000000007</v>
      </c>
      <c r="K44" s="14">
        <f t="shared" si="9"/>
        <v>-137.24</v>
      </c>
      <c r="L44" s="14">
        <f t="shared" si="9"/>
        <v>7547.98</v>
      </c>
      <c r="M44" s="10">
        <v>2158</v>
      </c>
      <c r="N44" s="69"/>
      <c r="O44" s="11">
        <f>O38+1</f>
        <v>10</v>
      </c>
    </row>
    <row r="45" spans="1:15" x14ac:dyDescent="0.25">
      <c r="A45" s="10"/>
      <c r="G45" s="21"/>
      <c r="H45" s="21"/>
      <c r="I45" s="21"/>
      <c r="J45" s="21"/>
      <c r="K45" s="21"/>
      <c r="L45" s="21"/>
      <c r="M45" s="10"/>
      <c r="O45" s="11"/>
    </row>
    <row r="46" spans="1:15" x14ac:dyDescent="0.25">
      <c r="A46" s="6">
        <v>20</v>
      </c>
      <c r="B46" s="5" t="s">
        <v>550</v>
      </c>
      <c r="C46" s="5" t="s">
        <v>17</v>
      </c>
      <c r="D46" s="5" t="s">
        <v>25</v>
      </c>
      <c r="E46" s="5" t="s">
        <v>26</v>
      </c>
      <c r="F46" s="5" t="s">
        <v>552</v>
      </c>
      <c r="G46" s="22">
        <v>0.04</v>
      </c>
      <c r="H46" s="22">
        <v>0</v>
      </c>
      <c r="I46" s="22">
        <v>0</v>
      </c>
      <c r="J46" s="22">
        <v>0</v>
      </c>
      <c r="K46" s="22">
        <v>0</v>
      </c>
      <c r="L46" s="22">
        <v>0.04</v>
      </c>
      <c r="M46" s="10"/>
      <c r="O46" s="11"/>
    </row>
    <row r="47" spans="1:15" s="4" customFormat="1" x14ac:dyDescent="0.25">
      <c r="A47" s="6">
        <v>21</v>
      </c>
      <c r="B47" s="5" t="s">
        <v>550</v>
      </c>
      <c r="C47" s="5" t="s">
        <v>17</v>
      </c>
      <c r="D47" s="5" t="s">
        <v>25</v>
      </c>
      <c r="E47" s="5" t="s">
        <v>26</v>
      </c>
      <c r="F47" s="5" t="s">
        <v>552</v>
      </c>
      <c r="G47" s="22">
        <v>0.45</v>
      </c>
      <c r="H47" s="22">
        <v>0</v>
      </c>
      <c r="I47" s="22">
        <v>0</v>
      </c>
      <c r="J47" s="22">
        <v>0</v>
      </c>
      <c r="K47" s="22">
        <v>-0.01</v>
      </c>
      <c r="L47" s="22">
        <v>0.44</v>
      </c>
      <c r="M47" s="10"/>
      <c r="N47" s="67"/>
      <c r="O47" s="11"/>
    </row>
    <row r="48" spans="1:15" s="4" customFormat="1" x14ac:dyDescent="0.25">
      <c r="A48" s="6">
        <v>22</v>
      </c>
      <c r="B48" s="5" t="s">
        <v>550</v>
      </c>
      <c r="C48" s="5" t="s">
        <v>13</v>
      </c>
      <c r="D48" s="5" t="s">
        <v>25</v>
      </c>
      <c r="E48" s="5" t="s">
        <v>26</v>
      </c>
      <c r="F48" s="5" t="s">
        <v>552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  <c r="M48" s="10"/>
      <c r="N48" s="67"/>
      <c r="O48" s="11"/>
    </row>
    <row r="49" spans="1:15" x14ac:dyDescent="0.25">
      <c r="A49" s="6">
        <v>23</v>
      </c>
      <c r="B49" s="5" t="s">
        <v>550</v>
      </c>
      <c r="C49" s="5" t="s">
        <v>13</v>
      </c>
      <c r="D49" s="5" t="s">
        <v>25</v>
      </c>
      <c r="E49" s="5" t="s">
        <v>26</v>
      </c>
      <c r="F49" s="5" t="s">
        <v>552</v>
      </c>
      <c r="G49" s="22">
        <v>0</v>
      </c>
      <c r="H49" s="22">
        <v>0</v>
      </c>
      <c r="I49" s="22">
        <v>0</v>
      </c>
      <c r="J49" s="22">
        <v>0.05</v>
      </c>
      <c r="K49" s="22">
        <v>0</v>
      </c>
      <c r="L49" s="22">
        <v>0.05</v>
      </c>
      <c r="M49" s="10"/>
      <c r="O49" s="11"/>
    </row>
    <row r="50" spans="1:15" x14ac:dyDescent="0.25">
      <c r="A50" s="6"/>
      <c r="B50" s="5"/>
      <c r="C50" s="5"/>
      <c r="D50" s="5" t="s">
        <v>25</v>
      </c>
      <c r="E50" s="5" t="s">
        <v>26</v>
      </c>
      <c r="F50" s="5" t="s">
        <v>552</v>
      </c>
      <c r="G50" s="14">
        <f t="shared" ref="G50:L50" si="10">SUBTOTAL(9,G46:G49)</f>
        <v>0.49</v>
      </c>
      <c r="H50" s="14">
        <f t="shared" si="10"/>
        <v>0</v>
      </c>
      <c r="I50" s="14">
        <f t="shared" si="10"/>
        <v>0</v>
      </c>
      <c r="J50" s="14">
        <f t="shared" si="10"/>
        <v>0.05</v>
      </c>
      <c r="K50" s="14">
        <f t="shared" si="10"/>
        <v>-0.01</v>
      </c>
      <c r="L50" s="14">
        <f t="shared" si="10"/>
        <v>0.53</v>
      </c>
      <c r="M50" s="10">
        <v>2159</v>
      </c>
      <c r="N50" s="69"/>
      <c r="O50" s="11">
        <f>O44+1</f>
        <v>11</v>
      </c>
    </row>
    <row r="51" spans="1:15" s="4" customFormat="1" x14ac:dyDescent="0.25">
      <c r="A51" s="10"/>
      <c r="B51"/>
      <c r="C51"/>
      <c r="D51"/>
      <c r="E51"/>
      <c r="F51"/>
      <c r="G51" s="21"/>
      <c r="H51" s="21"/>
      <c r="I51" s="21"/>
      <c r="J51" s="21"/>
      <c r="K51" s="21"/>
      <c r="L51" s="21"/>
      <c r="M51" s="10"/>
      <c r="N51" s="67"/>
      <c r="O51" s="11"/>
    </row>
    <row r="52" spans="1:15" x14ac:dyDescent="0.25">
      <c r="A52" s="6">
        <v>24</v>
      </c>
      <c r="B52" s="5" t="s">
        <v>18</v>
      </c>
      <c r="C52" s="5" t="s">
        <v>17</v>
      </c>
      <c r="D52" s="5" t="s">
        <v>27</v>
      </c>
      <c r="E52" s="5" t="s">
        <v>28</v>
      </c>
      <c r="F52" s="5" t="s">
        <v>19</v>
      </c>
      <c r="G52" s="22">
        <v>0.13</v>
      </c>
      <c r="H52" s="22">
        <v>0</v>
      </c>
      <c r="I52" s="22">
        <v>0</v>
      </c>
      <c r="J52" s="22">
        <v>0</v>
      </c>
      <c r="K52" s="22">
        <v>-0.11</v>
      </c>
      <c r="L52" s="22">
        <v>0.02</v>
      </c>
      <c r="M52" s="10"/>
      <c r="O52" s="11"/>
    </row>
    <row r="53" spans="1:15" x14ac:dyDescent="0.25">
      <c r="A53" s="6"/>
      <c r="B53" s="5"/>
      <c r="C53" s="5"/>
      <c r="D53" s="5" t="s">
        <v>27</v>
      </c>
      <c r="E53" s="5" t="s">
        <v>28</v>
      </c>
      <c r="F53" s="5" t="s">
        <v>19</v>
      </c>
      <c r="G53" s="14">
        <f t="shared" ref="G53:L53" si="11">SUBTOTAL(9,G52:G52)</f>
        <v>0.13</v>
      </c>
      <c r="H53" s="14">
        <f t="shared" si="11"/>
        <v>0</v>
      </c>
      <c r="I53" s="14">
        <f t="shared" si="11"/>
        <v>0</v>
      </c>
      <c r="J53" s="14">
        <f t="shared" si="11"/>
        <v>0</v>
      </c>
      <c r="K53" s="14">
        <f t="shared" si="11"/>
        <v>-0.11</v>
      </c>
      <c r="L53" s="14">
        <f t="shared" si="11"/>
        <v>0.02</v>
      </c>
      <c r="M53" s="10">
        <v>2160</v>
      </c>
      <c r="N53" s="69"/>
      <c r="O53" s="11">
        <f>O50+1</f>
        <v>12</v>
      </c>
    </row>
    <row r="54" spans="1:15" s="4" customFormat="1" x14ac:dyDescent="0.25">
      <c r="A54" s="10"/>
      <c r="B54"/>
      <c r="C54"/>
      <c r="D54"/>
      <c r="E54"/>
      <c r="F54"/>
      <c r="G54" s="21"/>
      <c r="H54" s="21"/>
      <c r="I54" s="21"/>
      <c r="J54" s="21"/>
      <c r="K54" s="21"/>
      <c r="L54" s="21"/>
      <c r="M54" s="10"/>
      <c r="N54" s="67"/>
      <c r="O54" s="11"/>
    </row>
    <row r="55" spans="1:15" x14ac:dyDescent="0.25">
      <c r="A55" s="6">
        <v>25</v>
      </c>
      <c r="B55" s="5" t="s">
        <v>550</v>
      </c>
      <c r="C55" s="5" t="s">
        <v>17</v>
      </c>
      <c r="D55" s="5" t="s">
        <v>27</v>
      </c>
      <c r="E55" s="5" t="s">
        <v>28</v>
      </c>
      <c r="F55" s="5" t="s">
        <v>551</v>
      </c>
      <c r="G55" s="22">
        <v>42172.88</v>
      </c>
      <c r="H55" s="22">
        <v>0</v>
      </c>
      <c r="I55" s="22">
        <v>0</v>
      </c>
      <c r="J55" s="22">
        <v>0</v>
      </c>
      <c r="K55" s="22">
        <v>-843.46</v>
      </c>
      <c r="L55" s="22">
        <v>41329.42</v>
      </c>
      <c r="M55" s="10"/>
      <c r="O55" s="11"/>
    </row>
    <row r="56" spans="1:15" x14ac:dyDescent="0.25">
      <c r="A56" s="6">
        <v>26</v>
      </c>
      <c r="B56" s="5" t="s">
        <v>550</v>
      </c>
      <c r="C56" s="5" t="s">
        <v>13</v>
      </c>
      <c r="D56" s="5" t="s">
        <v>27</v>
      </c>
      <c r="E56" s="5" t="s">
        <v>28</v>
      </c>
      <c r="F56" s="5" t="s">
        <v>551</v>
      </c>
      <c r="G56" s="22">
        <v>0</v>
      </c>
      <c r="H56" s="22">
        <v>0</v>
      </c>
      <c r="I56" s="22">
        <v>0</v>
      </c>
      <c r="J56" s="22">
        <v>5060.75</v>
      </c>
      <c r="K56" s="22">
        <v>0</v>
      </c>
      <c r="L56" s="22">
        <v>5060.75</v>
      </c>
      <c r="M56" s="10"/>
      <c r="O56" s="11"/>
    </row>
    <row r="57" spans="1:15" s="4" customFormat="1" x14ac:dyDescent="0.25">
      <c r="A57" s="6"/>
      <c r="B57" s="5"/>
      <c r="C57" s="5"/>
      <c r="D57" s="5" t="s">
        <v>27</v>
      </c>
      <c r="E57" s="5" t="s">
        <v>28</v>
      </c>
      <c r="F57" s="5" t="s">
        <v>551</v>
      </c>
      <c r="G57" s="14">
        <f t="shared" ref="G57:L57" si="12">SUBTOTAL(9,G55:G56)</f>
        <v>42172.88</v>
      </c>
      <c r="H57" s="14">
        <f t="shared" si="12"/>
        <v>0</v>
      </c>
      <c r="I57" s="14">
        <f t="shared" si="12"/>
        <v>0</v>
      </c>
      <c r="J57" s="14">
        <f t="shared" si="12"/>
        <v>5060.75</v>
      </c>
      <c r="K57" s="14">
        <f t="shared" si="12"/>
        <v>-843.46</v>
      </c>
      <c r="L57" s="14">
        <f t="shared" si="12"/>
        <v>46390.17</v>
      </c>
      <c r="M57" s="10">
        <v>2161</v>
      </c>
      <c r="N57" s="69"/>
      <c r="O57" s="11">
        <f>O53+1</f>
        <v>13</v>
      </c>
    </row>
    <row r="58" spans="1:15" s="4" customFormat="1" x14ac:dyDescent="0.25">
      <c r="A58" s="10"/>
      <c r="B58"/>
      <c r="C58"/>
      <c r="D58"/>
      <c r="E58"/>
      <c r="F58"/>
      <c r="G58" s="21"/>
      <c r="H58" s="21"/>
      <c r="I58" s="21"/>
      <c r="J58" s="21"/>
      <c r="K58" s="21"/>
      <c r="L58" s="21"/>
      <c r="M58" s="10"/>
      <c r="N58" s="67"/>
      <c r="O58" s="11"/>
    </row>
    <row r="59" spans="1:15" x14ac:dyDescent="0.25">
      <c r="A59" s="6">
        <v>27</v>
      </c>
      <c r="B59" s="5" t="s">
        <v>550</v>
      </c>
      <c r="C59" s="5" t="s">
        <v>17</v>
      </c>
      <c r="D59" s="5" t="s">
        <v>27</v>
      </c>
      <c r="E59" s="5" t="s">
        <v>28</v>
      </c>
      <c r="F59" s="5" t="s">
        <v>552</v>
      </c>
      <c r="G59" s="22">
        <v>3.03</v>
      </c>
      <c r="H59" s="22">
        <v>0</v>
      </c>
      <c r="I59" s="22">
        <v>0</v>
      </c>
      <c r="J59" s="22">
        <v>0</v>
      </c>
      <c r="K59" s="22">
        <v>-0.06</v>
      </c>
      <c r="L59" s="22">
        <v>2.97</v>
      </c>
      <c r="M59" s="10"/>
      <c r="O59" s="11"/>
    </row>
    <row r="60" spans="1:15" x14ac:dyDescent="0.25">
      <c r="A60" s="6">
        <v>28</v>
      </c>
      <c r="B60" s="5" t="s">
        <v>550</v>
      </c>
      <c r="C60" s="5" t="s">
        <v>13</v>
      </c>
      <c r="D60" s="5" t="s">
        <v>27</v>
      </c>
      <c r="E60" s="5" t="s">
        <v>28</v>
      </c>
      <c r="F60" s="5" t="s">
        <v>552</v>
      </c>
      <c r="G60" s="22">
        <v>0</v>
      </c>
      <c r="H60" s="22">
        <v>0</v>
      </c>
      <c r="I60" s="22">
        <v>0</v>
      </c>
      <c r="J60" s="22">
        <v>0.36</v>
      </c>
      <c r="K60" s="22">
        <v>0</v>
      </c>
      <c r="L60" s="22">
        <v>0.36</v>
      </c>
      <c r="M60" s="10"/>
      <c r="O60" s="11"/>
    </row>
    <row r="61" spans="1:15" s="4" customFormat="1" x14ac:dyDescent="0.25">
      <c r="A61" s="6"/>
      <c r="B61" s="5"/>
      <c r="C61" s="5"/>
      <c r="D61" s="5" t="s">
        <v>27</v>
      </c>
      <c r="E61" s="5" t="s">
        <v>28</v>
      </c>
      <c r="F61" s="5" t="s">
        <v>552</v>
      </c>
      <c r="G61" s="14">
        <f t="shared" ref="G61:L61" si="13">SUBTOTAL(9,G59:G60)</f>
        <v>3.03</v>
      </c>
      <c r="H61" s="14">
        <f t="shared" si="13"/>
        <v>0</v>
      </c>
      <c r="I61" s="14">
        <f t="shared" si="13"/>
        <v>0</v>
      </c>
      <c r="J61" s="14">
        <f t="shared" si="13"/>
        <v>0.36</v>
      </c>
      <c r="K61" s="14">
        <f t="shared" si="13"/>
        <v>-0.06</v>
      </c>
      <c r="L61" s="14">
        <f t="shared" si="13"/>
        <v>3.33</v>
      </c>
      <c r="M61" s="10">
        <v>2162</v>
      </c>
      <c r="N61" s="69"/>
      <c r="O61" s="11">
        <f>O57+1</f>
        <v>14</v>
      </c>
    </row>
    <row r="62" spans="1:15" s="4" customFormat="1" x14ac:dyDescent="0.25">
      <c r="A62" s="10"/>
      <c r="B62"/>
      <c r="C62"/>
      <c r="D62"/>
      <c r="E62"/>
      <c r="F62"/>
      <c r="G62" s="21"/>
      <c r="H62" s="21"/>
      <c r="I62" s="21"/>
      <c r="J62" s="21"/>
      <c r="K62" s="21"/>
      <c r="L62" s="21"/>
      <c r="M62" s="10"/>
      <c r="N62" s="67"/>
      <c r="O62" s="11"/>
    </row>
    <row r="63" spans="1:15" x14ac:dyDescent="0.25">
      <c r="A63" s="6">
        <v>29</v>
      </c>
      <c r="B63" s="5" t="s">
        <v>22</v>
      </c>
      <c r="C63" s="5" t="s">
        <v>17</v>
      </c>
      <c r="D63" s="5" t="s">
        <v>561</v>
      </c>
      <c r="E63" s="5" t="s">
        <v>562</v>
      </c>
      <c r="F63" s="5" t="s">
        <v>23</v>
      </c>
      <c r="G63" s="22">
        <v>0</v>
      </c>
      <c r="H63" s="22">
        <v>0</v>
      </c>
      <c r="I63" s="22">
        <v>0.25</v>
      </c>
      <c r="J63" s="22">
        <v>0</v>
      </c>
      <c r="K63" s="22">
        <v>0</v>
      </c>
      <c r="L63" s="22">
        <v>0.25</v>
      </c>
      <c r="M63" s="10"/>
      <c r="O63" s="11"/>
    </row>
    <row r="64" spans="1:15" x14ac:dyDescent="0.25">
      <c r="A64" s="6"/>
      <c r="B64" s="5"/>
      <c r="C64" s="5"/>
      <c r="D64" s="5" t="s">
        <v>563</v>
      </c>
      <c r="E64" s="5" t="s">
        <v>562</v>
      </c>
      <c r="F64" s="5" t="s">
        <v>23</v>
      </c>
      <c r="G64" s="14">
        <f t="shared" ref="G64:L64" si="14">SUBTOTAL(9,G63:G63)</f>
        <v>0</v>
      </c>
      <c r="H64" s="14">
        <f t="shared" si="14"/>
        <v>0</v>
      </c>
      <c r="I64" s="14">
        <f t="shared" si="14"/>
        <v>0.25</v>
      </c>
      <c r="J64" s="14">
        <f t="shared" si="14"/>
        <v>0</v>
      </c>
      <c r="K64" s="14">
        <f t="shared" si="14"/>
        <v>0</v>
      </c>
      <c r="L64" s="14">
        <f t="shared" si="14"/>
        <v>0.25</v>
      </c>
      <c r="M64" s="10">
        <v>2163</v>
      </c>
      <c r="N64" s="69"/>
      <c r="O64" s="11">
        <f>O61+1</f>
        <v>15</v>
      </c>
    </row>
    <row r="65" spans="1:15" s="4" customFormat="1" x14ac:dyDescent="0.25">
      <c r="A65" s="10"/>
      <c r="B65"/>
      <c r="C65"/>
      <c r="D65"/>
      <c r="E65"/>
      <c r="F65"/>
      <c r="G65" s="21"/>
      <c r="H65" s="21"/>
      <c r="I65" s="21"/>
      <c r="J65" s="21"/>
      <c r="K65" s="21"/>
      <c r="L65" s="21"/>
      <c r="M65" s="10"/>
      <c r="N65" s="67"/>
      <c r="O65" s="11"/>
    </row>
    <row r="66" spans="1:15" s="4" customFormat="1" x14ac:dyDescent="0.25">
      <c r="A66" s="6">
        <v>30</v>
      </c>
      <c r="B66" s="5" t="s">
        <v>550</v>
      </c>
      <c r="C66" s="5" t="s">
        <v>17</v>
      </c>
      <c r="D66" s="5" t="s">
        <v>561</v>
      </c>
      <c r="E66" s="5" t="s">
        <v>562</v>
      </c>
      <c r="F66" s="5" t="s">
        <v>551</v>
      </c>
      <c r="G66" s="22">
        <v>0</v>
      </c>
      <c r="H66" s="22">
        <v>0</v>
      </c>
      <c r="I66" s="22">
        <v>1.81</v>
      </c>
      <c r="J66" s="22">
        <v>0</v>
      </c>
      <c r="K66" s="22">
        <v>-0.04</v>
      </c>
      <c r="L66" s="22">
        <v>1.77</v>
      </c>
      <c r="M66" s="10"/>
      <c r="N66" s="67"/>
      <c r="O66" s="11"/>
    </row>
    <row r="67" spans="1:15" x14ac:dyDescent="0.25">
      <c r="A67" s="6"/>
      <c r="B67" s="5"/>
      <c r="C67" s="5"/>
      <c r="D67" s="5" t="s">
        <v>563</v>
      </c>
      <c r="E67" s="5" t="s">
        <v>562</v>
      </c>
      <c r="F67" s="5" t="s">
        <v>551</v>
      </c>
      <c r="G67" s="14">
        <f>SUBTOTAL(9,G66:G66)</f>
        <v>0</v>
      </c>
      <c r="H67" s="14">
        <f t="shared" ref="H67:L67" si="15">SUBTOTAL(9,H66:H66)</f>
        <v>0</v>
      </c>
      <c r="I67" s="14">
        <f t="shared" si="15"/>
        <v>1.81</v>
      </c>
      <c r="J67" s="14">
        <f t="shared" si="15"/>
        <v>0</v>
      </c>
      <c r="K67" s="14">
        <f t="shared" si="15"/>
        <v>-0.04</v>
      </c>
      <c r="L67" s="14">
        <f t="shared" si="15"/>
        <v>1.77</v>
      </c>
      <c r="M67" s="10">
        <v>2164</v>
      </c>
      <c r="N67" s="69"/>
      <c r="O67" s="11">
        <f>O64+1</f>
        <v>16</v>
      </c>
    </row>
    <row r="68" spans="1:15" x14ac:dyDescent="0.25">
      <c r="A68" s="6"/>
      <c r="B68" s="5"/>
      <c r="C68" s="5"/>
      <c r="D68" s="5"/>
      <c r="E68" s="5"/>
      <c r="F68" s="5"/>
      <c r="G68" s="22"/>
      <c r="H68" s="22"/>
      <c r="I68" s="22"/>
      <c r="J68" s="22"/>
      <c r="K68" s="22"/>
      <c r="L68" s="22"/>
      <c r="M68" s="10"/>
      <c r="O68" s="11"/>
    </row>
    <row r="69" spans="1:15" s="4" customFormat="1" x14ac:dyDescent="0.25">
      <c r="A69" s="6">
        <v>31</v>
      </c>
      <c r="B69" s="5" t="s">
        <v>550</v>
      </c>
      <c r="C69" s="5" t="s">
        <v>17</v>
      </c>
      <c r="D69" s="5" t="s">
        <v>564</v>
      </c>
      <c r="E69" s="5" t="s">
        <v>565</v>
      </c>
      <c r="F69" s="5" t="s">
        <v>551</v>
      </c>
      <c r="G69" s="22">
        <v>144.97</v>
      </c>
      <c r="H69" s="22">
        <v>0</v>
      </c>
      <c r="I69" s="22">
        <v>0</v>
      </c>
      <c r="J69" s="22">
        <v>0</v>
      </c>
      <c r="K69" s="22">
        <v>-2.9</v>
      </c>
      <c r="L69" s="22">
        <v>142.07</v>
      </c>
      <c r="M69" s="10"/>
      <c r="N69" s="67"/>
      <c r="O69" s="11"/>
    </row>
    <row r="70" spans="1:15" s="4" customFormat="1" x14ac:dyDescent="0.25">
      <c r="A70" s="6">
        <v>32</v>
      </c>
      <c r="B70" s="5" t="s">
        <v>550</v>
      </c>
      <c r="C70" s="5" t="s">
        <v>13</v>
      </c>
      <c r="D70" s="5" t="s">
        <v>564</v>
      </c>
      <c r="E70" s="5" t="s">
        <v>565</v>
      </c>
      <c r="F70" s="5" t="s">
        <v>551</v>
      </c>
      <c r="G70" s="22">
        <v>0</v>
      </c>
      <c r="H70" s="22">
        <v>0</v>
      </c>
      <c r="I70" s="22">
        <v>0</v>
      </c>
      <c r="J70" s="22">
        <v>17.399999999999999</v>
      </c>
      <c r="K70" s="22">
        <v>0</v>
      </c>
      <c r="L70" s="22">
        <v>17.399999999999999</v>
      </c>
      <c r="M70" s="10"/>
      <c r="N70" s="67"/>
      <c r="O70" s="11"/>
    </row>
    <row r="71" spans="1:15" x14ac:dyDescent="0.25">
      <c r="A71" s="6"/>
      <c r="B71" s="5"/>
      <c r="C71" s="5"/>
      <c r="D71" s="5" t="s">
        <v>564</v>
      </c>
      <c r="E71" s="5" t="s">
        <v>565</v>
      </c>
      <c r="F71" s="5" t="s">
        <v>551</v>
      </c>
      <c r="G71" s="14">
        <f>SUBTOTAL(9,G69:G70)</f>
        <v>144.97</v>
      </c>
      <c r="H71" s="14">
        <f t="shared" ref="H71:L71" si="16">SUBTOTAL(9,H69:H70)</f>
        <v>0</v>
      </c>
      <c r="I71" s="14">
        <f t="shared" si="16"/>
        <v>0</v>
      </c>
      <c r="J71" s="14">
        <f t="shared" si="16"/>
        <v>17.399999999999999</v>
      </c>
      <c r="K71" s="14">
        <f t="shared" si="16"/>
        <v>-2.9</v>
      </c>
      <c r="L71" s="14">
        <f t="shared" si="16"/>
        <v>159.47</v>
      </c>
      <c r="M71" s="10">
        <v>2165</v>
      </c>
      <c r="N71" s="69"/>
      <c r="O71" s="11">
        <f>O67+1</f>
        <v>17</v>
      </c>
    </row>
    <row r="72" spans="1:15" x14ac:dyDescent="0.25">
      <c r="A72" s="10"/>
      <c r="G72" s="21"/>
      <c r="H72" s="21"/>
      <c r="I72" s="21"/>
      <c r="J72" s="21"/>
      <c r="K72" s="21"/>
      <c r="L72" s="21"/>
      <c r="M72" s="10"/>
      <c r="O72" s="11"/>
    </row>
    <row r="73" spans="1:15" s="4" customFormat="1" x14ac:dyDescent="0.25">
      <c r="A73" s="6">
        <v>33</v>
      </c>
      <c r="B73" s="5" t="s">
        <v>550</v>
      </c>
      <c r="C73" s="5" t="s">
        <v>17</v>
      </c>
      <c r="D73" s="5" t="s">
        <v>564</v>
      </c>
      <c r="E73" s="5" t="s">
        <v>565</v>
      </c>
      <c r="F73" s="5" t="s">
        <v>552</v>
      </c>
      <c r="G73" s="22">
        <v>0.01</v>
      </c>
      <c r="H73" s="22">
        <v>0</v>
      </c>
      <c r="I73" s="22">
        <v>0</v>
      </c>
      <c r="J73" s="22">
        <v>0</v>
      </c>
      <c r="K73" s="22">
        <v>0</v>
      </c>
      <c r="L73" s="22">
        <v>0.01</v>
      </c>
      <c r="M73" s="10"/>
      <c r="N73" s="67"/>
      <c r="O73" s="11"/>
    </row>
    <row r="74" spans="1:15" x14ac:dyDescent="0.25">
      <c r="A74" s="6">
        <v>34</v>
      </c>
      <c r="B74" s="5" t="s">
        <v>550</v>
      </c>
      <c r="C74" s="5" t="s">
        <v>13</v>
      </c>
      <c r="D74" s="5" t="s">
        <v>564</v>
      </c>
      <c r="E74" s="5" t="s">
        <v>565</v>
      </c>
      <c r="F74" s="5" t="s">
        <v>552</v>
      </c>
      <c r="G74" s="22">
        <v>0</v>
      </c>
      <c r="H74" s="22">
        <v>0</v>
      </c>
      <c r="I74" s="22">
        <v>0</v>
      </c>
      <c r="J74" s="22">
        <v>0</v>
      </c>
      <c r="K74" s="22">
        <v>0</v>
      </c>
      <c r="L74" s="22">
        <v>0</v>
      </c>
      <c r="M74" s="10"/>
      <c r="O74" s="11"/>
    </row>
    <row r="75" spans="1:15" x14ac:dyDescent="0.25">
      <c r="A75" s="6"/>
      <c r="B75" s="5"/>
      <c r="C75" s="5"/>
      <c r="D75" s="5" t="s">
        <v>564</v>
      </c>
      <c r="E75" s="5" t="s">
        <v>565</v>
      </c>
      <c r="F75" s="5" t="s">
        <v>552</v>
      </c>
      <c r="G75" s="14">
        <f t="shared" ref="G75:L75" si="17">SUBTOTAL(9,G73:G74)</f>
        <v>0.01</v>
      </c>
      <c r="H75" s="14">
        <f t="shared" si="17"/>
        <v>0</v>
      </c>
      <c r="I75" s="14">
        <f t="shared" si="17"/>
        <v>0</v>
      </c>
      <c r="J75" s="14">
        <f t="shared" si="17"/>
        <v>0</v>
      </c>
      <c r="K75" s="14">
        <f t="shared" si="17"/>
        <v>0</v>
      </c>
      <c r="L75" s="14">
        <f t="shared" si="17"/>
        <v>0.01</v>
      </c>
      <c r="M75" s="10">
        <v>2166</v>
      </c>
      <c r="N75" s="69"/>
      <c r="O75" s="11">
        <f>O71+1</f>
        <v>18</v>
      </c>
    </row>
    <row r="76" spans="1:15" s="4" customFormat="1" x14ac:dyDescent="0.25">
      <c r="A76" s="10"/>
      <c r="B76"/>
      <c r="C76"/>
      <c r="D76"/>
      <c r="E76"/>
      <c r="F76"/>
      <c r="G76" s="21"/>
      <c r="H76" s="21"/>
      <c r="I76" s="21"/>
      <c r="J76" s="21"/>
      <c r="K76" s="21"/>
      <c r="L76" s="21"/>
      <c r="M76" s="10"/>
      <c r="N76" s="67"/>
      <c r="O76" s="11"/>
    </row>
    <row r="77" spans="1:15" x14ac:dyDescent="0.25">
      <c r="A77" s="6">
        <v>35</v>
      </c>
      <c r="B77" s="5" t="s">
        <v>555</v>
      </c>
      <c r="C77" s="5" t="s">
        <v>17</v>
      </c>
      <c r="D77" s="5" t="s">
        <v>31</v>
      </c>
      <c r="E77" s="5" t="s">
        <v>32</v>
      </c>
      <c r="F77" s="5" t="s">
        <v>556</v>
      </c>
      <c r="G77" s="22">
        <v>374.52</v>
      </c>
      <c r="H77" s="22">
        <v>0</v>
      </c>
      <c r="I77" s="22">
        <v>0</v>
      </c>
      <c r="J77" s="22">
        <v>0</v>
      </c>
      <c r="K77" s="22">
        <v>-7.49</v>
      </c>
      <c r="L77" s="22">
        <v>367.03</v>
      </c>
      <c r="M77" s="10"/>
      <c r="O77" s="11"/>
    </row>
    <row r="78" spans="1:15" x14ac:dyDescent="0.25">
      <c r="A78" s="6">
        <v>36</v>
      </c>
      <c r="B78" s="5" t="s">
        <v>555</v>
      </c>
      <c r="C78" s="5" t="s">
        <v>17</v>
      </c>
      <c r="D78" s="5" t="s">
        <v>31</v>
      </c>
      <c r="E78" s="5" t="s">
        <v>32</v>
      </c>
      <c r="F78" s="5" t="s">
        <v>556</v>
      </c>
      <c r="G78" s="22">
        <v>0</v>
      </c>
      <c r="H78" s="22">
        <v>0</v>
      </c>
      <c r="I78" s="22">
        <v>89.94</v>
      </c>
      <c r="J78" s="22">
        <v>0</v>
      </c>
      <c r="K78" s="22">
        <v>-1.8</v>
      </c>
      <c r="L78" s="22">
        <v>88.14</v>
      </c>
      <c r="M78" s="10"/>
      <c r="O78" s="11"/>
    </row>
    <row r="79" spans="1:15" s="4" customFormat="1" x14ac:dyDescent="0.25">
      <c r="A79" s="6">
        <v>37</v>
      </c>
      <c r="B79" s="5" t="s">
        <v>555</v>
      </c>
      <c r="C79" s="5" t="s">
        <v>13</v>
      </c>
      <c r="D79" s="5" t="s">
        <v>31</v>
      </c>
      <c r="E79" s="5" t="s">
        <v>32</v>
      </c>
      <c r="F79" s="5" t="s">
        <v>556</v>
      </c>
      <c r="G79" s="22">
        <v>0</v>
      </c>
      <c r="H79" s="22">
        <v>0</v>
      </c>
      <c r="I79" s="22">
        <v>0</v>
      </c>
      <c r="J79" s="22">
        <v>44.94</v>
      </c>
      <c r="K79" s="22">
        <v>0</v>
      </c>
      <c r="L79" s="22">
        <v>44.94</v>
      </c>
      <c r="M79" s="10"/>
      <c r="N79" s="67"/>
      <c r="O79" s="11"/>
    </row>
    <row r="80" spans="1:15" s="4" customFormat="1" x14ac:dyDescent="0.25">
      <c r="A80" s="6"/>
      <c r="B80" s="5"/>
      <c r="C80" s="5"/>
      <c r="D80" s="5" t="s">
        <v>31</v>
      </c>
      <c r="E80" s="5" t="s">
        <v>32</v>
      </c>
      <c r="F80" s="5" t="s">
        <v>556</v>
      </c>
      <c r="G80" s="14">
        <f t="shared" ref="G80:L80" si="18">SUBTOTAL(9,G77:G79)</f>
        <v>374.52</v>
      </c>
      <c r="H80" s="14">
        <f t="shared" si="18"/>
        <v>0</v>
      </c>
      <c r="I80" s="14">
        <f t="shared" si="18"/>
        <v>89.94</v>
      </c>
      <c r="J80" s="14">
        <f t="shared" si="18"/>
        <v>44.94</v>
      </c>
      <c r="K80" s="14">
        <f t="shared" si="18"/>
        <v>-9.2900000000000009</v>
      </c>
      <c r="L80" s="14">
        <f t="shared" si="18"/>
        <v>500.10999999999996</v>
      </c>
      <c r="M80" s="10">
        <v>2167</v>
      </c>
      <c r="N80" s="69"/>
      <c r="O80" s="11">
        <f>O75+1</f>
        <v>19</v>
      </c>
    </row>
    <row r="81" spans="1:15" x14ac:dyDescent="0.25">
      <c r="A81" s="10"/>
      <c r="G81" s="21"/>
      <c r="H81" s="21"/>
      <c r="I81" s="21"/>
      <c r="J81" s="21"/>
      <c r="K81" s="21"/>
      <c r="L81" s="21"/>
      <c r="M81" s="10"/>
      <c r="O81" s="11"/>
    </row>
    <row r="82" spans="1:15" x14ac:dyDescent="0.25">
      <c r="A82" s="6">
        <v>38</v>
      </c>
      <c r="B82" s="5" t="s">
        <v>557</v>
      </c>
      <c r="C82" s="5" t="s">
        <v>17</v>
      </c>
      <c r="D82" s="5" t="s">
        <v>31</v>
      </c>
      <c r="E82" s="5" t="s">
        <v>32</v>
      </c>
      <c r="F82" s="5" t="s">
        <v>558</v>
      </c>
      <c r="G82" s="22">
        <v>161.56</v>
      </c>
      <c r="H82" s="22">
        <v>0</v>
      </c>
      <c r="I82" s="22">
        <v>0</v>
      </c>
      <c r="J82" s="22">
        <v>0</v>
      </c>
      <c r="K82" s="22">
        <v>-3.23</v>
      </c>
      <c r="L82" s="22">
        <v>158.33000000000001</v>
      </c>
      <c r="M82" s="10"/>
      <c r="O82" s="11"/>
    </row>
    <row r="83" spans="1:15" s="4" customFormat="1" x14ac:dyDescent="0.25">
      <c r="A83" s="6">
        <v>39</v>
      </c>
      <c r="B83" s="5" t="s">
        <v>557</v>
      </c>
      <c r="C83" s="5" t="s">
        <v>17</v>
      </c>
      <c r="D83" s="5" t="s">
        <v>31</v>
      </c>
      <c r="E83" s="5" t="s">
        <v>32</v>
      </c>
      <c r="F83" s="5" t="s">
        <v>558</v>
      </c>
      <c r="G83" s="22">
        <v>0</v>
      </c>
      <c r="H83" s="22">
        <v>0</v>
      </c>
      <c r="I83" s="22">
        <v>70.98</v>
      </c>
      <c r="J83" s="22">
        <v>0</v>
      </c>
      <c r="K83" s="22">
        <v>-1.42</v>
      </c>
      <c r="L83" s="22">
        <v>69.56</v>
      </c>
      <c r="M83" s="10"/>
      <c r="N83" s="67"/>
      <c r="O83" s="11"/>
    </row>
    <row r="84" spans="1:15" s="4" customFormat="1" x14ac:dyDescent="0.25">
      <c r="A84" s="6">
        <v>40</v>
      </c>
      <c r="B84" s="5" t="s">
        <v>557</v>
      </c>
      <c r="C84" s="5" t="s">
        <v>13</v>
      </c>
      <c r="D84" s="5" t="s">
        <v>31</v>
      </c>
      <c r="E84" s="5" t="s">
        <v>32</v>
      </c>
      <c r="F84" s="5" t="s">
        <v>558</v>
      </c>
      <c r="G84" s="22">
        <v>0</v>
      </c>
      <c r="H84" s="22">
        <v>0</v>
      </c>
      <c r="I84" s="22">
        <v>0</v>
      </c>
      <c r="J84" s="22">
        <v>19.39</v>
      </c>
      <c r="K84" s="22">
        <v>0</v>
      </c>
      <c r="L84" s="22">
        <v>19.39</v>
      </c>
      <c r="M84" s="10"/>
      <c r="N84" s="67"/>
      <c r="O84" s="11"/>
    </row>
    <row r="85" spans="1:15" x14ac:dyDescent="0.25">
      <c r="A85" s="6"/>
      <c r="B85" s="5"/>
      <c r="C85" s="5"/>
      <c r="D85" s="5" t="s">
        <v>31</v>
      </c>
      <c r="E85" s="5" t="s">
        <v>32</v>
      </c>
      <c r="F85" s="5" t="s">
        <v>558</v>
      </c>
      <c r="G85" s="14">
        <f t="shared" ref="G85:L85" si="19">SUBTOTAL(9,G82:G84)</f>
        <v>161.56</v>
      </c>
      <c r="H85" s="14">
        <f t="shared" si="19"/>
        <v>0</v>
      </c>
      <c r="I85" s="14">
        <f t="shared" si="19"/>
        <v>70.98</v>
      </c>
      <c r="J85" s="14">
        <f t="shared" si="19"/>
        <v>19.39</v>
      </c>
      <c r="K85" s="14">
        <f t="shared" si="19"/>
        <v>-4.6500000000000004</v>
      </c>
      <c r="L85" s="14">
        <f t="shared" si="19"/>
        <v>247.28000000000003</v>
      </c>
      <c r="M85" s="10">
        <v>2168</v>
      </c>
      <c r="N85" s="69"/>
      <c r="O85" s="11">
        <f>O80+1</f>
        <v>20</v>
      </c>
    </row>
    <row r="86" spans="1:15" x14ac:dyDescent="0.25">
      <c r="A86" s="10"/>
      <c r="G86" s="21"/>
      <c r="H86" s="21"/>
      <c r="I86" s="21"/>
      <c r="J86" s="21"/>
      <c r="K86" s="21"/>
      <c r="L86" s="21"/>
      <c r="M86" s="10"/>
      <c r="O86" s="11"/>
    </row>
    <row r="87" spans="1:15" s="4" customFormat="1" x14ac:dyDescent="0.25">
      <c r="A87" s="6">
        <v>41</v>
      </c>
      <c r="B87" s="5" t="s">
        <v>566</v>
      </c>
      <c r="C87" s="5" t="s">
        <v>17</v>
      </c>
      <c r="D87" s="5" t="s">
        <v>31</v>
      </c>
      <c r="E87" s="5" t="s">
        <v>32</v>
      </c>
      <c r="F87" s="5" t="s">
        <v>567</v>
      </c>
      <c r="G87" s="22">
        <v>0.63</v>
      </c>
      <c r="H87" s="22">
        <v>0</v>
      </c>
      <c r="I87" s="22">
        <v>0</v>
      </c>
      <c r="J87" s="22">
        <v>0</v>
      </c>
      <c r="K87" s="22">
        <v>-0.01</v>
      </c>
      <c r="L87" s="22">
        <v>0.62</v>
      </c>
      <c r="M87" s="10"/>
      <c r="N87" s="67"/>
      <c r="O87" s="11"/>
    </row>
    <row r="88" spans="1:15" s="4" customFormat="1" x14ac:dyDescent="0.25">
      <c r="A88" s="6">
        <v>42</v>
      </c>
      <c r="B88" s="5" t="s">
        <v>566</v>
      </c>
      <c r="C88" s="5" t="s">
        <v>13</v>
      </c>
      <c r="D88" s="5" t="s">
        <v>31</v>
      </c>
      <c r="E88" s="5" t="s">
        <v>32</v>
      </c>
      <c r="F88" s="5" t="s">
        <v>567</v>
      </c>
      <c r="G88" s="22">
        <v>0</v>
      </c>
      <c r="H88" s="22">
        <v>0</v>
      </c>
      <c r="I88" s="22">
        <v>0</v>
      </c>
      <c r="J88" s="22">
        <v>0.08</v>
      </c>
      <c r="K88" s="22">
        <v>0</v>
      </c>
      <c r="L88" s="22">
        <v>0.08</v>
      </c>
      <c r="M88" s="10"/>
      <c r="N88" s="67"/>
      <c r="O88" s="11"/>
    </row>
    <row r="89" spans="1:15" x14ac:dyDescent="0.25">
      <c r="A89" s="6"/>
      <c r="B89" s="5"/>
      <c r="C89" s="5"/>
      <c r="D89" s="5" t="s">
        <v>31</v>
      </c>
      <c r="E89" s="5" t="s">
        <v>32</v>
      </c>
      <c r="F89" s="5" t="s">
        <v>567</v>
      </c>
      <c r="G89" s="14">
        <f t="shared" ref="G89:L89" si="20">SUBTOTAL(9,G87:G88)</f>
        <v>0.63</v>
      </c>
      <c r="H89" s="14">
        <f t="shared" si="20"/>
        <v>0</v>
      </c>
      <c r="I89" s="14">
        <f t="shared" si="20"/>
        <v>0</v>
      </c>
      <c r="J89" s="14">
        <f t="shared" si="20"/>
        <v>0.08</v>
      </c>
      <c r="K89" s="14">
        <f t="shared" si="20"/>
        <v>-0.01</v>
      </c>
      <c r="L89" s="14">
        <f t="shared" si="20"/>
        <v>0.7</v>
      </c>
      <c r="M89" s="10">
        <v>2169</v>
      </c>
      <c r="N89" s="69"/>
      <c r="O89" s="11">
        <f>O85+1</f>
        <v>21</v>
      </c>
    </row>
    <row r="90" spans="1:15" x14ac:dyDescent="0.25">
      <c r="A90" s="10"/>
      <c r="G90" s="21"/>
      <c r="H90" s="21"/>
      <c r="I90" s="21"/>
      <c r="J90" s="21"/>
      <c r="K90" s="21"/>
      <c r="L90" s="21"/>
      <c r="M90" s="10"/>
      <c r="O90" s="11"/>
    </row>
    <row r="91" spans="1:15" s="4" customFormat="1" x14ac:dyDescent="0.25">
      <c r="A91" s="6">
        <v>43</v>
      </c>
      <c r="B91" s="5" t="s">
        <v>18</v>
      </c>
      <c r="C91" s="5" t="s">
        <v>17</v>
      </c>
      <c r="D91" s="5" t="s">
        <v>31</v>
      </c>
      <c r="E91" s="5" t="s">
        <v>32</v>
      </c>
      <c r="F91" s="5" t="s">
        <v>19</v>
      </c>
      <c r="G91" s="22">
        <v>0</v>
      </c>
      <c r="H91" s="22">
        <v>0</v>
      </c>
      <c r="I91" s="22">
        <v>162.77000000000001</v>
      </c>
      <c r="J91" s="22">
        <v>0</v>
      </c>
      <c r="K91" s="22">
        <v>-19.14</v>
      </c>
      <c r="L91" s="22">
        <v>143.63</v>
      </c>
      <c r="M91" s="10"/>
      <c r="N91" s="67"/>
      <c r="O91" s="11"/>
    </row>
    <row r="92" spans="1:15" s="4" customFormat="1" x14ac:dyDescent="0.25">
      <c r="A92" s="6">
        <v>44</v>
      </c>
      <c r="B92" s="5" t="s">
        <v>18</v>
      </c>
      <c r="C92" s="5" t="s">
        <v>17</v>
      </c>
      <c r="D92" s="5" t="s">
        <v>31</v>
      </c>
      <c r="E92" s="5" t="s">
        <v>32</v>
      </c>
      <c r="F92" s="5" t="s">
        <v>19</v>
      </c>
      <c r="G92" s="22">
        <v>0</v>
      </c>
      <c r="H92" s="22">
        <v>0</v>
      </c>
      <c r="I92" s="22">
        <v>6.23</v>
      </c>
      <c r="J92" s="22">
        <v>0</v>
      </c>
      <c r="K92" s="22">
        <v>-0.73</v>
      </c>
      <c r="L92" s="22">
        <v>5.5</v>
      </c>
      <c r="M92" s="10"/>
      <c r="N92" s="67"/>
      <c r="O92" s="11"/>
    </row>
    <row r="93" spans="1:15" x14ac:dyDescent="0.25">
      <c r="A93" s="6"/>
      <c r="B93" s="5"/>
      <c r="C93" s="5"/>
      <c r="D93" s="5" t="s">
        <v>31</v>
      </c>
      <c r="E93" s="5" t="s">
        <v>32</v>
      </c>
      <c r="F93" s="5" t="s">
        <v>19</v>
      </c>
      <c r="G93" s="14">
        <f t="shared" ref="G93:L93" si="21">SUBTOTAL(9,G91:G92)</f>
        <v>0</v>
      </c>
      <c r="H93" s="14">
        <f t="shared" si="21"/>
        <v>0</v>
      </c>
      <c r="I93" s="14">
        <f t="shared" si="21"/>
        <v>169</v>
      </c>
      <c r="J93" s="14">
        <f t="shared" si="21"/>
        <v>0</v>
      </c>
      <c r="K93" s="14">
        <f t="shared" si="21"/>
        <v>-19.87</v>
      </c>
      <c r="L93" s="14">
        <f t="shared" si="21"/>
        <v>149.13</v>
      </c>
      <c r="M93" s="10">
        <v>2170</v>
      </c>
      <c r="N93" s="69"/>
      <c r="O93" s="11">
        <f>O89+1</f>
        <v>22</v>
      </c>
    </row>
    <row r="94" spans="1:15" x14ac:dyDescent="0.25">
      <c r="A94" s="10"/>
      <c r="G94" s="21"/>
      <c r="H94" s="21"/>
      <c r="I94" s="21"/>
      <c r="J94" s="21"/>
      <c r="K94" s="21"/>
      <c r="L94" s="21"/>
      <c r="M94" s="10"/>
      <c r="O94" s="11"/>
    </row>
    <row r="95" spans="1:15" s="4" customFormat="1" x14ac:dyDescent="0.25">
      <c r="A95" s="6">
        <v>45</v>
      </c>
      <c r="B95" s="5" t="s">
        <v>550</v>
      </c>
      <c r="C95" s="5" t="s">
        <v>17</v>
      </c>
      <c r="D95" s="5" t="s">
        <v>31</v>
      </c>
      <c r="E95" s="5" t="s">
        <v>32</v>
      </c>
      <c r="F95" s="5" t="s">
        <v>551</v>
      </c>
      <c r="G95" s="22">
        <v>410.39</v>
      </c>
      <c r="H95" s="22">
        <v>0</v>
      </c>
      <c r="I95" s="22">
        <v>0</v>
      </c>
      <c r="J95" s="22">
        <v>0</v>
      </c>
      <c r="K95" s="22">
        <v>-8.2100000000000009</v>
      </c>
      <c r="L95" s="22">
        <v>402.18</v>
      </c>
      <c r="M95" s="10"/>
      <c r="N95" s="67"/>
      <c r="O95" s="11"/>
    </row>
    <row r="96" spans="1:15" s="4" customFormat="1" x14ac:dyDescent="0.25">
      <c r="A96" s="6">
        <v>46</v>
      </c>
      <c r="B96" s="5" t="s">
        <v>550</v>
      </c>
      <c r="C96" s="5" t="s">
        <v>17</v>
      </c>
      <c r="D96" s="5" t="s">
        <v>31</v>
      </c>
      <c r="E96" s="5" t="s">
        <v>32</v>
      </c>
      <c r="F96" s="5" t="s">
        <v>551</v>
      </c>
      <c r="G96" s="22">
        <v>0</v>
      </c>
      <c r="H96" s="22">
        <v>0</v>
      </c>
      <c r="I96" s="22">
        <v>346633.43</v>
      </c>
      <c r="J96" s="22">
        <v>0</v>
      </c>
      <c r="K96" s="22">
        <v>-6932.67</v>
      </c>
      <c r="L96" s="22">
        <v>339700.76</v>
      </c>
      <c r="M96" s="10"/>
      <c r="N96" s="67"/>
      <c r="O96" s="11"/>
    </row>
    <row r="97" spans="1:15" x14ac:dyDescent="0.25">
      <c r="A97" s="6">
        <v>47</v>
      </c>
      <c r="B97" s="5" t="s">
        <v>550</v>
      </c>
      <c r="C97" s="5" t="s">
        <v>17</v>
      </c>
      <c r="D97" s="5" t="s">
        <v>31</v>
      </c>
      <c r="E97" s="5" t="s">
        <v>32</v>
      </c>
      <c r="F97" s="5" t="s">
        <v>551</v>
      </c>
      <c r="G97" s="22">
        <v>3126.82</v>
      </c>
      <c r="H97" s="22">
        <v>0</v>
      </c>
      <c r="I97" s="22">
        <v>0</v>
      </c>
      <c r="J97" s="22">
        <v>0</v>
      </c>
      <c r="K97" s="22">
        <v>-62.54</v>
      </c>
      <c r="L97" s="22">
        <v>3064.28</v>
      </c>
      <c r="M97" s="10"/>
      <c r="O97" s="11"/>
    </row>
    <row r="98" spans="1:15" x14ac:dyDescent="0.25">
      <c r="A98" s="6">
        <v>48</v>
      </c>
      <c r="B98" s="5" t="s">
        <v>550</v>
      </c>
      <c r="C98" s="5" t="s">
        <v>17</v>
      </c>
      <c r="D98" s="5" t="s">
        <v>31</v>
      </c>
      <c r="E98" s="5" t="s">
        <v>32</v>
      </c>
      <c r="F98" s="5" t="s">
        <v>551</v>
      </c>
      <c r="G98" s="22">
        <v>0</v>
      </c>
      <c r="H98" s="22">
        <v>0</v>
      </c>
      <c r="I98" s="22">
        <v>17184.509999999998</v>
      </c>
      <c r="J98" s="22">
        <v>0</v>
      </c>
      <c r="K98" s="22">
        <v>-343.69</v>
      </c>
      <c r="L98" s="22">
        <v>16840.82</v>
      </c>
      <c r="M98" s="10"/>
      <c r="O98" s="11"/>
    </row>
    <row r="99" spans="1:15" s="4" customFormat="1" x14ac:dyDescent="0.25">
      <c r="A99" s="6">
        <v>49</v>
      </c>
      <c r="B99" s="5" t="s">
        <v>550</v>
      </c>
      <c r="C99" s="5" t="s">
        <v>13</v>
      </c>
      <c r="D99" s="5" t="s">
        <v>31</v>
      </c>
      <c r="E99" s="5" t="s">
        <v>32</v>
      </c>
      <c r="F99" s="5" t="s">
        <v>551</v>
      </c>
      <c r="G99" s="22">
        <v>0</v>
      </c>
      <c r="H99" s="22">
        <v>0</v>
      </c>
      <c r="I99" s="22">
        <v>0</v>
      </c>
      <c r="J99" s="22">
        <v>49.25</v>
      </c>
      <c r="K99" s="22">
        <v>0</v>
      </c>
      <c r="L99" s="22">
        <v>49.25</v>
      </c>
      <c r="M99" s="10"/>
      <c r="N99" s="67"/>
      <c r="O99" s="11"/>
    </row>
    <row r="100" spans="1:15" x14ac:dyDescent="0.25">
      <c r="A100" s="6">
        <v>50</v>
      </c>
      <c r="B100" s="5" t="s">
        <v>550</v>
      </c>
      <c r="C100" s="5" t="s">
        <v>13</v>
      </c>
      <c r="D100" s="5" t="s">
        <v>31</v>
      </c>
      <c r="E100" s="5" t="s">
        <v>32</v>
      </c>
      <c r="F100" s="5" t="s">
        <v>551</v>
      </c>
      <c r="G100" s="22">
        <v>0</v>
      </c>
      <c r="H100" s="22">
        <v>0</v>
      </c>
      <c r="I100" s="22">
        <v>0</v>
      </c>
      <c r="J100" s="22">
        <v>375.22</v>
      </c>
      <c r="K100" s="22">
        <v>0</v>
      </c>
      <c r="L100" s="22">
        <v>375.22</v>
      </c>
      <c r="M100" s="10"/>
      <c r="O100" s="11"/>
    </row>
    <row r="101" spans="1:15" x14ac:dyDescent="0.25">
      <c r="A101" s="6"/>
      <c r="B101" s="5"/>
      <c r="C101" s="5"/>
      <c r="D101" s="5" t="s">
        <v>31</v>
      </c>
      <c r="E101" s="5" t="s">
        <v>32</v>
      </c>
      <c r="F101" s="5" t="s">
        <v>551</v>
      </c>
      <c r="G101" s="14">
        <f t="shared" ref="G101:L101" si="22">SUBTOTAL(9,G95:G100)</f>
        <v>3537.21</v>
      </c>
      <c r="H101" s="14">
        <f t="shared" si="22"/>
        <v>0</v>
      </c>
      <c r="I101" s="14">
        <f t="shared" si="22"/>
        <v>363817.94</v>
      </c>
      <c r="J101" s="14">
        <f t="shared" si="22"/>
        <v>424.47</v>
      </c>
      <c r="K101" s="14">
        <f t="shared" si="22"/>
        <v>-7347.11</v>
      </c>
      <c r="L101" s="14">
        <f t="shared" si="22"/>
        <v>360432.51</v>
      </c>
      <c r="M101" s="10">
        <v>2171</v>
      </c>
      <c r="N101" s="69"/>
      <c r="O101" s="11">
        <f>O93+1</f>
        <v>23</v>
      </c>
    </row>
    <row r="102" spans="1:15" s="4" customFormat="1" x14ac:dyDescent="0.25">
      <c r="A102" s="10"/>
      <c r="B102"/>
      <c r="C102"/>
      <c r="D102"/>
      <c r="E102"/>
      <c r="F102"/>
      <c r="G102" s="21"/>
      <c r="H102" s="21"/>
      <c r="I102" s="21"/>
      <c r="J102" s="21"/>
      <c r="K102" s="21"/>
      <c r="L102" s="21"/>
      <c r="M102" s="10"/>
      <c r="N102" s="67"/>
      <c r="O102" s="11"/>
    </row>
    <row r="103" spans="1:15" x14ac:dyDescent="0.25">
      <c r="A103" s="6">
        <v>51</v>
      </c>
      <c r="B103" s="5" t="s">
        <v>550</v>
      </c>
      <c r="C103" s="5" t="s">
        <v>17</v>
      </c>
      <c r="D103" s="5" t="s">
        <v>31</v>
      </c>
      <c r="E103" s="5" t="s">
        <v>32</v>
      </c>
      <c r="F103" s="5" t="s">
        <v>552</v>
      </c>
      <c r="G103" s="22">
        <v>0.03</v>
      </c>
      <c r="H103" s="22">
        <v>0</v>
      </c>
      <c r="I103" s="22">
        <v>0</v>
      </c>
      <c r="J103" s="22">
        <v>0</v>
      </c>
      <c r="K103" s="22">
        <v>0</v>
      </c>
      <c r="L103" s="22">
        <v>0.03</v>
      </c>
      <c r="M103" s="10"/>
      <c r="O103" s="11"/>
    </row>
    <row r="104" spans="1:15" x14ac:dyDescent="0.25">
      <c r="A104" s="6">
        <v>52</v>
      </c>
      <c r="B104" s="5" t="s">
        <v>550</v>
      </c>
      <c r="C104" s="5" t="s">
        <v>17</v>
      </c>
      <c r="D104" s="5" t="s">
        <v>31</v>
      </c>
      <c r="E104" s="5" t="s">
        <v>32</v>
      </c>
      <c r="F104" s="5" t="s">
        <v>552</v>
      </c>
      <c r="G104" s="22">
        <v>0</v>
      </c>
      <c r="H104" s="22">
        <v>0</v>
      </c>
      <c r="I104" s="22">
        <v>24.93</v>
      </c>
      <c r="J104" s="22">
        <v>0</v>
      </c>
      <c r="K104" s="22">
        <v>-0.5</v>
      </c>
      <c r="L104" s="22">
        <v>24.43</v>
      </c>
      <c r="M104" s="10"/>
      <c r="O104" s="11"/>
    </row>
    <row r="105" spans="1:15" s="4" customFormat="1" x14ac:dyDescent="0.25">
      <c r="A105" s="6">
        <v>53</v>
      </c>
      <c r="B105" s="5" t="s">
        <v>550</v>
      </c>
      <c r="C105" s="5" t="s">
        <v>17</v>
      </c>
      <c r="D105" s="5" t="s">
        <v>31</v>
      </c>
      <c r="E105" s="5" t="s">
        <v>32</v>
      </c>
      <c r="F105" s="5" t="s">
        <v>552</v>
      </c>
      <c r="G105" s="22">
        <v>0.22</v>
      </c>
      <c r="H105" s="22">
        <v>0</v>
      </c>
      <c r="I105" s="22">
        <v>0</v>
      </c>
      <c r="J105" s="22">
        <v>0</v>
      </c>
      <c r="K105" s="22">
        <v>0</v>
      </c>
      <c r="L105" s="22">
        <v>0.22</v>
      </c>
      <c r="M105" s="10"/>
      <c r="N105" s="67"/>
      <c r="O105" s="11"/>
    </row>
    <row r="106" spans="1:15" s="4" customFormat="1" x14ac:dyDescent="0.25">
      <c r="A106" s="6">
        <v>54</v>
      </c>
      <c r="B106" s="5" t="s">
        <v>550</v>
      </c>
      <c r="C106" s="5" t="s">
        <v>17</v>
      </c>
      <c r="D106" s="5" t="s">
        <v>31</v>
      </c>
      <c r="E106" s="5" t="s">
        <v>32</v>
      </c>
      <c r="F106" s="5" t="s">
        <v>552</v>
      </c>
      <c r="G106" s="22">
        <v>0</v>
      </c>
      <c r="H106" s="22">
        <v>0</v>
      </c>
      <c r="I106" s="22">
        <v>1.24</v>
      </c>
      <c r="J106" s="22">
        <v>0</v>
      </c>
      <c r="K106" s="22">
        <v>-0.02</v>
      </c>
      <c r="L106" s="22">
        <v>1.22</v>
      </c>
      <c r="M106" s="10"/>
      <c r="N106" s="67"/>
      <c r="O106" s="11"/>
    </row>
    <row r="107" spans="1:15" x14ac:dyDescent="0.25">
      <c r="A107" s="6">
        <v>55</v>
      </c>
      <c r="B107" s="5" t="s">
        <v>550</v>
      </c>
      <c r="C107" s="5" t="s">
        <v>13</v>
      </c>
      <c r="D107" s="5" t="s">
        <v>31</v>
      </c>
      <c r="E107" s="5" t="s">
        <v>32</v>
      </c>
      <c r="F107" s="5" t="s">
        <v>552</v>
      </c>
      <c r="G107" s="22">
        <v>0</v>
      </c>
      <c r="H107" s="22">
        <v>0</v>
      </c>
      <c r="I107" s="22">
        <v>0</v>
      </c>
      <c r="J107" s="22">
        <v>0</v>
      </c>
      <c r="K107" s="22">
        <v>0</v>
      </c>
      <c r="L107" s="22">
        <v>0</v>
      </c>
      <c r="M107" s="10"/>
      <c r="O107" s="11"/>
    </row>
    <row r="108" spans="1:15" x14ac:dyDescent="0.25">
      <c r="A108" s="6">
        <v>56</v>
      </c>
      <c r="B108" s="5" t="s">
        <v>550</v>
      </c>
      <c r="C108" s="5" t="s">
        <v>13</v>
      </c>
      <c r="D108" s="5" t="s">
        <v>31</v>
      </c>
      <c r="E108" s="5" t="s">
        <v>32</v>
      </c>
      <c r="F108" s="5" t="s">
        <v>552</v>
      </c>
      <c r="G108" s="22">
        <v>0</v>
      </c>
      <c r="H108" s="22">
        <v>0</v>
      </c>
      <c r="I108" s="22">
        <v>0</v>
      </c>
      <c r="J108" s="22">
        <v>0.03</v>
      </c>
      <c r="K108" s="22">
        <v>0</v>
      </c>
      <c r="L108" s="22">
        <v>0.03</v>
      </c>
      <c r="M108" s="10"/>
      <c r="O108" s="11"/>
    </row>
    <row r="109" spans="1:15" s="4" customFormat="1" x14ac:dyDescent="0.25">
      <c r="A109" s="6"/>
      <c r="B109" s="5"/>
      <c r="C109" s="5"/>
      <c r="D109" s="5" t="s">
        <v>31</v>
      </c>
      <c r="E109" s="5" t="s">
        <v>32</v>
      </c>
      <c r="F109" s="5" t="s">
        <v>552</v>
      </c>
      <c r="G109" s="14">
        <f t="shared" ref="G109:L109" si="23">SUBTOTAL(9,G103:G108)</f>
        <v>0.25</v>
      </c>
      <c r="H109" s="14">
        <f t="shared" si="23"/>
        <v>0</v>
      </c>
      <c r="I109" s="14">
        <f t="shared" si="23"/>
        <v>26.169999999999998</v>
      </c>
      <c r="J109" s="14">
        <f t="shared" si="23"/>
        <v>0.03</v>
      </c>
      <c r="K109" s="14">
        <f t="shared" si="23"/>
        <v>-0.52</v>
      </c>
      <c r="L109" s="14">
        <f t="shared" si="23"/>
        <v>25.93</v>
      </c>
      <c r="M109" s="10">
        <v>2172</v>
      </c>
      <c r="N109" s="69"/>
      <c r="O109" s="11">
        <f>O101+1</f>
        <v>24</v>
      </c>
    </row>
    <row r="110" spans="1:15" s="4" customFormat="1" x14ac:dyDescent="0.25">
      <c r="A110" s="10"/>
      <c r="B110"/>
      <c r="C110"/>
      <c r="D110"/>
      <c r="E110"/>
      <c r="F110"/>
      <c r="G110" s="21"/>
      <c r="H110" s="21"/>
      <c r="I110" s="21"/>
      <c r="J110" s="21"/>
      <c r="K110" s="21"/>
      <c r="L110" s="21"/>
      <c r="M110" s="10"/>
      <c r="N110" s="67"/>
      <c r="O110" s="11"/>
    </row>
    <row r="111" spans="1:15" x14ac:dyDescent="0.25">
      <c r="A111" s="6">
        <v>57</v>
      </c>
      <c r="B111" s="5" t="s">
        <v>18</v>
      </c>
      <c r="C111" s="5" t="s">
        <v>17</v>
      </c>
      <c r="D111" s="5" t="s">
        <v>35</v>
      </c>
      <c r="E111" s="5" t="s">
        <v>36</v>
      </c>
      <c r="F111" s="5" t="s">
        <v>19</v>
      </c>
      <c r="G111" s="22">
        <v>4.29</v>
      </c>
      <c r="H111" s="22">
        <v>0</v>
      </c>
      <c r="I111" s="22">
        <v>0</v>
      </c>
      <c r="J111" s="22">
        <v>0</v>
      </c>
      <c r="K111" s="22">
        <v>-3.8</v>
      </c>
      <c r="L111" s="22">
        <v>0.49</v>
      </c>
      <c r="M111" s="10"/>
      <c r="O111" s="11"/>
    </row>
    <row r="112" spans="1:15" x14ac:dyDescent="0.25">
      <c r="A112" s="6"/>
      <c r="B112" s="5"/>
      <c r="C112" s="5"/>
      <c r="D112" s="5" t="s">
        <v>35</v>
      </c>
      <c r="E112" s="5" t="s">
        <v>36</v>
      </c>
      <c r="F112" s="5" t="s">
        <v>19</v>
      </c>
      <c r="G112" s="14">
        <f t="shared" ref="G112:L112" si="24">SUBTOTAL(9,G111:G111)</f>
        <v>4.29</v>
      </c>
      <c r="H112" s="14">
        <f t="shared" si="24"/>
        <v>0</v>
      </c>
      <c r="I112" s="14">
        <f t="shared" si="24"/>
        <v>0</v>
      </c>
      <c r="J112" s="14">
        <f t="shared" si="24"/>
        <v>0</v>
      </c>
      <c r="K112" s="14">
        <f t="shared" si="24"/>
        <v>-3.8</v>
      </c>
      <c r="L112" s="14">
        <f t="shared" si="24"/>
        <v>0.49</v>
      </c>
      <c r="M112" s="10">
        <v>2173</v>
      </c>
      <c r="N112" s="69"/>
      <c r="O112" s="11">
        <f>O109+1</f>
        <v>25</v>
      </c>
    </row>
    <row r="113" spans="1:15" s="4" customFormat="1" x14ac:dyDescent="0.25">
      <c r="A113" s="10"/>
      <c r="B113"/>
      <c r="C113"/>
      <c r="D113"/>
      <c r="E113"/>
      <c r="F113"/>
      <c r="G113" s="21"/>
      <c r="H113" s="21"/>
      <c r="I113" s="21"/>
      <c r="J113" s="21"/>
      <c r="K113" s="21"/>
      <c r="L113" s="21"/>
      <c r="M113" s="10"/>
      <c r="N113" s="67"/>
      <c r="O113" s="11"/>
    </row>
    <row r="114" spans="1:15" s="4" customFormat="1" x14ac:dyDescent="0.25">
      <c r="A114" s="6">
        <v>58</v>
      </c>
      <c r="B114" s="5" t="s">
        <v>550</v>
      </c>
      <c r="C114" s="5" t="s">
        <v>17</v>
      </c>
      <c r="D114" s="5" t="s">
        <v>35</v>
      </c>
      <c r="E114" s="5" t="s">
        <v>36</v>
      </c>
      <c r="F114" s="5" t="s">
        <v>551</v>
      </c>
      <c r="G114" s="22">
        <v>116577.93</v>
      </c>
      <c r="H114" s="22">
        <v>0</v>
      </c>
      <c r="I114" s="22">
        <v>0</v>
      </c>
      <c r="J114" s="22">
        <v>0</v>
      </c>
      <c r="K114" s="22">
        <v>-2331.56</v>
      </c>
      <c r="L114" s="22">
        <v>114246.37</v>
      </c>
      <c r="M114" s="10"/>
      <c r="N114" s="67"/>
      <c r="O114" s="11"/>
    </row>
    <row r="115" spans="1:15" x14ac:dyDescent="0.25">
      <c r="A115" s="6">
        <v>59</v>
      </c>
      <c r="B115" s="5" t="s">
        <v>550</v>
      </c>
      <c r="C115" s="5" t="s">
        <v>13</v>
      </c>
      <c r="D115" s="5" t="s">
        <v>35</v>
      </c>
      <c r="E115" s="5" t="s">
        <v>36</v>
      </c>
      <c r="F115" s="5" t="s">
        <v>551</v>
      </c>
      <c r="G115" s="22">
        <v>0</v>
      </c>
      <c r="H115" s="22">
        <v>0</v>
      </c>
      <c r="I115" s="22">
        <v>0</v>
      </c>
      <c r="J115" s="22">
        <v>13509.99</v>
      </c>
      <c r="K115" s="22">
        <v>0</v>
      </c>
      <c r="L115" s="22">
        <v>13509.99</v>
      </c>
      <c r="M115" s="10"/>
      <c r="O115" s="11"/>
    </row>
    <row r="116" spans="1:15" x14ac:dyDescent="0.25">
      <c r="A116" s="6"/>
      <c r="B116" s="5"/>
      <c r="C116" s="5"/>
      <c r="D116" s="5" t="s">
        <v>35</v>
      </c>
      <c r="E116" s="5" t="s">
        <v>36</v>
      </c>
      <c r="F116" s="5" t="s">
        <v>551</v>
      </c>
      <c r="G116" s="14">
        <f t="shared" ref="G116:L116" si="25">SUBTOTAL(9,G114:G115)</f>
        <v>116577.93</v>
      </c>
      <c r="H116" s="14">
        <f t="shared" si="25"/>
        <v>0</v>
      </c>
      <c r="I116" s="14">
        <f t="shared" si="25"/>
        <v>0</v>
      </c>
      <c r="J116" s="14">
        <f t="shared" si="25"/>
        <v>13509.99</v>
      </c>
      <c r="K116" s="14">
        <f t="shared" si="25"/>
        <v>-2331.56</v>
      </c>
      <c r="L116" s="14">
        <f t="shared" si="25"/>
        <v>127756.36</v>
      </c>
      <c r="M116" s="10">
        <v>2174</v>
      </c>
      <c r="N116" s="69"/>
      <c r="O116" s="11">
        <f>O112+1</f>
        <v>26</v>
      </c>
    </row>
    <row r="117" spans="1:15" s="4" customFormat="1" x14ac:dyDescent="0.25">
      <c r="A117" s="10"/>
      <c r="B117"/>
      <c r="C117"/>
      <c r="D117"/>
      <c r="E117"/>
      <c r="F117"/>
      <c r="G117" s="21"/>
      <c r="H117" s="21"/>
      <c r="I117" s="21"/>
      <c r="J117" s="21"/>
      <c r="K117" s="21"/>
      <c r="L117" s="21"/>
      <c r="M117" s="10"/>
      <c r="N117" s="67"/>
      <c r="O117" s="11"/>
    </row>
    <row r="118" spans="1:15" s="4" customFormat="1" x14ac:dyDescent="0.25">
      <c r="A118" s="6">
        <v>60</v>
      </c>
      <c r="B118" s="5" t="s">
        <v>550</v>
      </c>
      <c r="C118" s="5" t="s">
        <v>17</v>
      </c>
      <c r="D118" s="5" t="s">
        <v>35</v>
      </c>
      <c r="E118" s="5" t="s">
        <v>36</v>
      </c>
      <c r="F118" s="5" t="s">
        <v>552</v>
      </c>
      <c r="G118" s="22">
        <v>8.39</v>
      </c>
      <c r="H118" s="22">
        <v>0</v>
      </c>
      <c r="I118" s="22">
        <v>0</v>
      </c>
      <c r="J118" s="22">
        <v>0</v>
      </c>
      <c r="K118" s="22">
        <v>-0.17</v>
      </c>
      <c r="L118" s="22">
        <v>8.2200000000000006</v>
      </c>
      <c r="M118" s="10"/>
      <c r="N118" s="67"/>
      <c r="O118" s="11"/>
    </row>
    <row r="119" spans="1:15" x14ac:dyDescent="0.25">
      <c r="A119" s="6">
        <v>61</v>
      </c>
      <c r="B119" s="5" t="s">
        <v>550</v>
      </c>
      <c r="C119" s="5" t="s">
        <v>13</v>
      </c>
      <c r="D119" s="5" t="s">
        <v>35</v>
      </c>
      <c r="E119" s="5" t="s">
        <v>36</v>
      </c>
      <c r="F119" s="5" t="s">
        <v>552</v>
      </c>
      <c r="G119" s="22">
        <v>0</v>
      </c>
      <c r="H119" s="22">
        <v>0</v>
      </c>
      <c r="I119" s="22">
        <v>0</v>
      </c>
      <c r="J119" s="22">
        <v>0.98</v>
      </c>
      <c r="K119" s="22">
        <v>0</v>
      </c>
      <c r="L119" s="22">
        <v>0.98</v>
      </c>
      <c r="M119" s="10"/>
      <c r="O119" s="11"/>
    </row>
    <row r="120" spans="1:15" x14ac:dyDescent="0.25">
      <c r="A120" s="6"/>
      <c r="B120" s="5"/>
      <c r="C120" s="5"/>
      <c r="D120" s="5" t="s">
        <v>35</v>
      </c>
      <c r="E120" s="5" t="s">
        <v>36</v>
      </c>
      <c r="F120" s="5" t="s">
        <v>552</v>
      </c>
      <c r="G120" s="14">
        <f t="shared" ref="G120:L120" si="26">SUBTOTAL(9,G118:G119)</f>
        <v>8.39</v>
      </c>
      <c r="H120" s="14">
        <f t="shared" si="26"/>
        <v>0</v>
      </c>
      <c r="I120" s="14">
        <f t="shared" si="26"/>
        <v>0</v>
      </c>
      <c r="J120" s="14">
        <f t="shared" si="26"/>
        <v>0.98</v>
      </c>
      <c r="K120" s="14">
        <f t="shared" si="26"/>
        <v>-0.17</v>
      </c>
      <c r="L120" s="14">
        <f t="shared" si="26"/>
        <v>9.2000000000000011</v>
      </c>
      <c r="M120" s="10">
        <v>2175</v>
      </c>
      <c r="N120" s="69"/>
      <c r="O120" s="11">
        <f>O116+1</f>
        <v>27</v>
      </c>
    </row>
    <row r="121" spans="1:15" s="4" customFormat="1" x14ac:dyDescent="0.25">
      <c r="A121" s="10"/>
      <c r="B121"/>
      <c r="C121"/>
      <c r="D121"/>
      <c r="E121"/>
      <c r="F121"/>
      <c r="G121" s="21"/>
      <c r="H121" s="21"/>
      <c r="I121" s="21"/>
      <c r="J121" s="21"/>
      <c r="K121" s="21"/>
      <c r="L121" s="21"/>
      <c r="M121" s="10"/>
      <c r="N121" s="67"/>
      <c r="O121" s="11"/>
    </row>
    <row r="122" spans="1:15" s="4" customFormat="1" x14ac:dyDescent="0.25">
      <c r="A122" s="6">
        <v>62</v>
      </c>
      <c r="B122" s="5" t="s">
        <v>555</v>
      </c>
      <c r="C122" s="5" t="s">
        <v>17</v>
      </c>
      <c r="D122" s="5" t="s">
        <v>39</v>
      </c>
      <c r="E122" s="5" t="s">
        <v>40</v>
      </c>
      <c r="F122" s="5" t="s">
        <v>556</v>
      </c>
      <c r="G122" s="22">
        <v>772.72</v>
      </c>
      <c r="H122" s="22">
        <v>0</v>
      </c>
      <c r="I122" s="22">
        <v>0</v>
      </c>
      <c r="J122" s="22">
        <v>0</v>
      </c>
      <c r="K122" s="22">
        <v>-15.45</v>
      </c>
      <c r="L122" s="22">
        <v>757.27</v>
      </c>
      <c r="M122" s="10"/>
      <c r="N122" s="67"/>
      <c r="O122" s="11"/>
    </row>
    <row r="123" spans="1:15" x14ac:dyDescent="0.25">
      <c r="A123" s="6">
        <v>63</v>
      </c>
      <c r="B123" s="5" t="s">
        <v>555</v>
      </c>
      <c r="C123" s="5" t="s">
        <v>13</v>
      </c>
      <c r="D123" s="5" t="s">
        <v>39</v>
      </c>
      <c r="E123" s="5" t="s">
        <v>40</v>
      </c>
      <c r="F123" s="5" t="s">
        <v>556</v>
      </c>
      <c r="G123" s="22">
        <v>0</v>
      </c>
      <c r="H123" s="22">
        <v>0</v>
      </c>
      <c r="I123" s="22">
        <v>0</v>
      </c>
      <c r="J123" s="22">
        <v>92.73</v>
      </c>
      <c r="K123" s="22">
        <v>0</v>
      </c>
      <c r="L123" s="22">
        <v>92.73</v>
      </c>
      <c r="M123" s="10"/>
      <c r="O123" s="11"/>
    </row>
    <row r="124" spans="1:15" x14ac:dyDescent="0.25">
      <c r="A124" s="6"/>
      <c r="B124" s="5"/>
      <c r="C124" s="5"/>
      <c r="D124" s="5" t="s">
        <v>39</v>
      </c>
      <c r="E124" s="5" t="s">
        <v>40</v>
      </c>
      <c r="F124" s="5" t="s">
        <v>556</v>
      </c>
      <c r="G124" s="14">
        <f t="shared" ref="G124:L124" si="27">SUBTOTAL(9,G122:G123)</f>
        <v>772.72</v>
      </c>
      <c r="H124" s="14">
        <f t="shared" si="27"/>
        <v>0</v>
      </c>
      <c r="I124" s="14">
        <f t="shared" si="27"/>
        <v>0</v>
      </c>
      <c r="J124" s="14">
        <f t="shared" si="27"/>
        <v>92.73</v>
      </c>
      <c r="K124" s="14">
        <f t="shared" si="27"/>
        <v>-15.45</v>
      </c>
      <c r="L124" s="14">
        <f t="shared" si="27"/>
        <v>850</v>
      </c>
      <c r="M124" s="10">
        <v>2176</v>
      </c>
      <c r="N124" s="69"/>
      <c r="O124" s="11">
        <f>O120+1</f>
        <v>28</v>
      </c>
    </row>
    <row r="125" spans="1:15" s="4" customFormat="1" x14ac:dyDescent="0.25">
      <c r="A125" s="10"/>
      <c r="B125"/>
      <c r="C125"/>
      <c r="D125"/>
      <c r="E125"/>
      <c r="F125"/>
      <c r="G125" s="21"/>
      <c r="H125" s="21"/>
      <c r="I125" s="21"/>
      <c r="J125" s="21"/>
      <c r="K125" s="21"/>
      <c r="L125" s="21"/>
      <c r="M125" s="10"/>
      <c r="N125" s="67"/>
      <c r="O125" s="11"/>
    </row>
    <row r="126" spans="1:15" x14ac:dyDescent="0.25">
      <c r="A126" s="6">
        <v>64</v>
      </c>
      <c r="B126" s="5" t="s">
        <v>557</v>
      </c>
      <c r="C126" s="5" t="s">
        <v>17</v>
      </c>
      <c r="D126" s="5" t="s">
        <v>39</v>
      </c>
      <c r="E126" s="5" t="s">
        <v>40</v>
      </c>
      <c r="F126" s="5" t="s">
        <v>558</v>
      </c>
      <c r="G126" s="22">
        <v>465.16</v>
      </c>
      <c r="H126" s="22">
        <v>0</v>
      </c>
      <c r="I126" s="22">
        <v>0</v>
      </c>
      <c r="J126" s="22">
        <v>0</v>
      </c>
      <c r="K126" s="22">
        <v>-9.3000000000000007</v>
      </c>
      <c r="L126" s="22">
        <v>455.86</v>
      </c>
      <c r="M126" s="10"/>
      <c r="O126" s="11"/>
    </row>
    <row r="127" spans="1:15" x14ac:dyDescent="0.25">
      <c r="A127" s="6">
        <v>65</v>
      </c>
      <c r="B127" s="5" t="s">
        <v>557</v>
      </c>
      <c r="C127" s="5" t="s">
        <v>13</v>
      </c>
      <c r="D127" s="5" t="s">
        <v>39</v>
      </c>
      <c r="E127" s="5" t="s">
        <v>40</v>
      </c>
      <c r="F127" s="5" t="s">
        <v>558</v>
      </c>
      <c r="G127" s="22">
        <v>0</v>
      </c>
      <c r="H127" s="22">
        <v>0</v>
      </c>
      <c r="I127" s="22">
        <v>0</v>
      </c>
      <c r="J127" s="22">
        <v>55.82</v>
      </c>
      <c r="K127" s="22">
        <v>0</v>
      </c>
      <c r="L127" s="22">
        <v>55.82</v>
      </c>
      <c r="M127" s="10"/>
      <c r="O127" s="11"/>
    </row>
    <row r="128" spans="1:15" s="4" customFormat="1" x14ac:dyDescent="0.25">
      <c r="A128" s="6"/>
      <c r="B128" s="5"/>
      <c r="C128" s="5"/>
      <c r="D128" s="5" t="s">
        <v>39</v>
      </c>
      <c r="E128" s="5" t="s">
        <v>40</v>
      </c>
      <c r="F128" s="5" t="s">
        <v>558</v>
      </c>
      <c r="G128" s="14">
        <f t="shared" ref="G128:L128" si="28">SUBTOTAL(9,G126:G127)</f>
        <v>465.16</v>
      </c>
      <c r="H128" s="14">
        <f t="shared" si="28"/>
        <v>0</v>
      </c>
      <c r="I128" s="14">
        <f t="shared" si="28"/>
        <v>0</v>
      </c>
      <c r="J128" s="14">
        <f t="shared" si="28"/>
        <v>55.82</v>
      </c>
      <c r="K128" s="14">
        <f t="shared" si="28"/>
        <v>-9.3000000000000007</v>
      </c>
      <c r="L128" s="14">
        <f t="shared" si="28"/>
        <v>511.68</v>
      </c>
      <c r="M128" s="10">
        <v>2177</v>
      </c>
      <c r="N128" s="69"/>
      <c r="O128" s="11">
        <f>O124+1</f>
        <v>29</v>
      </c>
    </row>
    <row r="129" spans="1:15" x14ac:dyDescent="0.25">
      <c r="A129" s="10"/>
      <c r="G129" s="21"/>
      <c r="H129" s="21"/>
      <c r="I129" s="21"/>
      <c r="J129" s="21"/>
      <c r="K129" s="21"/>
      <c r="L129" s="21"/>
      <c r="M129" s="10"/>
      <c r="O129" s="11"/>
    </row>
    <row r="130" spans="1:15" x14ac:dyDescent="0.25">
      <c r="A130" s="6">
        <v>66</v>
      </c>
      <c r="B130" s="5" t="s">
        <v>566</v>
      </c>
      <c r="C130" s="5" t="s">
        <v>17</v>
      </c>
      <c r="D130" s="5" t="s">
        <v>39</v>
      </c>
      <c r="E130" s="5" t="s">
        <v>40</v>
      </c>
      <c r="F130" s="5" t="s">
        <v>567</v>
      </c>
      <c r="G130" s="22">
        <v>0.2</v>
      </c>
      <c r="H130" s="22">
        <v>0</v>
      </c>
      <c r="I130" s="22">
        <v>0</v>
      </c>
      <c r="J130" s="22">
        <v>0</v>
      </c>
      <c r="K130" s="22">
        <v>0</v>
      </c>
      <c r="L130" s="22">
        <v>0.2</v>
      </c>
      <c r="M130" s="10"/>
      <c r="O130" s="11"/>
    </row>
    <row r="131" spans="1:15" s="4" customFormat="1" x14ac:dyDescent="0.25">
      <c r="A131" s="6">
        <v>67</v>
      </c>
      <c r="B131" s="5" t="s">
        <v>566</v>
      </c>
      <c r="C131" s="5" t="s">
        <v>13</v>
      </c>
      <c r="D131" s="5" t="s">
        <v>39</v>
      </c>
      <c r="E131" s="5" t="s">
        <v>40</v>
      </c>
      <c r="F131" s="5" t="s">
        <v>567</v>
      </c>
      <c r="G131" s="22">
        <v>0</v>
      </c>
      <c r="H131" s="22">
        <v>0</v>
      </c>
      <c r="I131" s="22">
        <v>0</v>
      </c>
      <c r="J131" s="22">
        <v>0.02</v>
      </c>
      <c r="K131" s="22">
        <v>0</v>
      </c>
      <c r="L131" s="22">
        <v>0.02</v>
      </c>
      <c r="M131" s="10"/>
      <c r="N131" s="67"/>
      <c r="O131" s="11"/>
    </row>
    <row r="132" spans="1:15" s="4" customFormat="1" x14ac:dyDescent="0.25">
      <c r="A132" s="6"/>
      <c r="B132" s="5"/>
      <c r="C132" s="5"/>
      <c r="D132" s="5" t="s">
        <v>39</v>
      </c>
      <c r="E132" s="5" t="s">
        <v>40</v>
      </c>
      <c r="F132" s="5" t="s">
        <v>567</v>
      </c>
      <c r="G132" s="14">
        <f t="shared" ref="G132:L132" si="29">SUBTOTAL(9,G130:G131)</f>
        <v>0.2</v>
      </c>
      <c r="H132" s="14">
        <f t="shared" si="29"/>
        <v>0</v>
      </c>
      <c r="I132" s="14">
        <f t="shared" si="29"/>
        <v>0</v>
      </c>
      <c r="J132" s="14">
        <f t="shared" si="29"/>
        <v>0.02</v>
      </c>
      <c r="K132" s="14">
        <f t="shared" si="29"/>
        <v>0</v>
      </c>
      <c r="L132" s="14">
        <f t="shared" si="29"/>
        <v>0.22</v>
      </c>
      <c r="M132" s="10">
        <v>2178</v>
      </c>
      <c r="N132" s="69"/>
      <c r="O132" s="11">
        <f>O128+1</f>
        <v>30</v>
      </c>
    </row>
    <row r="133" spans="1:15" x14ac:dyDescent="0.25">
      <c r="A133" s="10"/>
      <c r="G133" s="21"/>
      <c r="H133" s="21"/>
      <c r="I133" s="21"/>
      <c r="J133" s="21"/>
      <c r="K133" s="21"/>
      <c r="L133" s="21"/>
      <c r="M133" s="10"/>
      <c r="O133" s="11"/>
    </row>
    <row r="134" spans="1:15" x14ac:dyDescent="0.25">
      <c r="A134" s="6">
        <v>68</v>
      </c>
      <c r="B134" s="5" t="s">
        <v>18</v>
      </c>
      <c r="C134" s="5" t="s">
        <v>17</v>
      </c>
      <c r="D134" s="5" t="s">
        <v>39</v>
      </c>
      <c r="E134" s="5" t="s">
        <v>40</v>
      </c>
      <c r="F134" s="5" t="s">
        <v>19</v>
      </c>
      <c r="G134" s="22">
        <v>5.17</v>
      </c>
      <c r="H134" s="22">
        <v>0</v>
      </c>
      <c r="I134" s="22">
        <v>0</v>
      </c>
      <c r="J134" s="22">
        <v>0</v>
      </c>
      <c r="K134" s="22">
        <v>-4.59</v>
      </c>
      <c r="L134" s="22">
        <v>0.57999999999999996</v>
      </c>
      <c r="M134" s="10"/>
      <c r="O134" s="11"/>
    </row>
    <row r="135" spans="1:15" s="4" customFormat="1" x14ac:dyDescent="0.25">
      <c r="A135" s="6"/>
      <c r="B135" s="5"/>
      <c r="C135" s="5"/>
      <c r="D135" s="5" t="s">
        <v>39</v>
      </c>
      <c r="E135" s="5" t="s">
        <v>40</v>
      </c>
      <c r="F135" s="5" t="s">
        <v>19</v>
      </c>
      <c r="G135" s="14">
        <f t="shared" ref="G135:L135" si="30">SUBTOTAL(9,G134:G134)</f>
        <v>5.17</v>
      </c>
      <c r="H135" s="14">
        <f t="shared" si="30"/>
        <v>0</v>
      </c>
      <c r="I135" s="14">
        <f t="shared" si="30"/>
        <v>0</v>
      </c>
      <c r="J135" s="14">
        <f t="shared" si="30"/>
        <v>0</v>
      </c>
      <c r="K135" s="14">
        <f t="shared" si="30"/>
        <v>-4.59</v>
      </c>
      <c r="L135" s="14">
        <f t="shared" si="30"/>
        <v>0.57999999999999996</v>
      </c>
      <c r="M135" s="10">
        <v>2179</v>
      </c>
      <c r="N135" s="69"/>
      <c r="O135" s="11">
        <f>O132+1</f>
        <v>31</v>
      </c>
    </row>
    <row r="136" spans="1:15" s="4" customFormat="1" x14ac:dyDescent="0.25">
      <c r="A136" s="10"/>
      <c r="B136"/>
      <c r="C136"/>
      <c r="D136"/>
      <c r="E136"/>
      <c r="F136"/>
      <c r="G136" s="21"/>
      <c r="H136" s="21"/>
      <c r="I136" s="21"/>
      <c r="J136" s="21"/>
      <c r="K136" s="21"/>
      <c r="L136" s="21"/>
      <c r="M136" s="10"/>
      <c r="N136" s="67"/>
      <c r="O136" s="11"/>
    </row>
    <row r="137" spans="1:15" x14ac:dyDescent="0.25">
      <c r="A137" s="6">
        <v>69</v>
      </c>
      <c r="B137" s="5" t="s">
        <v>550</v>
      </c>
      <c r="C137" s="5" t="s">
        <v>17</v>
      </c>
      <c r="D137" s="5" t="s">
        <v>39</v>
      </c>
      <c r="E137" s="5" t="s">
        <v>40</v>
      </c>
      <c r="F137" s="5" t="s">
        <v>551</v>
      </c>
      <c r="G137" s="22">
        <v>62570.15</v>
      </c>
      <c r="H137" s="22">
        <v>0</v>
      </c>
      <c r="I137" s="22">
        <v>0</v>
      </c>
      <c r="J137" s="22">
        <v>0</v>
      </c>
      <c r="K137" s="22">
        <v>-1251.4000000000001</v>
      </c>
      <c r="L137" s="22">
        <v>61318.75</v>
      </c>
      <c r="M137" s="10"/>
      <c r="O137" s="11"/>
    </row>
    <row r="138" spans="1:15" x14ac:dyDescent="0.25">
      <c r="A138" s="6">
        <v>70</v>
      </c>
      <c r="B138" s="5" t="s">
        <v>550</v>
      </c>
      <c r="C138" s="5" t="s">
        <v>17</v>
      </c>
      <c r="D138" s="5" t="s">
        <v>39</v>
      </c>
      <c r="E138" s="5" t="s">
        <v>40</v>
      </c>
      <c r="F138" s="5" t="s">
        <v>551</v>
      </c>
      <c r="G138" s="22">
        <v>7357.81</v>
      </c>
      <c r="H138" s="22">
        <v>0</v>
      </c>
      <c r="I138" s="22">
        <v>0</v>
      </c>
      <c r="J138" s="22">
        <v>0</v>
      </c>
      <c r="K138" s="22">
        <v>-147.16</v>
      </c>
      <c r="L138" s="22">
        <v>7210.65</v>
      </c>
      <c r="M138" s="10"/>
      <c r="O138" s="11"/>
    </row>
    <row r="139" spans="1:15" s="4" customFormat="1" x14ac:dyDescent="0.25">
      <c r="A139" s="6">
        <v>71</v>
      </c>
      <c r="B139" s="5" t="s">
        <v>550</v>
      </c>
      <c r="C139" s="5" t="s">
        <v>13</v>
      </c>
      <c r="D139" s="5" t="s">
        <v>39</v>
      </c>
      <c r="E139" s="5" t="s">
        <v>40</v>
      </c>
      <c r="F139" s="5" t="s">
        <v>551</v>
      </c>
      <c r="G139" s="22">
        <v>0</v>
      </c>
      <c r="H139" s="22">
        <v>0</v>
      </c>
      <c r="I139" s="22">
        <v>0</v>
      </c>
      <c r="J139" s="22">
        <v>7508.42</v>
      </c>
      <c r="K139" s="22">
        <v>0</v>
      </c>
      <c r="L139" s="22">
        <v>7508.42</v>
      </c>
      <c r="M139" s="10"/>
      <c r="N139" s="67"/>
      <c r="O139" s="11"/>
    </row>
    <row r="140" spans="1:15" x14ac:dyDescent="0.25">
      <c r="A140" s="6">
        <v>72</v>
      </c>
      <c r="B140" s="5" t="s">
        <v>550</v>
      </c>
      <c r="C140" s="5" t="s">
        <v>13</v>
      </c>
      <c r="D140" s="5" t="s">
        <v>39</v>
      </c>
      <c r="E140" s="5" t="s">
        <v>40</v>
      </c>
      <c r="F140" s="5" t="s">
        <v>551</v>
      </c>
      <c r="G140" s="22">
        <v>0</v>
      </c>
      <c r="H140" s="22">
        <v>0</v>
      </c>
      <c r="I140" s="22">
        <v>0</v>
      </c>
      <c r="J140" s="22">
        <v>882.94</v>
      </c>
      <c r="K140" s="22">
        <v>0</v>
      </c>
      <c r="L140" s="22">
        <v>882.94</v>
      </c>
      <c r="M140" s="10"/>
      <c r="O140" s="11"/>
    </row>
    <row r="141" spans="1:15" x14ac:dyDescent="0.25">
      <c r="A141" s="6"/>
      <c r="B141" s="5"/>
      <c r="C141" s="5"/>
      <c r="D141" s="5" t="s">
        <v>39</v>
      </c>
      <c r="E141" s="5" t="s">
        <v>40</v>
      </c>
      <c r="F141" s="5" t="s">
        <v>551</v>
      </c>
      <c r="G141" s="14">
        <f t="shared" ref="G141:L141" si="31">SUBTOTAL(9,G137:G140)</f>
        <v>69927.960000000006</v>
      </c>
      <c r="H141" s="14">
        <f t="shared" si="31"/>
        <v>0</v>
      </c>
      <c r="I141" s="14">
        <f t="shared" si="31"/>
        <v>0</v>
      </c>
      <c r="J141" s="14">
        <f t="shared" si="31"/>
        <v>8391.36</v>
      </c>
      <c r="K141" s="14">
        <f t="shared" si="31"/>
        <v>-1398.5600000000002</v>
      </c>
      <c r="L141" s="14">
        <f t="shared" si="31"/>
        <v>76920.759999999995</v>
      </c>
      <c r="M141" s="10">
        <v>2180</v>
      </c>
      <c r="N141" s="69"/>
      <c r="O141" s="11">
        <f>O135+1</f>
        <v>32</v>
      </c>
    </row>
    <row r="142" spans="1:15" s="4" customFormat="1" x14ac:dyDescent="0.25">
      <c r="A142" s="10"/>
      <c r="B142"/>
      <c r="C142"/>
      <c r="D142"/>
      <c r="E142"/>
      <c r="F142"/>
      <c r="G142" s="21"/>
      <c r="H142" s="21"/>
      <c r="I142" s="21"/>
      <c r="J142" s="21"/>
      <c r="K142" s="21"/>
      <c r="L142" s="21"/>
      <c r="M142" s="10"/>
      <c r="N142" s="67"/>
      <c r="O142" s="11"/>
    </row>
    <row r="143" spans="1:15" x14ac:dyDescent="0.25">
      <c r="A143" s="6">
        <v>73</v>
      </c>
      <c r="B143" s="5" t="s">
        <v>550</v>
      </c>
      <c r="C143" s="5" t="s">
        <v>17</v>
      </c>
      <c r="D143" s="5" t="s">
        <v>39</v>
      </c>
      <c r="E143" s="5" t="s">
        <v>40</v>
      </c>
      <c r="F143" s="5" t="s">
        <v>552</v>
      </c>
      <c r="G143" s="22">
        <v>4.5</v>
      </c>
      <c r="H143" s="22">
        <v>0</v>
      </c>
      <c r="I143" s="22">
        <v>0</v>
      </c>
      <c r="J143" s="22">
        <v>0</v>
      </c>
      <c r="K143" s="22">
        <v>-0.09</v>
      </c>
      <c r="L143" s="22">
        <v>4.41</v>
      </c>
      <c r="M143" s="10"/>
      <c r="O143" s="11"/>
    </row>
    <row r="144" spans="1:15" x14ac:dyDescent="0.25">
      <c r="A144" s="6">
        <v>74</v>
      </c>
      <c r="B144" s="5" t="s">
        <v>550</v>
      </c>
      <c r="C144" s="5" t="s">
        <v>17</v>
      </c>
      <c r="D144" s="5" t="s">
        <v>39</v>
      </c>
      <c r="E144" s="5" t="s">
        <v>40</v>
      </c>
      <c r="F144" s="5" t="s">
        <v>552</v>
      </c>
      <c r="G144" s="22">
        <v>0.53</v>
      </c>
      <c r="H144" s="22">
        <v>0</v>
      </c>
      <c r="I144" s="22">
        <v>0</v>
      </c>
      <c r="J144" s="22">
        <v>0</v>
      </c>
      <c r="K144" s="22">
        <v>-0.01</v>
      </c>
      <c r="L144" s="22">
        <v>0.52</v>
      </c>
      <c r="M144" s="10"/>
      <c r="O144" s="11"/>
    </row>
    <row r="145" spans="1:15" s="4" customFormat="1" x14ac:dyDescent="0.25">
      <c r="A145" s="6">
        <v>75</v>
      </c>
      <c r="B145" s="5" t="s">
        <v>550</v>
      </c>
      <c r="C145" s="5" t="s">
        <v>13</v>
      </c>
      <c r="D145" s="5" t="s">
        <v>39</v>
      </c>
      <c r="E145" s="5" t="s">
        <v>40</v>
      </c>
      <c r="F145" s="5" t="s">
        <v>552</v>
      </c>
      <c r="G145" s="22">
        <v>0</v>
      </c>
      <c r="H145" s="22">
        <v>0</v>
      </c>
      <c r="I145" s="22">
        <v>0</v>
      </c>
      <c r="J145" s="22">
        <v>0.54</v>
      </c>
      <c r="K145" s="22">
        <v>0</v>
      </c>
      <c r="L145" s="22">
        <v>0.54</v>
      </c>
      <c r="M145" s="10"/>
      <c r="N145" s="67"/>
      <c r="O145" s="11"/>
    </row>
    <row r="146" spans="1:15" x14ac:dyDescent="0.25">
      <c r="A146" s="6">
        <v>76</v>
      </c>
      <c r="B146" s="5" t="s">
        <v>550</v>
      </c>
      <c r="C146" s="5" t="s">
        <v>13</v>
      </c>
      <c r="D146" s="5" t="s">
        <v>39</v>
      </c>
      <c r="E146" s="5" t="s">
        <v>40</v>
      </c>
      <c r="F146" s="5" t="s">
        <v>552</v>
      </c>
      <c r="G146" s="22">
        <v>0</v>
      </c>
      <c r="H146" s="22">
        <v>0</v>
      </c>
      <c r="I146" s="22">
        <v>0</v>
      </c>
      <c r="J146" s="22">
        <v>0.06</v>
      </c>
      <c r="K146" s="22">
        <v>0</v>
      </c>
      <c r="L146" s="22">
        <v>0.06</v>
      </c>
      <c r="M146" s="10"/>
      <c r="O146" s="11"/>
    </row>
    <row r="147" spans="1:15" x14ac:dyDescent="0.25">
      <c r="A147" s="6"/>
      <c r="B147" s="5"/>
      <c r="C147" s="5"/>
      <c r="D147" s="5" t="s">
        <v>39</v>
      </c>
      <c r="E147" s="5" t="s">
        <v>40</v>
      </c>
      <c r="F147" s="5" t="s">
        <v>552</v>
      </c>
      <c r="G147" s="14">
        <f t="shared" ref="G147:L147" si="32">SUBTOTAL(9,G143:G146)</f>
        <v>5.03</v>
      </c>
      <c r="H147" s="14">
        <f t="shared" si="32"/>
        <v>0</v>
      </c>
      <c r="I147" s="14">
        <f t="shared" si="32"/>
        <v>0</v>
      </c>
      <c r="J147" s="14">
        <f t="shared" si="32"/>
        <v>0.60000000000000009</v>
      </c>
      <c r="K147" s="14">
        <f t="shared" si="32"/>
        <v>-9.9999999999999992E-2</v>
      </c>
      <c r="L147" s="14">
        <f t="shared" si="32"/>
        <v>5.5299999999999994</v>
      </c>
      <c r="M147" s="10">
        <v>2181</v>
      </c>
      <c r="N147" s="69"/>
      <c r="O147" s="11">
        <f>O141+1</f>
        <v>33</v>
      </c>
    </row>
    <row r="148" spans="1:15" s="4" customFormat="1" x14ac:dyDescent="0.25">
      <c r="A148" s="10"/>
      <c r="B148"/>
      <c r="C148"/>
      <c r="D148"/>
      <c r="E148"/>
      <c r="F148"/>
      <c r="G148" s="21"/>
      <c r="H148" s="21"/>
      <c r="I148" s="21"/>
      <c r="J148" s="21"/>
      <c r="K148" s="21"/>
      <c r="L148" s="21"/>
      <c r="M148" s="10"/>
      <c r="N148" s="67"/>
      <c r="O148" s="11"/>
    </row>
    <row r="149" spans="1:15" x14ac:dyDescent="0.25">
      <c r="A149" s="6">
        <v>77</v>
      </c>
      <c r="B149" s="5" t="s">
        <v>18</v>
      </c>
      <c r="C149" s="5" t="s">
        <v>17</v>
      </c>
      <c r="D149" s="5" t="s">
        <v>41</v>
      </c>
      <c r="E149" s="5" t="s">
        <v>42</v>
      </c>
      <c r="F149" s="5" t="s">
        <v>19</v>
      </c>
      <c r="G149" s="22">
        <v>0</v>
      </c>
      <c r="H149" s="22">
        <v>0</v>
      </c>
      <c r="I149" s="22">
        <v>2.66</v>
      </c>
      <c r="J149" s="22">
        <v>0</v>
      </c>
      <c r="K149" s="22">
        <v>-0.31</v>
      </c>
      <c r="L149" s="22">
        <v>2.35</v>
      </c>
      <c r="M149" s="10"/>
      <c r="O149" s="11"/>
    </row>
    <row r="150" spans="1:15" x14ac:dyDescent="0.25">
      <c r="A150" s="6"/>
      <c r="B150" s="5"/>
      <c r="C150" s="5"/>
      <c r="D150" s="5" t="s">
        <v>41</v>
      </c>
      <c r="E150" s="5" t="s">
        <v>42</v>
      </c>
      <c r="F150" s="5" t="s">
        <v>19</v>
      </c>
      <c r="G150" s="14">
        <f t="shared" ref="G150:L150" si="33">SUBTOTAL(9,G149:G149)</f>
        <v>0</v>
      </c>
      <c r="H150" s="14">
        <f t="shared" si="33"/>
        <v>0</v>
      </c>
      <c r="I150" s="14">
        <f t="shared" si="33"/>
        <v>2.66</v>
      </c>
      <c r="J150" s="14">
        <f t="shared" si="33"/>
        <v>0</v>
      </c>
      <c r="K150" s="14">
        <f t="shared" si="33"/>
        <v>-0.31</v>
      </c>
      <c r="L150" s="14">
        <f t="shared" si="33"/>
        <v>2.35</v>
      </c>
      <c r="M150" s="10">
        <v>2182</v>
      </c>
      <c r="N150" s="69"/>
      <c r="O150" s="11">
        <f>O147+1</f>
        <v>34</v>
      </c>
    </row>
    <row r="151" spans="1:15" s="4" customFormat="1" x14ac:dyDescent="0.25">
      <c r="A151" s="10"/>
      <c r="B151"/>
      <c r="C151"/>
      <c r="D151"/>
      <c r="E151"/>
      <c r="F151"/>
      <c r="G151" s="21"/>
      <c r="H151" s="21"/>
      <c r="I151" s="21"/>
      <c r="J151" s="21"/>
      <c r="K151" s="21"/>
      <c r="L151" s="21"/>
      <c r="M151" s="10"/>
      <c r="N151" s="67"/>
      <c r="O151" s="11"/>
    </row>
    <row r="152" spans="1:15" x14ac:dyDescent="0.25">
      <c r="A152" s="6">
        <v>78</v>
      </c>
      <c r="B152" s="5" t="s">
        <v>550</v>
      </c>
      <c r="C152" s="5" t="s">
        <v>17</v>
      </c>
      <c r="D152" s="5" t="s">
        <v>41</v>
      </c>
      <c r="E152" s="5" t="s">
        <v>42</v>
      </c>
      <c r="F152" s="5" t="s">
        <v>551</v>
      </c>
      <c r="G152" s="22">
        <v>0</v>
      </c>
      <c r="H152" s="22">
        <v>0</v>
      </c>
      <c r="I152" s="22">
        <v>4231.49</v>
      </c>
      <c r="J152" s="22">
        <v>0</v>
      </c>
      <c r="K152" s="22">
        <v>-84.63</v>
      </c>
      <c r="L152" s="22">
        <v>4146.8599999999997</v>
      </c>
      <c r="M152" s="10"/>
      <c r="O152" s="11"/>
    </row>
    <row r="153" spans="1:15" x14ac:dyDescent="0.25">
      <c r="A153" s="6"/>
      <c r="B153" s="5"/>
      <c r="C153" s="5"/>
      <c r="D153" s="5" t="s">
        <v>41</v>
      </c>
      <c r="E153" s="5" t="s">
        <v>42</v>
      </c>
      <c r="F153" s="5" t="s">
        <v>551</v>
      </c>
      <c r="G153" s="14">
        <f t="shared" ref="G153:L153" si="34">SUBTOTAL(9,G152:G152)</f>
        <v>0</v>
      </c>
      <c r="H153" s="14">
        <f t="shared" si="34"/>
        <v>0</v>
      </c>
      <c r="I153" s="14">
        <f t="shared" si="34"/>
        <v>4231.49</v>
      </c>
      <c r="J153" s="14">
        <f t="shared" si="34"/>
        <v>0</v>
      </c>
      <c r="K153" s="14">
        <f t="shared" si="34"/>
        <v>-84.63</v>
      </c>
      <c r="L153" s="14">
        <f t="shared" si="34"/>
        <v>4146.8599999999997</v>
      </c>
      <c r="M153" s="10">
        <v>2183</v>
      </c>
      <c r="N153" s="69"/>
      <c r="O153" s="11">
        <f>O150+1</f>
        <v>35</v>
      </c>
    </row>
    <row r="154" spans="1:15" s="4" customFormat="1" x14ac:dyDescent="0.25">
      <c r="A154" s="10"/>
      <c r="B154"/>
      <c r="C154"/>
      <c r="D154"/>
      <c r="E154"/>
      <c r="F154"/>
      <c r="G154" s="21"/>
      <c r="H154" s="21"/>
      <c r="I154" s="21"/>
      <c r="J154" s="21"/>
      <c r="K154" s="21"/>
      <c r="L154" s="21"/>
      <c r="M154" s="10"/>
      <c r="N154" s="67"/>
      <c r="O154" s="11"/>
    </row>
    <row r="155" spans="1:15" x14ac:dyDescent="0.25">
      <c r="A155" s="6">
        <v>79</v>
      </c>
      <c r="B155" s="5" t="s">
        <v>550</v>
      </c>
      <c r="C155" s="5" t="s">
        <v>17</v>
      </c>
      <c r="D155" s="5" t="s">
        <v>41</v>
      </c>
      <c r="E155" s="5" t="s">
        <v>42</v>
      </c>
      <c r="F155" s="5" t="s">
        <v>552</v>
      </c>
      <c r="G155" s="22">
        <v>0</v>
      </c>
      <c r="H155" s="22">
        <v>0</v>
      </c>
      <c r="I155" s="22">
        <v>0.3</v>
      </c>
      <c r="J155" s="22">
        <v>0</v>
      </c>
      <c r="K155" s="22">
        <v>-0.01</v>
      </c>
      <c r="L155" s="22">
        <v>0.28999999999999998</v>
      </c>
      <c r="M155" s="10"/>
      <c r="O155" s="11"/>
    </row>
    <row r="156" spans="1:15" x14ac:dyDescent="0.25">
      <c r="A156" s="6"/>
      <c r="B156" s="5"/>
      <c r="C156" s="5"/>
      <c r="D156" s="5" t="s">
        <v>41</v>
      </c>
      <c r="E156" s="5" t="s">
        <v>42</v>
      </c>
      <c r="F156" s="5" t="s">
        <v>552</v>
      </c>
      <c r="G156" s="14">
        <f t="shared" ref="G156:L156" si="35">SUBTOTAL(9,G155:G155)</f>
        <v>0</v>
      </c>
      <c r="H156" s="14">
        <f t="shared" si="35"/>
        <v>0</v>
      </c>
      <c r="I156" s="14">
        <f t="shared" si="35"/>
        <v>0.3</v>
      </c>
      <c r="J156" s="14">
        <f t="shared" si="35"/>
        <v>0</v>
      </c>
      <c r="K156" s="14">
        <f t="shared" si="35"/>
        <v>-0.01</v>
      </c>
      <c r="L156" s="14">
        <f t="shared" si="35"/>
        <v>0.28999999999999998</v>
      </c>
      <c r="M156" s="10">
        <v>2184</v>
      </c>
      <c r="N156" s="69"/>
      <c r="O156" s="11">
        <f>O153+1</f>
        <v>36</v>
      </c>
    </row>
    <row r="157" spans="1:15" s="4" customFormat="1" x14ac:dyDescent="0.25">
      <c r="A157" s="10"/>
      <c r="B157"/>
      <c r="C157"/>
      <c r="D157"/>
      <c r="E157"/>
      <c r="F157"/>
      <c r="G157" s="21"/>
      <c r="H157" s="21"/>
      <c r="I157" s="21"/>
      <c r="J157" s="21"/>
      <c r="K157" s="21"/>
      <c r="L157" s="21"/>
      <c r="M157" s="10"/>
      <c r="N157" s="67"/>
      <c r="O157" s="11"/>
    </row>
    <row r="158" spans="1:15" x14ac:dyDescent="0.25">
      <c r="A158" s="6">
        <v>80</v>
      </c>
      <c r="B158" s="5" t="s">
        <v>18</v>
      </c>
      <c r="C158" s="5" t="s">
        <v>17</v>
      </c>
      <c r="D158" s="5" t="s">
        <v>43</v>
      </c>
      <c r="E158" s="5" t="s">
        <v>44</v>
      </c>
      <c r="F158" s="5" t="s">
        <v>19</v>
      </c>
      <c r="G158" s="22">
        <v>0.08</v>
      </c>
      <c r="H158" s="22">
        <v>0</v>
      </c>
      <c r="I158" s="22">
        <v>0</v>
      </c>
      <c r="J158" s="22">
        <v>0</v>
      </c>
      <c r="K158" s="22">
        <v>-7.0000000000000007E-2</v>
      </c>
      <c r="L158" s="22">
        <v>0.01</v>
      </c>
      <c r="M158" s="10"/>
      <c r="O158" s="11"/>
    </row>
    <row r="159" spans="1:15" x14ac:dyDescent="0.25">
      <c r="A159" s="6"/>
      <c r="B159" s="5"/>
      <c r="C159" s="5"/>
      <c r="D159" s="5" t="s">
        <v>43</v>
      </c>
      <c r="E159" s="5" t="s">
        <v>44</v>
      </c>
      <c r="F159" s="5" t="s">
        <v>19</v>
      </c>
      <c r="G159" s="14">
        <f t="shared" ref="G159:L159" si="36">SUBTOTAL(9,G158:G158)</f>
        <v>0.08</v>
      </c>
      <c r="H159" s="14">
        <f t="shared" si="36"/>
        <v>0</v>
      </c>
      <c r="I159" s="14">
        <f t="shared" si="36"/>
        <v>0</v>
      </c>
      <c r="J159" s="14">
        <f t="shared" si="36"/>
        <v>0</v>
      </c>
      <c r="K159" s="14">
        <f t="shared" si="36"/>
        <v>-7.0000000000000007E-2</v>
      </c>
      <c r="L159" s="14">
        <f t="shared" si="36"/>
        <v>0.01</v>
      </c>
      <c r="M159" s="10">
        <v>2185</v>
      </c>
      <c r="N159" s="69"/>
      <c r="O159" s="11">
        <f>O156+1</f>
        <v>37</v>
      </c>
    </row>
    <row r="160" spans="1:15" s="4" customFormat="1" x14ac:dyDescent="0.25">
      <c r="A160" s="10"/>
      <c r="B160"/>
      <c r="C160"/>
      <c r="D160"/>
      <c r="E160"/>
      <c r="F160"/>
      <c r="G160" s="21"/>
      <c r="H160" s="21"/>
      <c r="I160" s="21"/>
      <c r="J160" s="21"/>
      <c r="K160" s="21"/>
      <c r="L160" s="21"/>
      <c r="M160" s="10"/>
      <c r="N160" s="67"/>
      <c r="O160" s="11"/>
    </row>
    <row r="161" spans="1:15" x14ac:dyDescent="0.25">
      <c r="A161" s="6">
        <v>81</v>
      </c>
      <c r="B161" s="5" t="s">
        <v>550</v>
      </c>
      <c r="C161" s="5" t="s">
        <v>17</v>
      </c>
      <c r="D161" s="5" t="s">
        <v>43</v>
      </c>
      <c r="E161" s="5" t="s">
        <v>44</v>
      </c>
      <c r="F161" s="5" t="s">
        <v>551</v>
      </c>
      <c r="G161" s="22">
        <v>0</v>
      </c>
      <c r="H161" s="22">
        <v>0</v>
      </c>
      <c r="I161" s="22">
        <v>38.979999999999997</v>
      </c>
      <c r="J161" s="22">
        <v>0</v>
      </c>
      <c r="K161" s="22">
        <v>-0.78</v>
      </c>
      <c r="L161" s="22">
        <v>38.200000000000003</v>
      </c>
      <c r="M161" s="10"/>
      <c r="O161" s="11"/>
    </row>
    <row r="162" spans="1:15" x14ac:dyDescent="0.25">
      <c r="A162" s="6">
        <v>82</v>
      </c>
      <c r="B162" s="5" t="s">
        <v>550</v>
      </c>
      <c r="C162" s="5" t="s">
        <v>17</v>
      </c>
      <c r="D162" s="5" t="s">
        <v>43</v>
      </c>
      <c r="E162" s="5" t="s">
        <v>44</v>
      </c>
      <c r="F162" s="5" t="s">
        <v>551</v>
      </c>
      <c r="G162" s="22">
        <v>0</v>
      </c>
      <c r="H162" s="22">
        <v>0</v>
      </c>
      <c r="I162" s="22">
        <v>1221.0999999999999</v>
      </c>
      <c r="J162" s="22">
        <v>0</v>
      </c>
      <c r="K162" s="22">
        <v>-24.42</v>
      </c>
      <c r="L162" s="22">
        <v>1196.68</v>
      </c>
      <c r="M162" s="10"/>
      <c r="O162" s="11"/>
    </row>
    <row r="163" spans="1:15" s="4" customFormat="1" x14ac:dyDescent="0.25">
      <c r="A163" s="23"/>
      <c r="B163" s="24"/>
      <c r="C163" s="24"/>
      <c r="D163" s="5" t="s">
        <v>43</v>
      </c>
      <c r="E163" s="5" t="s">
        <v>44</v>
      </c>
      <c r="F163" s="5" t="s">
        <v>551</v>
      </c>
      <c r="G163" s="14">
        <f t="shared" ref="G163:L163" si="37">SUBTOTAL(9,G161:G162)</f>
        <v>0</v>
      </c>
      <c r="H163" s="14">
        <f t="shared" si="37"/>
        <v>0</v>
      </c>
      <c r="I163" s="14">
        <f t="shared" si="37"/>
        <v>1260.08</v>
      </c>
      <c r="J163" s="14">
        <f t="shared" si="37"/>
        <v>0</v>
      </c>
      <c r="K163" s="14">
        <f t="shared" si="37"/>
        <v>-25.200000000000003</v>
      </c>
      <c r="L163" s="14">
        <f t="shared" si="37"/>
        <v>1234.8800000000001</v>
      </c>
      <c r="M163" s="10">
        <v>2186</v>
      </c>
      <c r="N163" s="69"/>
      <c r="O163" s="11">
        <f>O159+1</f>
        <v>38</v>
      </c>
    </row>
    <row r="164" spans="1:15" x14ac:dyDescent="0.25">
      <c r="A164" s="25"/>
      <c r="B164" s="26"/>
      <c r="C164" s="26"/>
      <c r="D164" s="26"/>
      <c r="E164" s="26"/>
      <c r="F164" s="26"/>
      <c r="G164" s="27"/>
      <c r="H164" s="27"/>
      <c r="I164" s="27"/>
      <c r="J164" s="27"/>
      <c r="K164" s="27"/>
      <c r="L164" s="27"/>
      <c r="M164" s="10"/>
      <c r="O164" s="11"/>
    </row>
    <row r="165" spans="1:15" x14ac:dyDescent="0.25">
      <c r="A165" s="6">
        <v>83</v>
      </c>
      <c r="B165" s="5" t="s">
        <v>550</v>
      </c>
      <c r="C165" s="5" t="s">
        <v>17</v>
      </c>
      <c r="D165" s="5" t="s">
        <v>43</v>
      </c>
      <c r="E165" s="5" t="s">
        <v>44</v>
      </c>
      <c r="F165" s="5" t="s">
        <v>552</v>
      </c>
      <c r="G165" s="22">
        <v>0</v>
      </c>
      <c r="H165" s="22">
        <v>0</v>
      </c>
      <c r="I165" s="22">
        <v>0.09</v>
      </c>
      <c r="J165" s="22">
        <v>0</v>
      </c>
      <c r="K165" s="22">
        <v>0</v>
      </c>
      <c r="L165" s="22">
        <v>0.09</v>
      </c>
      <c r="M165" s="10"/>
      <c r="O165" s="11"/>
    </row>
    <row r="166" spans="1:15" s="4" customFormat="1" x14ac:dyDescent="0.25">
      <c r="A166" s="6"/>
      <c r="B166" s="5"/>
      <c r="C166" s="5"/>
      <c r="D166" s="5" t="s">
        <v>43</v>
      </c>
      <c r="E166" s="5" t="s">
        <v>44</v>
      </c>
      <c r="F166" s="5" t="s">
        <v>552</v>
      </c>
      <c r="G166" s="14">
        <f t="shared" ref="G166:L166" si="38">SUBTOTAL(9,G165:G165)</f>
        <v>0</v>
      </c>
      <c r="H166" s="14">
        <f t="shared" si="38"/>
        <v>0</v>
      </c>
      <c r="I166" s="14">
        <f t="shared" si="38"/>
        <v>0.09</v>
      </c>
      <c r="J166" s="14">
        <f t="shared" si="38"/>
        <v>0</v>
      </c>
      <c r="K166" s="14">
        <f t="shared" si="38"/>
        <v>0</v>
      </c>
      <c r="L166" s="14">
        <f t="shared" si="38"/>
        <v>0.09</v>
      </c>
      <c r="M166" s="10">
        <v>2187</v>
      </c>
      <c r="N166" s="69"/>
      <c r="O166" s="11">
        <f>O163+1</f>
        <v>39</v>
      </c>
    </row>
    <row r="167" spans="1:15" x14ac:dyDescent="0.25">
      <c r="A167" s="10"/>
      <c r="G167" s="21"/>
      <c r="H167" s="21"/>
      <c r="I167" s="21"/>
      <c r="J167" s="21"/>
      <c r="K167" s="21"/>
      <c r="L167" s="21"/>
      <c r="M167" s="10"/>
      <c r="O167" s="11"/>
    </row>
    <row r="168" spans="1:15" x14ac:dyDescent="0.25">
      <c r="A168" s="6">
        <v>84</v>
      </c>
      <c r="B168" s="5" t="s">
        <v>555</v>
      </c>
      <c r="C168" s="5" t="s">
        <v>17</v>
      </c>
      <c r="D168" s="5" t="s">
        <v>45</v>
      </c>
      <c r="E168" s="5" t="s">
        <v>46</v>
      </c>
      <c r="F168" s="5" t="s">
        <v>556</v>
      </c>
      <c r="G168" s="22">
        <v>1495.55</v>
      </c>
      <c r="H168" s="22">
        <v>0</v>
      </c>
      <c r="I168" s="22">
        <v>0</v>
      </c>
      <c r="J168" s="22">
        <v>0</v>
      </c>
      <c r="K168" s="22">
        <v>-29.91</v>
      </c>
      <c r="L168" s="22">
        <v>1465.64</v>
      </c>
      <c r="M168" s="10"/>
      <c r="O168" s="11"/>
    </row>
    <row r="169" spans="1:15" s="4" customFormat="1" x14ac:dyDescent="0.25">
      <c r="A169" s="6">
        <v>85</v>
      </c>
      <c r="B169" s="5" t="s">
        <v>555</v>
      </c>
      <c r="C169" s="5" t="s">
        <v>13</v>
      </c>
      <c r="D169" s="5" t="s">
        <v>45</v>
      </c>
      <c r="E169" s="5" t="s">
        <v>46</v>
      </c>
      <c r="F169" s="5" t="s">
        <v>556</v>
      </c>
      <c r="G169" s="22">
        <v>0</v>
      </c>
      <c r="H169" s="22">
        <v>0</v>
      </c>
      <c r="I169" s="22">
        <v>0</v>
      </c>
      <c r="J169" s="22">
        <v>179.47</v>
      </c>
      <c r="K169" s="22">
        <v>0</v>
      </c>
      <c r="L169" s="22">
        <v>179.47</v>
      </c>
      <c r="M169" s="10"/>
      <c r="N169" s="67"/>
      <c r="O169" s="11"/>
    </row>
    <row r="170" spans="1:15" x14ac:dyDescent="0.25">
      <c r="A170" s="6"/>
      <c r="B170" s="5"/>
      <c r="C170" s="5"/>
      <c r="D170" s="5" t="s">
        <v>45</v>
      </c>
      <c r="E170" s="5" t="s">
        <v>46</v>
      </c>
      <c r="F170" s="5" t="s">
        <v>556</v>
      </c>
      <c r="G170" s="14">
        <f t="shared" ref="G170:L170" si="39">SUBTOTAL(9,G168:G169)</f>
        <v>1495.55</v>
      </c>
      <c r="H170" s="14">
        <f t="shared" si="39"/>
        <v>0</v>
      </c>
      <c r="I170" s="14">
        <f t="shared" si="39"/>
        <v>0</v>
      </c>
      <c r="J170" s="14">
        <f t="shared" si="39"/>
        <v>179.47</v>
      </c>
      <c r="K170" s="14">
        <f t="shared" si="39"/>
        <v>-29.91</v>
      </c>
      <c r="L170" s="14">
        <f t="shared" si="39"/>
        <v>1645.1100000000001</v>
      </c>
      <c r="M170" s="10">
        <v>2188</v>
      </c>
      <c r="N170" s="69"/>
      <c r="O170" s="11">
        <f>O166+1</f>
        <v>40</v>
      </c>
    </row>
    <row r="171" spans="1:15" x14ac:dyDescent="0.25">
      <c r="A171" s="10"/>
      <c r="G171" s="21"/>
      <c r="H171" s="21"/>
      <c r="I171" s="21"/>
      <c r="J171" s="21"/>
      <c r="K171" s="21"/>
      <c r="L171" s="21"/>
      <c r="M171" s="10"/>
      <c r="O171" s="11"/>
    </row>
    <row r="172" spans="1:15" s="4" customFormat="1" x14ac:dyDescent="0.25">
      <c r="A172" s="6">
        <v>86</v>
      </c>
      <c r="B172" s="5" t="s">
        <v>557</v>
      </c>
      <c r="C172" s="5" t="s">
        <v>17</v>
      </c>
      <c r="D172" s="5" t="s">
        <v>45</v>
      </c>
      <c r="E172" s="5" t="s">
        <v>46</v>
      </c>
      <c r="F172" s="5" t="s">
        <v>558</v>
      </c>
      <c r="G172" s="22">
        <v>1151.6400000000001</v>
      </c>
      <c r="H172" s="22">
        <v>0</v>
      </c>
      <c r="I172" s="22">
        <v>0</v>
      </c>
      <c r="J172" s="22">
        <v>0</v>
      </c>
      <c r="K172" s="22">
        <v>-23.03</v>
      </c>
      <c r="L172" s="22">
        <v>1128.6099999999999</v>
      </c>
      <c r="M172" s="10"/>
      <c r="N172" s="67"/>
      <c r="O172" s="11"/>
    </row>
    <row r="173" spans="1:15" x14ac:dyDescent="0.25">
      <c r="A173" s="6">
        <v>87</v>
      </c>
      <c r="B173" s="5" t="s">
        <v>557</v>
      </c>
      <c r="C173" s="5" t="s">
        <v>13</v>
      </c>
      <c r="D173" s="5" t="s">
        <v>45</v>
      </c>
      <c r="E173" s="5" t="s">
        <v>46</v>
      </c>
      <c r="F173" s="5" t="s">
        <v>558</v>
      </c>
      <c r="G173" s="22">
        <v>0</v>
      </c>
      <c r="H173" s="22">
        <v>0</v>
      </c>
      <c r="I173" s="22">
        <v>0</v>
      </c>
      <c r="J173" s="22">
        <v>138.19999999999999</v>
      </c>
      <c r="K173" s="22">
        <v>0</v>
      </c>
      <c r="L173" s="22">
        <v>138.19999999999999</v>
      </c>
      <c r="M173" s="10"/>
      <c r="O173" s="11"/>
    </row>
    <row r="174" spans="1:15" x14ac:dyDescent="0.25">
      <c r="A174" s="6"/>
      <c r="B174" s="5"/>
      <c r="C174" s="5"/>
      <c r="D174" s="5" t="s">
        <v>45</v>
      </c>
      <c r="E174" s="5" t="s">
        <v>46</v>
      </c>
      <c r="F174" s="5" t="s">
        <v>558</v>
      </c>
      <c r="G174" s="14">
        <f t="shared" ref="G174:L174" si="40">SUBTOTAL(9,G172:G173)</f>
        <v>1151.6400000000001</v>
      </c>
      <c r="H174" s="14">
        <f t="shared" si="40"/>
        <v>0</v>
      </c>
      <c r="I174" s="14">
        <f t="shared" si="40"/>
        <v>0</v>
      </c>
      <c r="J174" s="14">
        <f t="shared" si="40"/>
        <v>138.19999999999999</v>
      </c>
      <c r="K174" s="14">
        <f t="shared" si="40"/>
        <v>-23.03</v>
      </c>
      <c r="L174" s="14">
        <f t="shared" si="40"/>
        <v>1266.81</v>
      </c>
      <c r="M174" s="10">
        <v>2189</v>
      </c>
      <c r="N174" s="69"/>
      <c r="O174" s="11">
        <f>O170+1</f>
        <v>41</v>
      </c>
    </row>
    <row r="175" spans="1:15" s="4" customFormat="1" x14ac:dyDescent="0.25">
      <c r="A175" s="10"/>
      <c r="B175"/>
      <c r="C175"/>
      <c r="D175"/>
      <c r="E175"/>
      <c r="F175"/>
      <c r="G175" s="21"/>
      <c r="H175" s="21"/>
      <c r="I175" s="21"/>
      <c r="J175" s="21"/>
      <c r="K175" s="21"/>
      <c r="L175" s="21"/>
      <c r="M175" s="10"/>
      <c r="N175" s="67"/>
      <c r="O175" s="11"/>
    </row>
    <row r="176" spans="1:15" x14ac:dyDescent="0.25">
      <c r="A176" s="6">
        <v>88</v>
      </c>
      <c r="B176" s="5" t="s">
        <v>559</v>
      </c>
      <c r="C176" s="5" t="s">
        <v>17</v>
      </c>
      <c r="D176" s="5" t="s">
        <v>45</v>
      </c>
      <c r="E176" s="5" t="s">
        <v>46</v>
      </c>
      <c r="F176" s="5" t="s">
        <v>560</v>
      </c>
      <c r="G176" s="22">
        <v>916.81</v>
      </c>
      <c r="H176" s="22">
        <v>0</v>
      </c>
      <c r="I176" s="22">
        <v>0</v>
      </c>
      <c r="J176" s="22">
        <v>0</v>
      </c>
      <c r="K176" s="22">
        <v>-18.34</v>
      </c>
      <c r="L176" s="22">
        <v>898.47</v>
      </c>
      <c r="M176" s="10"/>
      <c r="O176" s="11"/>
    </row>
    <row r="177" spans="1:15" x14ac:dyDescent="0.25">
      <c r="A177" s="6">
        <v>89</v>
      </c>
      <c r="B177" s="5" t="s">
        <v>559</v>
      </c>
      <c r="C177" s="5" t="s">
        <v>13</v>
      </c>
      <c r="D177" s="5" t="s">
        <v>45</v>
      </c>
      <c r="E177" s="5" t="s">
        <v>46</v>
      </c>
      <c r="F177" s="5" t="s">
        <v>560</v>
      </c>
      <c r="G177" s="22">
        <v>0</v>
      </c>
      <c r="H177" s="22">
        <v>0</v>
      </c>
      <c r="I177" s="22">
        <v>0</v>
      </c>
      <c r="J177" s="22">
        <v>110.02</v>
      </c>
      <c r="K177" s="22">
        <v>0</v>
      </c>
      <c r="L177" s="22">
        <v>110.02</v>
      </c>
      <c r="M177" s="10"/>
      <c r="O177" s="11"/>
    </row>
    <row r="178" spans="1:15" s="4" customFormat="1" x14ac:dyDescent="0.25">
      <c r="A178" s="6"/>
      <c r="B178" s="5"/>
      <c r="C178" s="5"/>
      <c r="D178" s="5" t="s">
        <v>45</v>
      </c>
      <c r="E178" s="5" t="s">
        <v>46</v>
      </c>
      <c r="F178" s="5" t="s">
        <v>560</v>
      </c>
      <c r="G178" s="14">
        <f t="shared" ref="G178:L178" si="41">SUBTOTAL(9,G176:G177)</f>
        <v>916.81</v>
      </c>
      <c r="H178" s="14">
        <f t="shared" si="41"/>
        <v>0</v>
      </c>
      <c r="I178" s="14">
        <f t="shared" si="41"/>
        <v>0</v>
      </c>
      <c r="J178" s="14">
        <f t="shared" si="41"/>
        <v>110.02</v>
      </c>
      <c r="K178" s="14">
        <f t="shared" si="41"/>
        <v>-18.34</v>
      </c>
      <c r="L178" s="14">
        <f t="shared" si="41"/>
        <v>1008.49</v>
      </c>
      <c r="M178" s="10">
        <v>2190</v>
      </c>
      <c r="N178" s="69"/>
      <c r="O178" s="11">
        <f>O174+1</f>
        <v>42</v>
      </c>
    </row>
    <row r="179" spans="1:15" s="4" customFormat="1" x14ac:dyDescent="0.25">
      <c r="A179" s="10"/>
      <c r="B179"/>
      <c r="C179"/>
      <c r="D179"/>
      <c r="E179"/>
      <c r="F179"/>
      <c r="G179" s="21"/>
      <c r="H179" s="21"/>
      <c r="I179" s="21"/>
      <c r="J179" s="21"/>
      <c r="K179" s="21"/>
      <c r="L179" s="21"/>
      <c r="M179" s="10"/>
      <c r="N179" s="67"/>
      <c r="O179" s="11"/>
    </row>
    <row r="180" spans="1:15" x14ac:dyDescent="0.25">
      <c r="A180" s="6">
        <v>90</v>
      </c>
      <c r="B180" s="5" t="s">
        <v>18</v>
      </c>
      <c r="C180" s="5" t="s">
        <v>17</v>
      </c>
      <c r="D180" s="5" t="s">
        <v>45</v>
      </c>
      <c r="E180" s="5" t="s">
        <v>46</v>
      </c>
      <c r="F180" s="5" t="s">
        <v>19</v>
      </c>
      <c r="G180" s="22">
        <v>2.16</v>
      </c>
      <c r="H180" s="22">
        <v>0</v>
      </c>
      <c r="I180" s="22">
        <v>0</v>
      </c>
      <c r="J180" s="22">
        <v>0</v>
      </c>
      <c r="K180" s="22">
        <v>-1.91</v>
      </c>
      <c r="L180" s="22">
        <v>0.25</v>
      </c>
      <c r="M180" s="10"/>
      <c r="O180" s="11"/>
    </row>
    <row r="181" spans="1:15" x14ac:dyDescent="0.25">
      <c r="A181" s="6"/>
      <c r="B181" s="5"/>
      <c r="C181" s="5"/>
      <c r="D181" s="5" t="s">
        <v>45</v>
      </c>
      <c r="E181" s="5" t="s">
        <v>46</v>
      </c>
      <c r="F181" s="5" t="s">
        <v>19</v>
      </c>
      <c r="G181" s="14">
        <f t="shared" ref="G181:L181" si="42">SUBTOTAL(9,G180:G180)</f>
        <v>2.16</v>
      </c>
      <c r="H181" s="14">
        <f t="shared" si="42"/>
        <v>0</v>
      </c>
      <c r="I181" s="14">
        <f t="shared" si="42"/>
        <v>0</v>
      </c>
      <c r="J181" s="14">
        <f t="shared" si="42"/>
        <v>0</v>
      </c>
      <c r="K181" s="14">
        <f t="shared" si="42"/>
        <v>-1.91</v>
      </c>
      <c r="L181" s="14">
        <f t="shared" si="42"/>
        <v>0.25</v>
      </c>
      <c r="M181" s="10">
        <v>2191</v>
      </c>
      <c r="N181" s="69"/>
      <c r="O181" s="11">
        <f>O178+1</f>
        <v>43</v>
      </c>
    </row>
    <row r="182" spans="1:15" s="4" customFormat="1" x14ac:dyDescent="0.25">
      <c r="A182" s="10"/>
      <c r="B182"/>
      <c r="C182"/>
      <c r="D182"/>
      <c r="E182"/>
      <c r="F182"/>
      <c r="G182" s="21"/>
      <c r="H182" s="21"/>
      <c r="I182" s="21"/>
      <c r="J182" s="21"/>
      <c r="K182" s="21"/>
      <c r="L182" s="21"/>
      <c r="M182" s="10"/>
      <c r="N182" s="67"/>
      <c r="O182" s="11"/>
    </row>
    <row r="183" spans="1:15" s="4" customFormat="1" x14ac:dyDescent="0.25">
      <c r="A183" s="6">
        <v>91</v>
      </c>
      <c r="B183" s="5" t="s">
        <v>550</v>
      </c>
      <c r="C183" s="5" t="s">
        <v>17</v>
      </c>
      <c r="D183" s="5" t="s">
        <v>45</v>
      </c>
      <c r="E183" s="5" t="s">
        <v>46</v>
      </c>
      <c r="F183" s="5" t="s">
        <v>551</v>
      </c>
      <c r="G183" s="22">
        <v>80576.37</v>
      </c>
      <c r="H183" s="22">
        <v>0</v>
      </c>
      <c r="I183" s="22">
        <v>0</v>
      </c>
      <c r="J183" s="22">
        <v>0</v>
      </c>
      <c r="K183" s="22">
        <v>-1611.53</v>
      </c>
      <c r="L183" s="22">
        <v>78964.84</v>
      </c>
      <c r="M183" s="10"/>
      <c r="N183" s="67"/>
      <c r="O183" s="11"/>
    </row>
    <row r="184" spans="1:15" x14ac:dyDescent="0.25">
      <c r="A184" s="6">
        <v>92</v>
      </c>
      <c r="B184" s="5" t="s">
        <v>550</v>
      </c>
      <c r="C184" s="5" t="s">
        <v>13</v>
      </c>
      <c r="D184" s="5" t="s">
        <v>45</v>
      </c>
      <c r="E184" s="5" t="s">
        <v>46</v>
      </c>
      <c r="F184" s="5" t="s">
        <v>551</v>
      </c>
      <c r="G184" s="22">
        <v>0</v>
      </c>
      <c r="H184" s="22">
        <v>0</v>
      </c>
      <c r="I184" s="22">
        <v>0</v>
      </c>
      <c r="J184" s="22">
        <v>9669.16</v>
      </c>
      <c r="K184" s="22">
        <v>0</v>
      </c>
      <c r="L184" s="22">
        <v>9669.16</v>
      </c>
      <c r="M184" s="10"/>
      <c r="O184" s="11"/>
    </row>
    <row r="185" spans="1:15" x14ac:dyDescent="0.25">
      <c r="A185" s="6"/>
      <c r="B185" s="5"/>
      <c r="C185" s="5"/>
      <c r="D185" s="5" t="s">
        <v>45</v>
      </c>
      <c r="E185" s="5" t="s">
        <v>46</v>
      </c>
      <c r="F185" s="5" t="s">
        <v>551</v>
      </c>
      <c r="G185" s="14">
        <f t="shared" ref="G185:L185" si="43">SUBTOTAL(9,G183:G184)</f>
        <v>80576.37</v>
      </c>
      <c r="H185" s="14">
        <f t="shared" si="43"/>
        <v>0</v>
      </c>
      <c r="I185" s="14">
        <f t="shared" si="43"/>
        <v>0</v>
      </c>
      <c r="J185" s="14">
        <f t="shared" si="43"/>
        <v>9669.16</v>
      </c>
      <c r="K185" s="14">
        <f t="shared" si="43"/>
        <v>-1611.53</v>
      </c>
      <c r="L185" s="14">
        <f t="shared" si="43"/>
        <v>88634</v>
      </c>
      <c r="M185" s="10">
        <v>2192</v>
      </c>
      <c r="N185" s="69"/>
      <c r="O185" s="11">
        <f>O181+1</f>
        <v>44</v>
      </c>
    </row>
    <row r="186" spans="1:15" s="4" customFormat="1" x14ac:dyDescent="0.25">
      <c r="A186" s="10"/>
      <c r="B186"/>
      <c r="C186"/>
      <c r="D186"/>
      <c r="E186"/>
      <c r="F186"/>
      <c r="G186" s="21"/>
      <c r="H186" s="21"/>
      <c r="I186" s="21"/>
      <c r="J186" s="21"/>
      <c r="K186" s="21"/>
      <c r="L186" s="21"/>
      <c r="M186" s="10"/>
      <c r="N186" s="67"/>
      <c r="O186" s="11"/>
    </row>
    <row r="187" spans="1:15" s="4" customFormat="1" x14ac:dyDescent="0.25">
      <c r="A187" s="6">
        <v>93</v>
      </c>
      <c r="B187" s="5" t="s">
        <v>550</v>
      </c>
      <c r="C187" s="5" t="s">
        <v>17</v>
      </c>
      <c r="D187" s="5" t="s">
        <v>45</v>
      </c>
      <c r="E187" s="5" t="s">
        <v>46</v>
      </c>
      <c r="F187" s="5" t="s">
        <v>552</v>
      </c>
      <c r="G187" s="22">
        <v>5.8</v>
      </c>
      <c r="H187" s="22">
        <v>0</v>
      </c>
      <c r="I187" s="22">
        <v>0</v>
      </c>
      <c r="J187" s="22">
        <v>0</v>
      </c>
      <c r="K187" s="22">
        <v>-0.12</v>
      </c>
      <c r="L187" s="22">
        <v>5.68</v>
      </c>
      <c r="M187" s="10"/>
      <c r="N187" s="67"/>
      <c r="O187" s="11"/>
    </row>
    <row r="188" spans="1:15" x14ac:dyDescent="0.25">
      <c r="A188" s="6">
        <v>94</v>
      </c>
      <c r="B188" s="5" t="s">
        <v>550</v>
      </c>
      <c r="C188" s="5" t="s">
        <v>13</v>
      </c>
      <c r="D188" s="5" t="s">
        <v>45</v>
      </c>
      <c r="E188" s="5" t="s">
        <v>46</v>
      </c>
      <c r="F188" s="5" t="s">
        <v>552</v>
      </c>
      <c r="G188" s="22">
        <v>0</v>
      </c>
      <c r="H188" s="22">
        <v>0</v>
      </c>
      <c r="I188" s="22">
        <v>0</v>
      </c>
      <c r="J188" s="22">
        <v>0.7</v>
      </c>
      <c r="K188" s="22">
        <v>0</v>
      </c>
      <c r="L188" s="22">
        <v>0.7</v>
      </c>
      <c r="M188" s="10"/>
      <c r="O188" s="11"/>
    </row>
    <row r="189" spans="1:15" x14ac:dyDescent="0.25">
      <c r="A189" s="6"/>
      <c r="B189" s="5"/>
      <c r="C189" s="5"/>
      <c r="D189" s="5" t="s">
        <v>45</v>
      </c>
      <c r="E189" s="5" t="s">
        <v>46</v>
      </c>
      <c r="F189" s="5" t="s">
        <v>552</v>
      </c>
      <c r="G189" s="14">
        <f t="shared" ref="G189:L189" si="44">SUBTOTAL(9,G187:G188)</f>
        <v>5.8</v>
      </c>
      <c r="H189" s="14">
        <f t="shared" si="44"/>
        <v>0</v>
      </c>
      <c r="I189" s="14">
        <f t="shared" si="44"/>
        <v>0</v>
      </c>
      <c r="J189" s="14">
        <f t="shared" si="44"/>
        <v>0.7</v>
      </c>
      <c r="K189" s="14">
        <f t="shared" si="44"/>
        <v>-0.12</v>
      </c>
      <c r="L189" s="14">
        <f t="shared" si="44"/>
        <v>6.38</v>
      </c>
      <c r="M189" s="10">
        <v>2193</v>
      </c>
      <c r="N189" s="69"/>
      <c r="O189" s="11">
        <f>O185+1</f>
        <v>45</v>
      </c>
    </row>
    <row r="190" spans="1:15" s="4" customFormat="1" x14ac:dyDescent="0.25">
      <c r="A190" s="10"/>
      <c r="B190"/>
      <c r="C190"/>
      <c r="D190"/>
      <c r="E190"/>
      <c r="F190"/>
      <c r="G190" s="21"/>
      <c r="H190" s="21"/>
      <c r="I190" s="21"/>
      <c r="J190" s="21"/>
      <c r="K190" s="21"/>
      <c r="L190" s="21"/>
      <c r="M190" s="10"/>
      <c r="N190" s="67"/>
      <c r="O190" s="11"/>
    </row>
    <row r="191" spans="1:15" s="4" customFormat="1" x14ac:dyDescent="0.25">
      <c r="A191" s="6">
        <v>95</v>
      </c>
      <c r="B191" s="5" t="s">
        <v>12</v>
      </c>
      <c r="C191" s="5" t="s">
        <v>17</v>
      </c>
      <c r="D191" s="5" t="s">
        <v>47</v>
      </c>
      <c r="E191" s="5" t="s">
        <v>48</v>
      </c>
      <c r="F191" s="5" t="s">
        <v>16</v>
      </c>
      <c r="G191" s="22">
        <v>2183</v>
      </c>
      <c r="H191" s="22">
        <v>0</v>
      </c>
      <c r="I191" s="22">
        <v>0</v>
      </c>
      <c r="J191" s="22">
        <v>0</v>
      </c>
      <c r="K191" s="22">
        <v>-43.68</v>
      </c>
      <c r="L191" s="22">
        <v>2139.3200000000002</v>
      </c>
      <c r="M191" s="10"/>
      <c r="N191" s="67"/>
      <c r="O191" s="11"/>
    </row>
    <row r="192" spans="1:15" x14ac:dyDescent="0.25">
      <c r="A192" s="6">
        <v>96</v>
      </c>
      <c r="B192" s="5" t="s">
        <v>12</v>
      </c>
      <c r="C192" s="5" t="s">
        <v>49</v>
      </c>
      <c r="D192" s="5" t="s">
        <v>47</v>
      </c>
      <c r="E192" s="5" t="s">
        <v>48</v>
      </c>
      <c r="F192" s="5" t="s">
        <v>16</v>
      </c>
      <c r="G192" s="22">
        <v>1.67</v>
      </c>
      <c r="H192" s="22">
        <v>0</v>
      </c>
      <c r="I192" s="22">
        <v>0</v>
      </c>
      <c r="J192" s="22">
        <v>0</v>
      </c>
      <c r="K192" s="22">
        <v>0</v>
      </c>
      <c r="L192" s="22">
        <v>1.67</v>
      </c>
      <c r="M192" s="10"/>
      <c r="N192" s="70">
        <v>1.67</v>
      </c>
      <c r="O192" s="11"/>
    </row>
    <row r="193" spans="1:15" x14ac:dyDescent="0.25">
      <c r="A193" s="6"/>
      <c r="B193" s="5"/>
      <c r="C193" s="5"/>
      <c r="D193" s="5" t="s">
        <v>47</v>
      </c>
      <c r="E193" s="5" t="s">
        <v>48</v>
      </c>
      <c r="F193" s="5" t="s">
        <v>16</v>
      </c>
      <c r="G193" s="14">
        <f t="shared" ref="G193:L193" si="45">SUBTOTAL(9,G191:G192)</f>
        <v>2184.67</v>
      </c>
      <c r="H193" s="14">
        <f t="shared" si="45"/>
        <v>0</v>
      </c>
      <c r="I193" s="14">
        <f t="shared" si="45"/>
        <v>0</v>
      </c>
      <c r="J193" s="14">
        <f t="shared" si="45"/>
        <v>0</v>
      </c>
      <c r="K193" s="14">
        <f t="shared" si="45"/>
        <v>-43.68</v>
      </c>
      <c r="L193" s="14">
        <f t="shared" si="45"/>
        <v>2140.9900000000002</v>
      </c>
      <c r="M193" s="10">
        <v>2194</v>
      </c>
      <c r="N193" s="71">
        <f>SUBTOTAL(9,N191:N192)</f>
        <v>1.67</v>
      </c>
      <c r="O193" s="11">
        <f>O189+1</f>
        <v>46</v>
      </c>
    </row>
    <row r="194" spans="1:15" s="4" customFormat="1" x14ac:dyDescent="0.25">
      <c r="A194" s="10"/>
      <c r="B194"/>
      <c r="C194"/>
      <c r="D194"/>
      <c r="E194"/>
      <c r="F194"/>
      <c r="G194" s="21"/>
      <c r="H194" s="21"/>
      <c r="I194" s="21"/>
      <c r="J194" s="21"/>
      <c r="K194" s="21"/>
      <c r="L194" s="21"/>
      <c r="M194" s="10"/>
      <c r="N194" s="67"/>
      <c r="O194" s="11"/>
    </row>
    <row r="195" spans="1:15" x14ac:dyDescent="0.25">
      <c r="A195" s="6">
        <v>97</v>
      </c>
      <c r="B195" s="5" t="s">
        <v>37</v>
      </c>
      <c r="C195" s="5" t="s">
        <v>17</v>
      </c>
      <c r="D195" s="5" t="s">
        <v>47</v>
      </c>
      <c r="E195" s="5" t="s">
        <v>48</v>
      </c>
      <c r="F195" s="5" t="s">
        <v>38</v>
      </c>
      <c r="G195" s="22">
        <v>14.31</v>
      </c>
      <c r="H195" s="22">
        <v>0</v>
      </c>
      <c r="I195" s="22">
        <v>0</v>
      </c>
      <c r="J195" s="22">
        <v>0</v>
      </c>
      <c r="K195" s="22">
        <v>-0.28999999999999998</v>
      </c>
      <c r="L195" s="22">
        <v>14.02</v>
      </c>
      <c r="M195" s="10"/>
      <c r="O195" s="11"/>
    </row>
    <row r="196" spans="1:15" x14ac:dyDescent="0.25">
      <c r="A196" s="6">
        <v>98</v>
      </c>
      <c r="B196" s="5" t="s">
        <v>37</v>
      </c>
      <c r="C196" s="5" t="s">
        <v>49</v>
      </c>
      <c r="D196" s="5" t="s">
        <v>47</v>
      </c>
      <c r="E196" s="5" t="s">
        <v>48</v>
      </c>
      <c r="F196" s="5" t="s">
        <v>38</v>
      </c>
      <c r="G196" s="22">
        <v>0.01</v>
      </c>
      <c r="H196" s="22">
        <v>0</v>
      </c>
      <c r="I196" s="22">
        <v>0</v>
      </c>
      <c r="J196" s="22">
        <v>0</v>
      </c>
      <c r="K196" s="22">
        <v>0</v>
      </c>
      <c r="L196" s="22">
        <v>0.01</v>
      </c>
      <c r="M196" s="10"/>
      <c r="N196" s="70">
        <v>0.01</v>
      </c>
      <c r="O196" s="11"/>
    </row>
    <row r="197" spans="1:15" s="4" customFormat="1" x14ac:dyDescent="0.25">
      <c r="A197" s="6"/>
      <c r="B197" s="5"/>
      <c r="C197" s="5"/>
      <c r="D197" s="5" t="s">
        <v>47</v>
      </c>
      <c r="E197" s="5" t="s">
        <v>48</v>
      </c>
      <c r="F197" s="5" t="s">
        <v>38</v>
      </c>
      <c r="G197" s="14">
        <f t="shared" ref="G197:L197" si="46">SUBTOTAL(9,G195:G196)</f>
        <v>14.32</v>
      </c>
      <c r="H197" s="14">
        <f t="shared" si="46"/>
        <v>0</v>
      </c>
      <c r="I197" s="14">
        <f t="shared" si="46"/>
        <v>0</v>
      </c>
      <c r="J197" s="14">
        <f t="shared" si="46"/>
        <v>0</v>
      </c>
      <c r="K197" s="14">
        <f t="shared" si="46"/>
        <v>-0.28999999999999998</v>
      </c>
      <c r="L197" s="14">
        <f t="shared" si="46"/>
        <v>14.03</v>
      </c>
      <c r="M197" s="10">
        <v>2195</v>
      </c>
      <c r="N197" s="71">
        <f>SUBTOTAL(9,N195:N196)</f>
        <v>0.01</v>
      </c>
      <c r="O197" s="11">
        <f>O193+1</f>
        <v>47</v>
      </c>
    </row>
    <row r="198" spans="1:15" x14ac:dyDescent="0.25">
      <c r="A198" s="10"/>
      <c r="G198" s="21"/>
      <c r="H198" s="21"/>
      <c r="I198" s="21"/>
      <c r="J198" s="21"/>
      <c r="K198" s="21"/>
      <c r="L198" s="21"/>
      <c r="M198" s="10"/>
      <c r="O198" s="11"/>
    </row>
    <row r="199" spans="1:15" x14ac:dyDescent="0.25">
      <c r="A199" s="6">
        <v>99</v>
      </c>
      <c r="B199" s="5" t="s">
        <v>29</v>
      </c>
      <c r="C199" s="5" t="s">
        <v>17</v>
      </c>
      <c r="D199" s="5" t="s">
        <v>47</v>
      </c>
      <c r="E199" s="5" t="s">
        <v>48</v>
      </c>
      <c r="F199" s="5" t="s">
        <v>30</v>
      </c>
      <c r="G199" s="22">
        <v>1.57</v>
      </c>
      <c r="H199" s="22">
        <v>0</v>
      </c>
      <c r="I199" s="22">
        <v>0</v>
      </c>
      <c r="J199" s="22">
        <v>0</v>
      </c>
      <c r="K199" s="22">
        <v>-0.03</v>
      </c>
      <c r="L199" s="22">
        <v>1.54</v>
      </c>
      <c r="M199" s="10"/>
      <c r="O199" s="11"/>
    </row>
    <row r="200" spans="1:15" s="4" customFormat="1" x14ac:dyDescent="0.25">
      <c r="A200" s="6"/>
      <c r="B200" s="5"/>
      <c r="C200" s="5"/>
      <c r="D200" s="5" t="s">
        <v>47</v>
      </c>
      <c r="E200" s="5" t="s">
        <v>48</v>
      </c>
      <c r="F200" s="5" t="s">
        <v>30</v>
      </c>
      <c r="G200" s="14">
        <f t="shared" ref="G200:L200" si="47">SUBTOTAL(9,G199:G199)</f>
        <v>1.57</v>
      </c>
      <c r="H200" s="14">
        <f t="shared" si="47"/>
        <v>0</v>
      </c>
      <c r="I200" s="14">
        <f t="shared" si="47"/>
        <v>0</v>
      </c>
      <c r="J200" s="14">
        <f t="shared" si="47"/>
        <v>0</v>
      </c>
      <c r="K200" s="14">
        <f t="shared" si="47"/>
        <v>-0.03</v>
      </c>
      <c r="L200" s="14">
        <f t="shared" si="47"/>
        <v>1.54</v>
      </c>
      <c r="M200" s="10">
        <v>2196</v>
      </c>
      <c r="N200" s="69"/>
      <c r="O200" s="11">
        <f>O197+1</f>
        <v>48</v>
      </c>
    </row>
    <row r="201" spans="1:15" s="4" customFormat="1" x14ac:dyDescent="0.25">
      <c r="A201" s="10"/>
      <c r="B201"/>
      <c r="C201"/>
      <c r="D201"/>
      <c r="E201"/>
      <c r="F201"/>
      <c r="G201" s="21"/>
      <c r="H201" s="21"/>
      <c r="I201" s="21"/>
      <c r="J201" s="21"/>
      <c r="K201" s="21"/>
      <c r="L201" s="21"/>
      <c r="M201" s="10"/>
      <c r="N201" s="67"/>
      <c r="O201" s="11"/>
    </row>
    <row r="202" spans="1:15" x14ac:dyDescent="0.25">
      <c r="A202" s="6">
        <v>100</v>
      </c>
      <c r="B202" s="5" t="s">
        <v>559</v>
      </c>
      <c r="C202" s="5" t="s">
        <v>17</v>
      </c>
      <c r="D202" s="5" t="s">
        <v>47</v>
      </c>
      <c r="E202" s="5" t="s">
        <v>48</v>
      </c>
      <c r="F202" s="5" t="s">
        <v>560</v>
      </c>
      <c r="G202" s="22">
        <v>3.02</v>
      </c>
      <c r="H202" s="22">
        <v>0</v>
      </c>
      <c r="I202" s="22">
        <v>0</v>
      </c>
      <c r="J202" s="22">
        <v>0</v>
      </c>
      <c r="K202" s="22">
        <v>-0.06</v>
      </c>
      <c r="L202" s="22">
        <v>2.96</v>
      </c>
      <c r="M202" s="10"/>
      <c r="O202" s="11"/>
    </row>
    <row r="203" spans="1:15" x14ac:dyDescent="0.25">
      <c r="A203" s="6">
        <v>101</v>
      </c>
      <c r="B203" s="5" t="s">
        <v>559</v>
      </c>
      <c r="C203" s="5" t="s">
        <v>13</v>
      </c>
      <c r="D203" s="5" t="s">
        <v>47</v>
      </c>
      <c r="E203" s="5" t="s">
        <v>48</v>
      </c>
      <c r="F203" s="5" t="s">
        <v>560</v>
      </c>
      <c r="G203" s="22">
        <v>0</v>
      </c>
      <c r="H203" s="22">
        <v>0</v>
      </c>
      <c r="I203" s="22">
        <v>0</v>
      </c>
      <c r="J203" s="22">
        <v>0.36</v>
      </c>
      <c r="K203" s="22">
        <v>0</v>
      </c>
      <c r="L203" s="22">
        <v>0.36</v>
      </c>
      <c r="M203" s="10"/>
      <c r="O203" s="11"/>
    </row>
    <row r="204" spans="1:15" s="4" customFormat="1" x14ac:dyDescent="0.25">
      <c r="A204" s="6"/>
      <c r="B204" s="5"/>
      <c r="C204" s="5"/>
      <c r="D204" s="5" t="s">
        <v>47</v>
      </c>
      <c r="E204" s="5" t="s">
        <v>48</v>
      </c>
      <c r="F204" s="5" t="s">
        <v>560</v>
      </c>
      <c r="G204" s="14">
        <f t="shared" ref="G204:L204" si="48">SUBTOTAL(9,G202:G203)</f>
        <v>3.02</v>
      </c>
      <c r="H204" s="14">
        <f t="shared" si="48"/>
        <v>0</v>
      </c>
      <c r="I204" s="14">
        <f t="shared" si="48"/>
        <v>0</v>
      </c>
      <c r="J204" s="14">
        <f t="shared" si="48"/>
        <v>0.36</v>
      </c>
      <c r="K204" s="14">
        <f t="shared" si="48"/>
        <v>-0.06</v>
      </c>
      <c r="L204" s="14">
        <f t="shared" si="48"/>
        <v>3.32</v>
      </c>
      <c r="M204" s="10">
        <v>2197</v>
      </c>
      <c r="N204" s="69"/>
      <c r="O204" s="11">
        <f>O200+1</f>
        <v>49</v>
      </c>
    </row>
    <row r="205" spans="1:15" s="4" customFormat="1" x14ac:dyDescent="0.25">
      <c r="A205" s="10"/>
      <c r="B205"/>
      <c r="C205"/>
      <c r="D205"/>
      <c r="E205"/>
      <c r="F205"/>
      <c r="G205" s="21"/>
      <c r="H205" s="21"/>
      <c r="I205" s="21"/>
      <c r="J205" s="21"/>
      <c r="K205" s="21"/>
      <c r="L205" s="21"/>
      <c r="M205" s="10"/>
      <c r="N205" s="67"/>
      <c r="O205" s="11"/>
    </row>
    <row r="206" spans="1:15" x14ac:dyDescent="0.25">
      <c r="A206" s="6">
        <v>102</v>
      </c>
      <c r="B206" s="5" t="s">
        <v>18</v>
      </c>
      <c r="C206" s="5" t="s">
        <v>17</v>
      </c>
      <c r="D206" s="5" t="s">
        <v>47</v>
      </c>
      <c r="E206" s="5" t="s">
        <v>48</v>
      </c>
      <c r="F206" s="5" t="s">
        <v>19</v>
      </c>
      <c r="G206" s="22">
        <v>6.89</v>
      </c>
      <c r="H206" s="22">
        <v>0</v>
      </c>
      <c r="I206" s="22">
        <v>0</v>
      </c>
      <c r="J206" s="22">
        <v>0</v>
      </c>
      <c r="K206" s="22">
        <v>-6.11</v>
      </c>
      <c r="L206" s="22">
        <v>0.78</v>
      </c>
      <c r="M206" s="10"/>
      <c r="O206" s="11"/>
    </row>
    <row r="207" spans="1:15" x14ac:dyDescent="0.25">
      <c r="A207" s="6"/>
      <c r="B207" s="5"/>
      <c r="C207" s="5"/>
      <c r="D207" s="5" t="s">
        <v>47</v>
      </c>
      <c r="E207" s="5" t="s">
        <v>48</v>
      </c>
      <c r="F207" s="5" t="s">
        <v>19</v>
      </c>
      <c r="G207" s="14">
        <f t="shared" ref="G207:L207" si="49">SUBTOTAL(9,G206:G206)</f>
        <v>6.89</v>
      </c>
      <c r="H207" s="14">
        <f t="shared" si="49"/>
        <v>0</v>
      </c>
      <c r="I207" s="14">
        <f t="shared" si="49"/>
        <v>0</v>
      </c>
      <c r="J207" s="14">
        <f t="shared" si="49"/>
        <v>0</v>
      </c>
      <c r="K207" s="14">
        <f t="shared" si="49"/>
        <v>-6.11</v>
      </c>
      <c r="L207" s="14">
        <f t="shared" si="49"/>
        <v>0.78</v>
      </c>
      <c r="M207" s="10">
        <v>2198</v>
      </c>
      <c r="N207" s="69"/>
      <c r="O207" s="11">
        <f>O204+1</f>
        <v>50</v>
      </c>
    </row>
    <row r="208" spans="1:15" s="4" customFormat="1" x14ac:dyDescent="0.25">
      <c r="A208" s="10"/>
      <c r="B208"/>
      <c r="C208"/>
      <c r="D208"/>
      <c r="E208"/>
      <c r="F208"/>
      <c r="G208" s="21"/>
      <c r="H208" s="21"/>
      <c r="I208" s="21"/>
      <c r="J208" s="21"/>
      <c r="K208" s="21"/>
      <c r="L208" s="21"/>
      <c r="M208" s="10"/>
      <c r="N208" s="67"/>
      <c r="O208" s="11"/>
    </row>
    <row r="209" spans="1:15" x14ac:dyDescent="0.25">
      <c r="A209" s="6">
        <v>103</v>
      </c>
      <c r="B209" s="5" t="s">
        <v>20</v>
      </c>
      <c r="C209" s="5" t="s">
        <v>13</v>
      </c>
      <c r="D209" s="5" t="s">
        <v>47</v>
      </c>
      <c r="E209" s="5" t="s">
        <v>48</v>
      </c>
      <c r="F209" s="5" t="s">
        <v>21</v>
      </c>
      <c r="G209" s="22">
        <v>0</v>
      </c>
      <c r="H209" s="22">
        <v>0</v>
      </c>
      <c r="I209" s="22">
        <v>0</v>
      </c>
      <c r="J209" s="22">
        <v>303.27999999999997</v>
      </c>
      <c r="K209" s="22">
        <v>0</v>
      </c>
      <c r="L209" s="22">
        <v>303.27999999999997</v>
      </c>
      <c r="M209" s="10"/>
      <c r="O209" s="11"/>
    </row>
    <row r="210" spans="1:15" x14ac:dyDescent="0.25">
      <c r="A210" s="6"/>
      <c r="B210" s="5"/>
      <c r="C210" s="5"/>
      <c r="D210" s="5" t="s">
        <v>47</v>
      </c>
      <c r="E210" s="5" t="s">
        <v>48</v>
      </c>
      <c r="F210" s="5" t="s">
        <v>21</v>
      </c>
      <c r="G210" s="14">
        <f t="shared" ref="G210:L210" si="50">SUBTOTAL(9,G209:G209)</f>
        <v>0</v>
      </c>
      <c r="H210" s="14">
        <f t="shared" si="50"/>
        <v>0</v>
      </c>
      <c r="I210" s="14">
        <f t="shared" si="50"/>
        <v>0</v>
      </c>
      <c r="J210" s="14">
        <f t="shared" si="50"/>
        <v>303.27999999999997</v>
      </c>
      <c r="K210" s="14">
        <f t="shared" si="50"/>
        <v>0</v>
      </c>
      <c r="L210" s="14">
        <f t="shared" si="50"/>
        <v>303.27999999999997</v>
      </c>
      <c r="M210" s="10">
        <v>2199</v>
      </c>
      <c r="N210" s="69"/>
      <c r="O210" s="11">
        <f>O207+1</f>
        <v>51</v>
      </c>
    </row>
    <row r="211" spans="1:15" s="4" customFormat="1" x14ac:dyDescent="0.25">
      <c r="A211" s="10"/>
      <c r="B211"/>
      <c r="C211"/>
      <c r="D211"/>
      <c r="E211"/>
      <c r="F211"/>
      <c r="G211" s="21"/>
      <c r="H211" s="21"/>
      <c r="I211" s="21"/>
      <c r="J211" s="21"/>
      <c r="K211" s="21"/>
      <c r="L211" s="21"/>
      <c r="M211" s="10"/>
      <c r="N211" s="67"/>
      <c r="O211" s="11"/>
    </row>
    <row r="212" spans="1:15" x14ac:dyDescent="0.25">
      <c r="A212" s="6">
        <v>104</v>
      </c>
      <c r="B212" s="5" t="s">
        <v>22</v>
      </c>
      <c r="C212" s="5" t="s">
        <v>17</v>
      </c>
      <c r="D212" s="5" t="s">
        <v>47</v>
      </c>
      <c r="E212" s="5" t="s">
        <v>48</v>
      </c>
      <c r="F212" s="5" t="s">
        <v>23</v>
      </c>
      <c r="G212" s="22">
        <v>667.4</v>
      </c>
      <c r="H212" s="22">
        <v>0</v>
      </c>
      <c r="I212" s="22">
        <v>0</v>
      </c>
      <c r="J212" s="22">
        <v>0</v>
      </c>
      <c r="K212" s="22">
        <v>-13.34</v>
      </c>
      <c r="L212" s="22">
        <v>654.05999999999995</v>
      </c>
      <c r="M212" s="10"/>
      <c r="O212" s="11"/>
    </row>
    <row r="213" spans="1:15" x14ac:dyDescent="0.25">
      <c r="A213" s="6">
        <v>105</v>
      </c>
      <c r="B213" s="5" t="s">
        <v>22</v>
      </c>
      <c r="C213" s="5" t="s">
        <v>49</v>
      </c>
      <c r="D213" s="5" t="s">
        <v>47</v>
      </c>
      <c r="E213" s="5" t="s">
        <v>48</v>
      </c>
      <c r="F213" s="5" t="s">
        <v>23</v>
      </c>
      <c r="G213" s="22">
        <v>0.3</v>
      </c>
      <c r="H213" s="22">
        <v>0</v>
      </c>
      <c r="I213" s="22">
        <v>0</v>
      </c>
      <c r="J213" s="22">
        <v>0</v>
      </c>
      <c r="K213" s="22">
        <v>0</v>
      </c>
      <c r="L213" s="22">
        <v>0.3</v>
      </c>
      <c r="M213" s="10"/>
      <c r="N213" s="70">
        <v>0.3</v>
      </c>
      <c r="O213" s="11"/>
    </row>
    <row r="214" spans="1:15" s="4" customFormat="1" x14ac:dyDescent="0.25">
      <c r="A214" s="6"/>
      <c r="B214" s="5"/>
      <c r="C214" s="5"/>
      <c r="D214" s="5" t="s">
        <v>47</v>
      </c>
      <c r="E214" s="5" t="s">
        <v>48</v>
      </c>
      <c r="F214" s="5" t="s">
        <v>23</v>
      </c>
      <c r="G214" s="14">
        <f t="shared" ref="G214:L214" si="51">SUBTOTAL(9,G212:G213)</f>
        <v>667.69999999999993</v>
      </c>
      <c r="H214" s="14">
        <f t="shared" si="51"/>
        <v>0</v>
      </c>
      <c r="I214" s="14">
        <f t="shared" si="51"/>
        <v>0</v>
      </c>
      <c r="J214" s="14">
        <f t="shared" si="51"/>
        <v>0</v>
      </c>
      <c r="K214" s="14">
        <f t="shared" si="51"/>
        <v>-13.34</v>
      </c>
      <c r="L214" s="14">
        <f t="shared" si="51"/>
        <v>654.3599999999999</v>
      </c>
      <c r="M214" s="10">
        <v>2200</v>
      </c>
      <c r="N214" s="71">
        <f>SUBTOTAL(9,N212:N213)</f>
        <v>0.3</v>
      </c>
      <c r="O214" s="11">
        <f>O210+1</f>
        <v>52</v>
      </c>
    </row>
    <row r="215" spans="1:15" x14ac:dyDescent="0.25">
      <c r="A215" s="10"/>
      <c r="G215" s="21"/>
      <c r="H215" s="21"/>
      <c r="I215" s="21"/>
      <c r="J215" s="21"/>
      <c r="K215" s="21"/>
      <c r="L215" s="21"/>
      <c r="M215" s="10"/>
      <c r="O215" s="11"/>
    </row>
    <row r="216" spans="1:15" x14ac:dyDescent="0.25">
      <c r="A216" s="6">
        <v>106</v>
      </c>
      <c r="B216" s="5" t="s">
        <v>22</v>
      </c>
      <c r="C216" s="5" t="s">
        <v>17</v>
      </c>
      <c r="D216" s="5" t="s">
        <v>47</v>
      </c>
      <c r="E216" s="5" t="s">
        <v>48</v>
      </c>
      <c r="F216" s="5" t="s">
        <v>24</v>
      </c>
      <c r="G216" s="22">
        <v>1.3</v>
      </c>
      <c r="H216" s="22">
        <v>0</v>
      </c>
      <c r="I216" s="22">
        <v>0</v>
      </c>
      <c r="J216" s="22">
        <v>0</v>
      </c>
      <c r="K216" s="22">
        <v>-0.03</v>
      </c>
      <c r="L216" s="22">
        <v>1.27</v>
      </c>
      <c r="M216" s="10"/>
      <c r="O216" s="11"/>
    </row>
    <row r="217" spans="1:15" s="4" customFormat="1" x14ac:dyDescent="0.25">
      <c r="A217" s="6"/>
      <c r="B217" s="5"/>
      <c r="C217" s="5"/>
      <c r="D217" s="5" t="s">
        <v>47</v>
      </c>
      <c r="E217" s="5" t="s">
        <v>48</v>
      </c>
      <c r="F217" s="5" t="s">
        <v>24</v>
      </c>
      <c r="G217" s="14">
        <f t="shared" ref="G217:L217" si="52">SUBTOTAL(9,G216:G216)</f>
        <v>1.3</v>
      </c>
      <c r="H217" s="14">
        <f t="shared" si="52"/>
        <v>0</v>
      </c>
      <c r="I217" s="14">
        <f t="shared" si="52"/>
        <v>0</v>
      </c>
      <c r="J217" s="14">
        <f t="shared" si="52"/>
        <v>0</v>
      </c>
      <c r="K217" s="14">
        <f t="shared" si="52"/>
        <v>-0.03</v>
      </c>
      <c r="L217" s="14">
        <f t="shared" si="52"/>
        <v>1.27</v>
      </c>
      <c r="M217" s="10">
        <v>2121</v>
      </c>
      <c r="N217" s="69"/>
      <c r="O217" s="11">
        <f>O214+1</f>
        <v>53</v>
      </c>
    </row>
    <row r="218" spans="1:15" x14ac:dyDescent="0.25">
      <c r="A218" s="10"/>
      <c r="G218" s="21"/>
      <c r="H218" s="21"/>
      <c r="I218" s="21"/>
      <c r="J218" s="21"/>
      <c r="K218" s="21"/>
      <c r="L218" s="21"/>
      <c r="M218" s="10"/>
      <c r="O218" s="11"/>
    </row>
    <row r="219" spans="1:15" x14ac:dyDescent="0.25">
      <c r="A219" s="6">
        <v>107</v>
      </c>
      <c r="B219" s="5" t="s">
        <v>550</v>
      </c>
      <c r="C219" s="5" t="s">
        <v>17</v>
      </c>
      <c r="D219" s="5" t="s">
        <v>47</v>
      </c>
      <c r="E219" s="5" t="s">
        <v>48</v>
      </c>
      <c r="F219" s="5" t="s">
        <v>551</v>
      </c>
      <c r="G219" s="22">
        <v>266269.8</v>
      </c>
      <c r="H219" s="22">
        <v>0</v>
      </c>
      <c r="I219" s="22">
        <v>0</v>
      </c>
      <c r="J219" s="22">
        <v>0</v>
      </c>
      <c r="K219" s="22">
        <v>-5325.4</v>
      </c>
      <c r="L219" s="22">
        <v>260944.4</v>
      </c>
      <c r="M219" s="10"/>
      <c r="O219" s="11"/>
    </row>
    <row r="220" spans="1:15" s="4" customFormat="1" x14ac:dyDescent="0.25">
      <c r="A220" s="6">
        <v>108</v>
      </c>
      <c r="B220" s="5" t="s">
        <v>550</v>
      </c>
      <c r="C220" s="5" t="s">
        <v>13</v>
      </c>
      <c r="D220" s="5" t="s">
        <v>47</v>
      </c>
      <c r="E220" s="5" t="s">
        <v>48</v>
      </c>
      <c r="F220" s="5" t="s">
        <v>551</v>
      </c>
      <c r="G220" s="22">
        <v>0</v>
      </c>
      <c r="H220" s="22">
        <v>0</v>
      </c>
      <c r="I220" s="22">
        <v>0</v>
      </c>
      <c r="J220" s="22">
        <v>31952.38</v>
      </c>
      <c r="K220" s="22">
        <v>0</v>
      </c>
      <c r="L220" s="22">
        <v>31952.38</v>
      </c>
      <c r="M220" s="10"/>
      <c r="N220" s="67"/>
      <c r="O220" s="11"/>
    </row>
    <row r="221" spans="1:15" x14ac:dyDescent="0.25">
      <c r="A221" s="6"/>
      <c r="B221" s="5"/>
      <c r="C221" s="5"/>
      <c r="D221" s="5" t="s">
        <v>47</v>
      </c>
      <c r="E221" s="5" t="s">
        <v>48</v>
      </c>
      <c r="F221" s="5" t="s">
        <v>551</v>
      </c>
      <c r="G221" s="14">
        <f t="shared" ref="G221:L221" si="53">SUBTOTAL(9,G219:G220)</f>
        <v>266269.8</v>
      </c>
      <c r="H221" s="14">
        <f t="shared" si="53"/>
        <v>0</v>
      </c>
      <c r="I221" s="14">
        <f t="shared" si="53"/>
        <v>0</v>
      </c>
      <c r="J221" s="14">
        <f t="shared" si="53"/>
        <v>31952.38</v>
      </c>
      <c r="K221" s="14">
        <f t="shared" si="53"/>
        <v>-5325.4</v>
      </c>
      <c r="L221" s="14">
        <f t="shared" si="53"/>
        <v>292896.77999999997</v>
      </c>
      <c r="M221" s="10">
        <v>2122</v>
      </c>
      <c r="N221" s="69"/>
      <c r="O221" s="11">
        <f>O217+1</f>
        <v>54</v>
      </c>
    </row>
    <row r="222" spans="1:15" x14ac:dyDescent="0.25">
      <c r="A222" s="10"/>
      <c r="G222" s="21"/>
      <c r="H222" s="21"/>
      <c r="I222" s="21"/>
      <c r="J222" s="21"/>
      <c r="K222" s="21"/>
      <c r="L222" s="21"/>
      <c r="M222" s="10"/>
      <c r="O222" s="11"/>
    </row>
    <row r="223" spans="1:15" s="4" customFormat="1" x14ac:dyDescent="0.25">
      <c r="A223" s="6">
        <v>109</v>
      </c>
      <c r="B223" s="5" t="s">
        <v>550</v>
      </c>
      <c r="C223" s="5" t="s">
        <v>17</v>
      </c>
      <c r="D223" s="5" t="s">
        <v>47</v>
      </c>
      <c r="E223" s="5" t="s">
        <v>48</v>
      </c>
      <c r="F223" s="5" t="s">
        <v>552</v>
      </c>
      <c r="G223" s="22">
        <v>19.149999999999999</v>
      </c>
      <c r="H223" s="22">
        <v>0</v>
      </c>
      <c r="I223" s="22">
        <v>0</v>
      </c>
      <c r="J223" s="22">
        <v>0</v>
      </c>
      <c r="K223" s="22">
        <v>-0.38</v>
      </c>
      <c r="L223" s="22">
        <v>18.77</v>
      </c>
      <c r="M223" s="10"/>
      <c r="N223" s="67"/>
      <c r="O223" s="11"/>
    </row>
    <row r="224" spans="1:15" s="4" customFormat="1" x14ac:dyDescent="0.25">
      <c r="A224" s="6">
        <v>110</v>
      </c>
      <c r="B224" s="5" t="s">
        <v>550</v>
      </c>
      <c r="C224" s="5" t="s">
        <v>13</v>
      </c>
      <c r="D224" s="5" t="s">
        <v>47</v>
      </c>
      <c r="E224" s="5" t="s">
        <v>48</v>
      </c>
      <c r="F224" s="5" t="s">
        <v>552</v>
      </c>
      <c r="G224" s="22">
        <v>0</v>
      </c>
      <c r="H224" s="22">
        <v>0</v>
      </c>
      <c r="I224" s="22">
        <v>0</v>
      </c>
      <c r="J224" s="22">
        <v>2.2999999999999998</v>
      </c>
      <c r="K224" s="22">
        <v>0</v>
      </c>
      <c r="L224" s="22">
        <v>2.2999999999999998</v>
      </c>
      <c r="M224" s="10"/>
      <c r="N224" s="67"/>
      <c r="O224" s="11"/>
    </row>
    <row r="225" spans="1:15" s="4" customFormat="1" x14ac:dyDescent="0.25">
      <c r="A225" s="6"/>
      <c r="B225" s="5"/>
      <c r="C225" s="5"/>
      <c r="D225" s="5" t="s">
        <v>47</v>
      </c>
      <c r="E225" s="5" t="s">
        <v>48</v>
      </c>
      <c r="F225" s="5" t="s">
        <v>552</v>
      </c>
      <c r="G225" s="14">
        <f t="shared" ref="G225:L225" si="54">SUBTOTAL(9,G223:G224)</f>
        <v>19.149999999999999</v>
      </c>
      <c r="H225" s="14">
        <f t="shared" si="54"/>
        <v>0</v>
      </c>
      <c r="I225" s="14">
        <f t="shared" si="54"/>
        <v>0</v>
      </c>
      <c r="J225" s="14">
        <f t="shared" si="54"/>
        <v>2.2999999999999998</v>
      </c>
      <c r="K225" s="14">
        <f t="shared" si="54"/>
        <v>-0.38</v>
      </c>
      <c r="L225" s="14">
        <f t="shared" si="54"/>
        <v>21.07</v>
      </c>
      <c r="M225" s="10">
        <v>2123</v>
      </c>
      <c r="N225" s="69"/>
      <c r="O225" s="11">
        <f>O221+1</f>
        <v>55</v>
      </c>
    </row>
    <row r="226" spans="1:15" s="4" customFormat="1" x14ac:dyDescent="0.25">
      <c r="A226" s="10"/>
      <c r="B226"/>
      <c r="C226"/>
      <c r="D226"/>
      <c r="E226"/>
      <c r="F226"/>
      <c r="G226" s="21"/>
      <c r="H226" s="21"/>
      <c r="I226" s="21"/>
      <c r="J226" s="21"/>
      <c r="K226" s="21"/>
      <c r="L226" s="21"/>
      <c r="M226" s="10"/>
      <c r="N226" s="67"/>
      <c r="O226" s="11"/>
    </row>
    <row r="227" spans="1:15" x14ac:dyDescent="0.25">
      <c r="A227" s="6">
        <v>111</v>
      </c>
      <c r="B227" s="5" t="s">
        <v>568</v>
      </c>
      <c r="C227" s="5" t="s">
        <v>17</v>
      </c>
      <c r="D227" s="5" t="s">
        <v>569</v>
      </c>
      <c r="E227" s="5" t="s">
        <v>570</v>
      </c>
      <c r="F227" s="5" t="s">
        <v>571</v>
      </c>
      <c r="G227" s="22">
        <v>0.09</v>
      </c>
      <c r="H227" s="22">
        <v>0</v>
      </c>
      <c r="I227" s="22">
        <v>0</v>
      </c>
      <c r="J227" s="22">
        <v>0</v>
      </c>
      <c r="K227" s="22">
        <v>0</v>
      </c>
      <c r="L227" s="22">
        <v>0.09</v>
      </c>
      <c r="M227" s="10"/>
      <c r="O227" s="11"/>
    </row>
    <row r="228" spans="1:15" x14ac:dyDescent="0.25">
      <c r="A228" s="6">
        <v>112</v>
      </c>
      <c r="B228" s="5" t="s">
        <v>568</v>
      </c>
      <c r="C228" s="5" t="s">
        <v>13</v>
      </c>
      <c r="D228" s="5" t="s">
        <v>569</v>
      </c>
      <c r="E228" s="5" t="s">
        <v>570</v>
      </c>
      <c r="F228" s="5" t="s">
        <v>571</v>
      </c>
      <c r="G228" s="22">
        <v>0</v>
      </c>
      <c r="H228" s="22">
        <v>0</v>
      </c>
      <c r="I228" s="22">
        <v>0</v>
      </c>
      <c r="J228" s="22">
        <v>0.01</v>
      </c>
      <c r="K228" s="22">
        <v>0</v>
      </c>
      <c r="L228" s="22">
        <v>0.01</v>
      </c>
      <c r="M228" s="10"/>
      <c r="O228" s="11"/>
    </row>
    <row r="229" spans="1:15" s="4" customFormat="1" x14ac:dyDescent="0.25">
      <c r="A229" s="6"/>
      <c r="B229" s="5"/>
      <c r="C229" s="5"/>
      <c r="D229" s="5" t="s">
        <v>569</v>
      </c>
      <c r="E229" s="5" t="s">
        <v>570</v>
      </c>
      <c r="F229" s="5" t="s">
        <v>571</v>
      </c>
      <c r="G229" s="14">
        <f t="shared" ref="G229:L229" si="55">SUBTOTAL(9,G227:G228)</f>
        <v>0.09</v>
      </c>
      <c r="H229" s="14">
        <f t="shared" si="55"/>
        <v>0</v>
      </c>
      <c r="I229" s="14">
        <f t="shared" si="55"/>
        <v>0</v>
      </c>
      <c r="J229" s="14">
        <f t="shared" si="55"/>
        <v>0.01</v>
      </c>
      <c r="K229" s="14">
        <f t="shared" si="55"/>
        <v>0</v>
      </c>
      <c r="L229" s="14">
        <f t="shared" si="55"/>
        <v>9.9999999999999992E-2</v>
      </c>
      <c r="M229" s="10">
        <v>2124</v>
      </c>
      <c r="N229" s="69"/>
      <c r="O229" s="11">
        <f>O225+1</f>
        <v>56</v>
      </c>
    </row>
    <row r="230" spans="1:15" s="4" customFormat="1" x14ac:dyDescent="0.25">
      <c r="A230" s="10"/>
      <c r="B230"/>
      <c r="C230"/>
      <c r="D230"/>
      <c r="E230"/>
      <c r="F230"/>
      <c r="G230" s="21"/>
      <c r="H230" s="21"/>
      <c r="I230" s="21"/>
      <c r="J230" s="21"/>
      <c r="K230" s="21"/>
      <c r="L230" s="21"/>
      <c r="M230" s="10"/>
      <c r="N230" s="67"/>
      <c r="O230" s="11"/>
    </row>
    <row r="231" spans="1:15" s="4" customFormat="1" x14ac:dyDescent="0.25">
      <c r="A231" s="6">
        <v>113</v>
      </c>
      <c r="B231" s="5" t="s">
        <v>572</v>
      </c>
      <c r="C231" s="5" t="s">
        <v>17</v>
      </c>
      <c r="D231" s="5" t="s">
        <v>569</v>
      </c>
      <c r="E231" s="5" t="s">
        <v>570</v>
      </c>
      <c r="F231" s="5" t="s">
        <v>573</v>
      </c>
      <c r="G231" s="22">
        <v>0.09</v>
      </c>
      <c r="H231" s="22">
        <v>0</v>
      </c>
      <c r="I231" s="22">
        <v>0</v>
      </c>
      <c r="J231" s="22">
        <v>0</v>
      </c>
      <c r="K231" s="22">
        <v>0</v>
      </c>
      <c r="L231" s="22">
        <v>0.09</v>
      </c>
      <c r="M231" s="10"/>
      <c r="N231" s="67"/>
      <c r="O231" s="11"/>
    </row>
    <row r="232" spans="1:15" x14ac:dyDescent="0.25">
      <c r="A232" s="6">
        <v>114</v>
      </c>
      <c r="B232" s="5" t="s">
        <v>572</v>
      </c>
      <c r="C232" s="5" t="s">
        <v>13</v>
      </c>
      <c r="D232" s="5" t="s">
        <v>569</v>
      </c>
      <c r="E232" s="5" t="s">
        <v>570</v>
      </c>
      <c r="F232" s="5" t="s">
        <v>573</v>
      </c>
      <c r="G232" s="22">
        <v>0</v>
      </c>
      <c r="H232" s="22">
        <v>0</v>
      </c>
      <c r="I232" s="22">
        <v>0</v>
      </c>
      <c r="J232" s="22">
        <v>0.01</v>
      </c>
      <c r="K232" s="22">
        <v>0</v>
      </c>
      <c r="L232" s="22">
        <v>0.01</v>
      </c>
      <c r="M232" s="10"/>
      <c r="O232" s="11"/>
    </row>
    <row r="233" spans="1:15" x14ac:dyDescent="0.25">
      <c r="A233" s="6"/>
      <c r="B233" s="5"/>
      <c r="C233" s="5"/>
      <c r="D233" s="5" t="s">
        <v>569</v>
      </c>
      <c r="E233" s="5" t="s">
        <v>570</v>
      </c>
      <c r="F233" s="5" t="s">
        <v>573</v>
      </c>
      <c r="G233" s="14">
        <f t="shared" ref="G233:L233" si="56">SUBTOTAL(9,G231:G232)</f>
        <v>0.09</v>
      </c>
      <c r="H233" s="14">
        <f t="shared" si="56"/>
        <v>0</v>
      </c>
      <c r="I233" s="14">
        <f t="shared" si="56"/>
        <v>0</v>
      </c>
      <c r="J233" s="14">
        <f t="shared" si="56"/>
        <v>0.01</v>
      </c>
      <c r="K233" s="14">
        <f t="shared" si="56"/>
        <v>0</v>
      </c>
      <c r="L233" s="14">
        <f t="shared" si="56"/>
        <v>9.9999999999999992E-2</v>
      </c>
      <c r="M233" s="10">
        <v>2125</v>
      </c>
      <c r="N233" s="69"/>
      <c r="O233" s="11">
        <f>O229+1</f>
        <v>57</v>
      </c>
    </row>
    <row r="234" spans="1:15" s="4" customFormat="1" x14ac:dyDescent="0.25">
      <c r="A234" s="10"/>
      <c r="B234"/>
      <c r="C234"/>
      <c r="D234"/>
      <c r="E234"/>
      <c r="F234"/>
      <c r="G234" s="21"/>
      <c r="H234" s="21"/>
      <c r="I234" s="21"/>
      <c r="J234" s="21"/>
      <c r="K234" s="21"/>
      <c r="L234" s="21"/>
      <c r="M234" s="10"/>
      <c r="N234" s="67"/>
      <c r="O234" s="11"/>
    </row>
    <row r="235" spans="1:15" x14ac:dyDescent="0.25">
      <c r="A235" s="6">
        <v>115</v>
      </c>
      <c r="B235" s="5" t="s">
        <v>557</v>
      </c>
      <c r="C235" s="5" t="s">
        <v>17</v>
      </c>
      <c r="D235" s="5" t="s">
        <v>569</v>
      </c>
      <c r="E235" s="5" t="s">
        <v>570</v>
      </c>
      <c r="F235" s="5" t="s">
        <v>558</v>
      </c>
      <c r="G235" s="22">
        <v>0.03</v>
      </c>
      <c r="H235" s="22">
        <v>0</v>
      </c>
      <c r="I235" s="22">
        <v>0</v>
      </c>
      <c r="J235" s="22">
        <v>0</v>
      </c>
      <c r="K235" s="22">
        <v>0</v>
      </c>
      <c r="L235" s="22">
        <v>0.03</v>
      </c>
      <c r="M235" s="10"/>
      <c r="O235" s="11"/>
    </row>
    <row r="236" spans="1:15" x14ac:dyDescent="0.25">
      <c r="A236" s="6"/>
      <c r="B236" s="5"/>
      <c r="C236" s="5"/>
      <c r="D236" s="5" t="s">
        <v>569</v>
      </c>
      <c r="E236" s="5" t="s">
        <v>570</v>
      </c>
      <c r="F236" s="5" t="s">
        <v>558</v>
      </c>
      <c r="G236" s="14">
        <f t="shared" ref="G236:L236" si="57">SUBTOTAL(9,G235:G235)</f>
        <v>0.03</v>
      </c>
      <c r="H236" s="14">
        <f t="shared" si="57"/>
        <v>0</v>
      </c>
      <c r="I236" s="14">
        <f t="shared" si="57"/>
        <v>0</v>
      </c>
      <c r="J236" s="14">
        <f t="shared" si="57"/>
        <v>0</v>
      </c>
      <c r="K236" s="14">
        <f t="shared" si="57"/>
        <v>0</v>
      </c>
      <c r="L236" s="14">
        <f t="shared" si="57"/>
        <v>0.03</v>
      </c>
      <c r="M236" s="10">
        <v>2126</v>
      </c>
      <c r="N236" s="69"/>
      <c r="O236" s="11">
        <f>O233+1</f>
        <v>58</v>
      </c>
    </row>
    <row r="237" spans="1:15" s="4" customFormat="1" x14ac:dyDescent="0.25">
      <c r="A237" s="10"/>
      <c r="B237"/>
      <c r="C237"/>
      <c r="D237"/>
      <c r="E237"/>
      <c r="F237"/>
      <c r="G237" s="21"/>
      <c r="H237" s="21"/>
      <c r="I237" s="21"/>
      <c r="J237" s="21"/>
      <c r="K237" s="21"/>
      <c r="L237" s="21"/>
      <c r="M237" s="10"/>
      <c r="N237" s="67"/>
      <c r="O237" s="11"/>
    </row>
    <row r="238" spans="1:15" x14ac:dyDescent="0.25">
      <c r="A238" s="6">
        <v>116</v>
      </c>
      <c r="B238" s="5" t="s">
        <v>37</v>
      </c>
      <c r="C238" s="5" t="s">
        <v>17</v>
      </c>
      <c r="D238" s="5" t="s">
        <v>569</v>
      </c>
      <c r="E238" s="5" t="s">
        <v>570</v>
      </c>
      <c r="F238" s="5" t="s">
        <v>38</v>
      </c>
      <c r="G238" s="22">
        <v>0</v>
      </c>
      <c r="H238" s="22">
        <v>0</v>
      </c>
      <c r="I238" s="22">
        <v>0</v>
      </c>
      <c r="J238" s="22">
        <v>0</v>
      </c>
      <c r="K238" s="22">
        <v>0</v>
      </c>
      <c r="L238" s="22">
        <v>0</v>
      </c>
      <c r="M238" s="10"/>
      <c r="O238" s="11"/>
    </row>
    <row r="239" spans="1:15" x14ac:dyDescent="0.25">
      <c r="A239" s="6">
        <v>117</v>
      </c>
      <c r="B239" s="5" t="s">
        <v>37</v>
      </c>
      <c r="C239" s="5" t="s">
        <v>13</v>
      </c>
      <c r="D239" s="5" t="s">
        <v>569</v>
      </c>
      <c r="E239" s="5" t="s">
        <v>570</v>
      </c>
      <c r="F239" s="5" t="s">
        <v>38</v>
      </c>
      <c r="G239" s="22">
        <v>0</v>
      </c>
      <c r="H239" s="22">
        <v>0</v>
      </c>
      <c r="I239" s="22">
        <v>0</v>
      </c>
      <c r="J239" s="22">
        <v>0</v>
      </c>
      <c r="K239" s="22">
        <v>0</v>
      </c>
      <c r="L239" s="22">
        <v>0</v>
      </c>
      <c r="M239" s="10"/>
      <c r="O239" s="11"/>
    </row>
    <row r="240" spans="1:15" s="4" customFormat="1" x14ac:dyDescent="0.25">
      <c r="A240" s="28"/>
      <c r="B240" s="29"/>
      <c r="C240" s="29"/>
      <c r="D240" s="29"/>
      <c r="E240" s="29"/>
      <c r="F240" s="30" t="s">
        <v>655</v>
      </c>
      <c r="G240" s="31">
        <f t="shared" ref="G240:L240" si="58">SUBTOTAL(9,G238:G239)</f>
        <v>0</v>
      </c>
      <c r="H240" s="31">
        <f t="shared" si="58"/>
        <v>0</v>
      </c>
      <c r="I240" s="31">
        <f t="shared" si="58"/>
        <v>0</v>
      </c>
      <c r="J240" s="31">
        <f t="shared" si="58"/>
        <v>0</v>
      </c>
      <c r="K240" s="31">
        <f t="shared" si="58"/>
        <v>0</v>
      </c>
      <c r="L240" s="31">
        <f t="shared" si="58"/>
        <v>0</v>
      </c>
      <c r="M240" s="15"/>
      <c r="N240" s="69"/>
      <c r="O240" s="11"/>
    </row>
    <row r="241" spans="1:15" x14ac:dyDescent="0.25">
      <c r="A241" s="10"/>
      <c r="G241" s="21"/>
      <c r="H241" s="21"/>
      <c r="I241" s="21"/>
      <c r="J241" s="21"/>
      <c r="K241" s="21"/>
      <c r="L241" s="21"/>
      <c r="M241" s="10"/>
      <c r="O241" s="11"/>
    </row>
    <row r="242" spans="1:15" x14ac:dyDescent="0.25">
      <c r="A242" s="6">
        <v>118</v>
      </c>
      <c r="B242" s="5" t="s">
        <v>18</v>
      </c>
      <c r="C242" s="5" t="s">
        <v>17</v>
      </c>
      <c r="D242" s="5" t="s">
        <v>569</v>
      </c>
      <c r="E242" s="5" t="s">
        <v>570</v>
      </c>
      <c r="F242" s="5" t="s">
        <v>19</v>
      </c>
      <c r="G242" s="22">
        <v>0.52</v>
      </c>
      <c r="H242" s="22">
        <v>0</v>
      </c>
      <c r="I242" s="22">
        <v>0</v>
      </c>
      <c r="J242" s="22">
        <v>0</v>
      </c>
      <c r="K242" s="22">
        <v>-0.01</v>
      </c>
      <c r="L242" s="22">
        <v>0.51</v>
      </c>
      <c r="M242" s="10"/>
      <c r="O242" s="11"/>
    </row>
    <row r="243" spans="1:15" s="4" customFormat="1" x14ac:dyDescent="0.25">
      <c r="A243" s="6">
        <v>119</v>
      </c>
      <c r="B243" s="5" t="s">
        <v>18</v>
      </c>
      <c r="C243" s="5" t="s">
        <v>13</v>
      </c>
      <c r="D243" s="5" t="s">
        <v>569</v>
      </c>
      <c r="E243" s="5" t="s">
        <v>570</v>
      </c>
      <c r="F243" s="5" t="s">
        <v>19</v>
      </c>
      <c r="G243" s="22">
        <v>0</v>
      </c>
      <c r="H243" s="22">
        <v>0</v>
      </c>
      <c r="I243" s="22">
        <v>0</v>
      </c>
      <c r="J243" s="22">
        <v>0.06</v>
      </c>
      <c r="K243" s="22">
        <v>0</v>
      </c>
      <c r="L243" s="22">
        <v>0.06</v>
      </c>
      <c r="M243" s="10"/>
      <c r="N243" s="67"/>
      <c r="O243" s="11"/>
    </row>
    <row r="244" spans="1:15" s="4" customFormat="1" x14ac:dyDescent="0.25">
      <c r="A244" s="6"/>
      <c r="B244" s="5"/>
      <c r="C244" s="5"/>
      <c r="D244" s="5" t="s">
        <v>569</v>
      </c>
      <c r="E244" s="5" t="s">
        <v>570</v>
      </c>
      <c r="F244" s="5" t="s">
        <v>19</v>
      </c>
      <c r="G244" s="14">
        <f t="shared" ref="G244:L244" si="59">SUBTOTAL(9,G242:G243)</f>
        <v>0.52</v>
      </c>
      <c r="H244" s="14">
        <f t="shared" si="59"/>
        <v>0</v>
      </c>
      <c r="I244" s="14">
        <f t="shared" si="59"/>
        <v>0</v>
      </c>
      <c r="J244" s="14">
        <f t="shared" si="59"/>
        <v>0.06</v>
      </c>
      <c r="K244" s="14">
        <f t="shared" si="59"/>
        <v>-0.01</v>
      </c>
      <c r="L244" s="14">
        <f t="shared" si="59"/>
        <v>0.57000000000000006</v>
      </c>
      <c r="M244" s="10">
        <v>2127</v>
      </c>
      <c r="N244" s="69"/>
      <c r="O244" s="11">
        <f>O236+1</f>
        <v>59</v>
      </c>
    </row>
    <row r="245" spans="1:15" x14ac:dyDescent="0.25">
      <c r="A245" s="10"/>
      <c r="G245" s="21"/>
      <c r="H245" s="21"/>
      <c r="I245" s="21"/>
      <c r="J245" s="21"/>
      <c r="K245" s="21"/>
      <c r="L245" s="21"/>
      <c r="M245" s="10"/>
      <c r="O245" s="11"/>
    </row>
    <row r="246" spans="1:15" x14ac:dyDescent="0.25">
      <c r="A246" s="6">
        <v>120</v>
      </c>
      <c r="B246" s="5" t="s">
        <v>20</v>
      </c>
      <c r="C246" s="5" t="s">
        <v>17</v>
      </c>
      <c r="D246" s="5" t="s">
        <v>569</v>
      </c>
      <c r="E246" s="5" t="s">
        <v>570</v>
      </c>
      <c r="F246" s="5" t="s">
        <v>21</v>
      </c>
      <c r="G246" s="22">
        <v>0.15</v>
      </c>
      <c r="H246" s="22">
        <v>0</v>
      </c>
      <c r="I246" s="22">
        <v>0</v>
      </c>
      <c r="J246" s="22">
        <v>0</v>
      </c>
      <c r="K246" s="22">
        <v>0</v>
      </c>
      <c r="L246" s="22">
        <v>0.15</v>
      </c>
      <c r="M246" s="10"/>
      <c r="O246" s="11"/>
    </row>
    <row r="247" spans="1:15" s="4" customFormat="1" x14ac:dyDescent="0.25">
      <c r="A247" s="6">
        <v>121</v>
      </c>
      <c r="B247" s="5" t="s">
        <v>20</v>
      </c>
      <c r="C247" s="5" t="s">
        <v>13</v>
      </c>
      <c r="D247" s="5" t="s">
        <v>569</v>
      </c>
      <c r="E247" s="5" t="s">
        <v>570</v>
      </c>
      <c r="F247" s="5" t="s">
        <v>21</v>
      </c>
      <c r="G247" s="22">
        <v>0</v>
      </c>
      <c r="H247" s="22">
        <v>0</v>
      </c>
      <c r="I247" s="22">
        <v>0</v>
      </c>
      <c r="J247" s="22">
        <v>0.02</v>
      </c>
      <c r="K247" s="22">
        <v>0</v>
      </c>
      <c r="L247" s="22">
        <v>0.02</v>
      </c>
      <c r="M247" s="10"/>
      <c r="N247" s="67"/>
      <c r="O247" s="11"/>
    </row>
    <row r="248" spans="1:15" s="4" customFormat="1" x14ac:dyDescent="0.25">
      <c r="A248" s="6"/>
      <c r="B248" s="5"/>
      <c r="C248" s="5"/>
      <c r="D248" s="5" t="s">
        <v>569</v>
      </c>
      <c r="E248" s="5" t="s">
        <v>570</v>
      </c>
      <c r="F248" s="5" t="s">
        <v>21</v>
      </c>
      <c r="G248" s="14">
        <f t="shared" ref="G248:L248" si="60">SUBTOTAL(9,G246:G247)</f>
        <v>0.15</v>
      </c>
      <c r="H248" s="14">
        <f t="shared" si="60"/>
        <v>0</v>
      </c>
      <c r="I248" s="14">
        <f t="shared" si="60"/>
        <v>0</v>
      </c>
      <c r="J248" s="14">
        <f t="shared" si="60"/>
        <v>0.02</v>
      </c>
      <c r="K248" s="14">
        <f t="shared" si="60"/>
        <v>0</v>
      </c>
      <c r="L248" s="14">
        <f t="shared" si="60"/>
        <v>0.16999999999999998</v>
      </c>
      <c r="M248" s="10">
        <v>2128</v>
      </c>
      <c r="N248" s="69"/>
      <c r="O248" s="11">
        <f>O244+1</f>
        <v>60</v>
      </c>
    </row>
    <row r="249" spans="1:15" x14ac:dyDescent="0.25">
      <c r="A249" s="10"/>
      <c r="G249" s="21"/>
      <c r="H249" s="21"/>
      <c r="I249" s="21"/>
      <c r="J249" s="21"/>
      <c r="K249" s="21"/>
      <c r="L249" s="21"/>
      <c r="M249" s="10"/>
      <c r="O249" s="11"/>
    </row>
    <row r="250" spans="1:15" x14ac:dyDescent="0.25">
      <c r="A250" s="6">
        <v>122</v>
      </c>
      <c r="B250" s="5" t="s">
        <v>22</v>
      </c>
      <c r="C250" s="5" t="s">
        <v>17</v>
      </c>
      <c r="D250" s="5" t="s">
        <v>569</v>
      </c>
      <c r="E250" s="5" t="s">
        <v>570</v>
      </c>
      <c r="F250" s="5" t="s">
        <v>23</v>
      </c>
      <c r="G250" s="22">
        <v>21.3</v>
      </c>
      <c r="H250" s="22">
        <v>0</v>
      </c>
      <c r="I250" s="22">
        <v>0</v>
      </c>
      <c r="J250" s="22">
        <v>0</v>
      </c>
      <c r="K250" s="22">
        <v>-0.43</v>
      </c>
      <c r="L250" s="22">
        <v>20.87</v>
      </c>
      <c r="M250" s="10"/>
      <c r="O250" s="11"/>
    </row>
    <row r="251" spans="1:15" s="4" customFormat="1" x14ac:dyDescent="0.25">
      <c r="A251" s="6">
        <v>123</v>
      </c>
      <c r="B251" s="5" t="s">
        <v>22</v>
      </c>
      <c r="C251" s="5" t="s">
        <v>17</v>
      </c>
      <c r="D251" s="5" t="s">
        <v>569</v>
      </c>
      <c r="E251" s="5" t="s">
        <v>570</v>
      </c>
      <c r="F251" s="5" t="s">
        <v>23</v>
      </c>
      <c r="G251" s="22">
        <v>0.17</v>
      </c>
      <c r="H251" s="22">
        <v>0</v>
      </c>
      <c r="I251" s="22">
        <v>0</v>
      </c>
      <c r="J251" s="22">
        <v>0</v>
      </c>
      <c r="K251" s="22">
        <v>0</v>
      </c>
      <c r="L251" s="22">
        <v>0.17</v>
      </c>
      <c r="M251" s="10"/>
      <c r="N251" s="67"/>
      <c r="O251" s="11"/>
    </row>
    <row r="252" spans="1:15" x14ac:dyDescent="0.25">
      <c r="A252" s="6">
        <v>124</v>
      </c>
      <c r="B252" s="5" t="s">
        <v>22</v>
      </c>
      <c r="C252" s="5" t="s">
        <v>49</v>
      </c>
      <c r="D252" s="5" t="s">
        <v>569</v>
      </c>
      <c r="E252" s="5" t="s">
        <v>570</v>
      </c>
      <c r="F252" s="5" t="s">
        <v>23</v>
      </c>
      <c r="G252" s="22">
        <v>0.02</v>
      </c>
      <c r="H252" s="22">
        <v>0</v>
      </c>
      <c r="I252" s="22">
        <v>0</v>
      </c>
      <c r="J252" s="22">
        <v>0</v>
      </c>
      <c r="K252" s="22">
        <v>0</v>
      </c>
      <c r="L252" s="22">
        <v>0.02</v>
      </c>
      <c r="M252" s="10"/>
      <c r="N252" s="70">
        <v>0.02</v>
      </c>
      <c r="O252" s="11"/>
    </row>
    <row r="253" spans="1:15" x14ac:dyDescent="0.25">
      <c r="A253" s="6">
        <v>125</v>
      </c>
      <c r="B253" s="5" t="s">
        <v>22</v>
      </c>
      <c r="C253" s="5" t="s">
        <v>17</v>
      </c>
      <c r="D253" s="5" t="s">
        <v>569</v>
      </c>
      <c r="E253" s="5" t="s">
        <v>570</v>
      </c>
      <c r="F253" s="5" t="s">
        <v>23</v>
      </c>
      <c r="G253" s="22">
        <v>0.01</v>
      </c>
      <c r="H253" s="22">
        <v>0</v>
      </c>
      <c r="I253" s="22">
        <v>0</v>
      </c>
      <c r="J253" s="22">
        <v>0</v>
      </c>
      <c r="K253" s="22">
        <v>0</v>
      </c>
      <c r="L253" s="22">
        <v>0.01</v>
      </c>
      <c r="M253" s="10"/>
      <c r="O253" s="11"/>
    </row>
    <row r="254" spans="1:15" s="4" customFormat="1" x14ac:dyDescent="0.25">
      <c r="A254" s="6">
        <v>126</v>
      </c>
      <c r="B254" s="5" t="s">
        <v>22</v>
      </c>
      <c r="C254" s="5" t="s">
        <v>13</v>
      </c>
      <c r="D254" s="5" t="s">
        <v>569</v>
      </c>
      <c r="E254" s="5" t="s">
        <v>570</v>
      </c>
      <c r="F254" s="5" t="s">
        <v>23</v>
      </c>
      <c r="G254" s="22">
        <v>0</v>
      </c>
      <c r="H254" s="22">
        <v>0</v>
      </c>
      <c r="I254" s="22">
        <v>0</v>
      </c>
      <c r="J254" s="22">
        <v>2.56</v>
      </c>
      <c r="K254" s="22">
        <v>0</v>
      </c>
      <c r="L254" s="22">
        <v>2.56</v>
      </c>
      <c r="M254" s="10"/>
      <c r="N254" s="67"/>
      <c r="O254" s="11"/>
    </row>
    <row r="255" spans="1:15" x14ac:dyDescent="0.25">
      <c r="A255" s="6">
        <v>127</v>
      </c>
      <c r="B255" s="5" t="s">
        <v>22</v>
      </c>
      <c r="C255" s="5" t="s">
        <v>13</v>
      </c>
      <c r="D255" s="5" t="s">
        <v>569</v>
      </c>
      <c r="E255" s="5" t="s">
        <v>570</v>
      </c>
      <c r="F255" s="5" t="s">
        <v>23</v>
      </c>
      <c r="G255" s="22">
        <v>0</v>
      </c>
      <c r="H255" s="22">
        <v>0</v>
      </c>
      <c r="I255" s="22">
        <v>0</v>
      </c>
      <c r="J255" s="22">
        <v>0.02</v>
      </c>
      <c r="K255" s="22">
        <v>0</v>
      </c>
      <c r="L255" s="22">
        <v>0.02</v>
      </c>
      <c r="M255" s="10"/>
      <c r="O255" s="11"/>
    </row>
    <row r="256" spans="1:15" x14ac:dyDescent="0.25">
      <c r="A256" s="6"/>
      <c r="B256" s="5"/>
      <c r="C256" s="5"/>
      <c r="D256" s="5" t="s">
        <v>569</v>
      </c>
      <c r="E256" s="5" t="s">
        <v>570</v>
      </c>
      <c r="F256" s="5" t="s">
        <v>23</v>
      </c>
      <c r="G256" s="14">
        <f t="shared" ref="G256:L256" si="61">SUBTOTAL(9,G250:G255)</f>
        <v>21.500000000000004</v>
      </c>
      <c r="H256" s="14">
        <f t="shared" si="61"/>
        <v>0</v>
      </c>
      <c r="I256" s="14">
        <f t="shared" si="61"/>
        <v>0</v>
      </c>
      <c r="J256" s="14">
        <f t="shared" si="61"/>
        <v>2.58</v>
      </c>
      <c r="K256" s="14">
        <f t="shared" si="61"/>
        <v>-0.43</v>
      </c>
      <c r="L256" s="14">
        <f t="shared" si="61"/>
        <v>23.650000000000002</v>
      </c>
      <c r="M256" s="10">
        <v>2129</v>
      </c>
      <c r="N256" s="71">
        <f>SUBTOTAL(9,N250:N255)</f>
        <v>0.02</v>
      </c>
      <c r="O256" s="11">
        <f>O248+1</f>
        <v>61</v>
      </c>
    </row>
    <row r="257" spans="1:15" s="4" customFormat="1" x14ac:dyDescent="0.25">
      <c r="A257" s="10"/>
      <c r="B257"/>
      <c r="C257"/>
      <c r="D257"/>
      <c r="E257"/>
      <c r="F257"/>
      <c r="G257" s="21"/>
      <c r="H257" s="21"/>
      <c r="I257" s="21"/>
      <c r="J257" s="21"/>
      <c r="K257" s="21"/>
      <c r="L257" s="21"/>
      <c r="M257" s="10"/>
      <c r="N257" s="67"/>
      <c r="O257" s="11"/>
    </row>
    <row r="258" spans="1:15" x14ac:dyDescent="0.25">
      <c r="A258" s="6">
        <v>128</v>
      </c>
      <c r="B258" s="5" t="s">
        <v>22</v>
      </c>
      <c r="C258" s="5" t="s">
        <v>17</v>
      </c>
      <c r="D258" s="5" t="s">
        <v>569</v>
      </c>
      <c r="E258" s="5" t="s">
        <v>570</v>
      </c>
      <c r="F258" s="5" t="s">
        <v>24</v>
      </c>
      <c r="G258" s="22">
        <v>0.04</v>
      </c>
      <c r="H258" s="22">
        <v>0</v>
      </c>
      <c r="I258" s="22">
        <v>0</v>
      </c>
      <c r="J258" s="22">
        <v>0</v>
      </c>
      <c r="K258" s="22">
        <v>0</v>
      </c>
      <c r="L258" s="22">
        <v>0.04</v>
      </c>
      <c r="M258" s="10"/>
      <c r="O258" s="11"/>
    </row>
    <row r="259" spans="1:15" x14ac:dyDescent="0.25">
      <c r="A259" s="6">
        <v>129</v>
      </c>
      <c r="B259" s="5" t="s">
        <v>22</v>
      </c>
      <c r="C259" s="5" t="s">
        <v>17</v>
      </c>
      <c r="D259" s="5" t="s">
        <v>569</v>
      </c>
      <c r="E259" s="5" t="s">
        <v>570</v>
      </c>
      <c r="F259" s="5" t="s">
        <v>24</v>
      </c>
      <c r="G259" s="22">
        <v>0</v>
      </c>
      <c r="H259" s="22">
        <v>0</v>
      </c>
      <c r="I259" s="22">
        <v>0</v>
      </c>
      <c r="J259" s="22">
        <v>0</v>
      </c>
      <c r="K259" s="22">
        <v>0</v>
      </c>
      <c r="L259" s="22">
        <v>0</v>
      </c>
      <c r="M259" s="10"/>
      <c r="O259" s="11"/>
    </row>
    <row r="260" spans="1:15" s="4" customFormat="1" x14ac:dyDescent="0.25">
      <c r="A260" s="6">
        <v>130</v>
      </c>
      <c r="B260" s="5" t="s">
        <v>22</v>
      </c>
      <c r="C260" s="5" t="s">
        <v>13</v>
      </c>
      <c r="D260" s="5" t="s">
        <v>569</v>
      </c>
      <c r="E260" s="5" t="s">
        <v>570</v>
      </c>
      <c r="F260" s="5" t="s">
        <v>24</v>
      </c>
      <c r="G260" s="22">
        <v>0</v>
      </c>
      <c r="H260" s="22">
        <v>0</v>
      </c>
      <c r="I260" s="22">
        <v>0</v>
      </c>
      <c r="J260" s="22">
        <v>0</v>
      </c>
      <c r="K260" s="22">
        <v>0</v>
      </c>
      <c r="L260" s="22">
        <v>0</v>
      </c>
      <c r="M260" s="10"/>
      <c r="N260" s="67"/>
      <c r="O260" s="11"/>
    </row>
    <row r="261" spans="1:15" x14ac:dyDescent="0.25">
      <c r="A261" s="6"/>
      <c r="B261" s="5"/>
      <c r="C261" s="5"/>
      <c r="D261" s="5" t="s">
        <v>569</v>
      </c>
      <c r="E261" s="5" t="s">
        <v>570</v>
      </c>
      <c r="F261" s="5" t="s">
        <v>24</v>
      </c>
      <c r="G261" s="14">
        <f t="shared" ref="G261:L261" si="62">SUBTOTAL(9,G258:G260)</f>
        <v>0.04</v>
      </c>
      <c r="H261" s="14">
        <f t="shared" si="62"/>
        <v>0</v>
      </c>
      <c r="I261" s="14">
        <f t="shared" si="62"/>
        <v>0</v>
      </c>
      <c r="J261" s="14">
        <f t="shared" si="62"/>
        <v>0</v>
      </c>
      <c r="K261" s="14">
        <f t="shared" si="62"/>
        <v>0</v>
      </c>
      <c r="L261" s="14">
        <f t="shared" si="62"/>
        <v>0.04</v>
      </c>
      <c r="M261" s="10">
        <v>2130</v>
      </c>
      <c r="N261" s="69"/>
      <c r="O261" s="11">
        <f>O256+1</f>
        <v>62</v>
      </c>
    </row>
    <row r="262" spans="1:15" x14ac:dyDescent="0.25">
      <c r="A262" s="10"/>
      <c r="G262" s="21"/>
      <c r="H262" s="21"/>
      <c r="I262" s="21"/>
      <c r="J262" s="21"/>
      <c r="K262" s="21"/>
      <c r="L262" s="21"/>
      <c r="M262" s="10"/>
      <c r="O262" s="11"/>
    </row>
    <row r="263" spans="1:15" s="4" customFormat="1" x14ac:dyDescent="0.25">
      <c r="A263" s="6">
        <v>131</v>
      </c>
      <c r="B263" s="5" t="s">
        <v>550</v>
      </c>
      <c r="C263" s="5" t="s">
        <v>17</v>
      </c>
      <c r="D263" s="5" t="s">
        <v>569</v>
      </c>
      <c r="E263" s="5" t="s">
        <v>570</v>
      </c>
      <c r="F263" s="5" t="s">
        <v>551</v>
      </c>
      <c r="G263" s="22">
        <v>0</v>
      </c>
      <c r="H263" s="22">
        <v>0</v>
      </c>
      <c r="I263" s="22">
        <v>0</v>
      </c>
      <c r="J263" s="22">
        <v>0</v>
      </c>
      <c r="K263" s="22">
        <v>0</v>
      </c>
      <c r="L263" s="22">
        <v>0</v>
      </c>
      <c r="M263" s="10"/>
      <c r="N263" s="67"/>
      <c r="O263" s="11"/>
    </row>
    <row r="264" spans="1:15" x14ac:dyDescent="0.25">
      <c r="A264" s="28"/>
      <c r="B264" s="29"/>
      <c r="C264" s="29"/>
      <c r="D264" s="29"/>
      <c r="E264" s="29"/>
      <c r="F264" s="29" t="s">
        <v>656</v>
      </c>
      <c r="G264" s="31">
        <f t="shared" ref="G264:L264" si="63">SUBTOTAL(9,G263:G263)</f>
        <v>0</v>
      </c>
      <c r="H264" s="31">
        <f t="shared" si="63"/>
        <v>0</v>
      </c>
      <c r="I264" s="31">
        <f t="shared" si="63"/>
        <v>0</v>
      </c>
      <c r="J264" s="31">
        <f t="shared" si="63"/>
        <v>0</v>
      </c>
      <c r="K264" s="31">
        <f t="shared" si="63"/>
        <v>0</v>
      </c>
      <c r="L264" s="31">
        <f t="shared" si="63"/>
        <v>0</v>
      </c>
      <c r="M264" s="15"/>
      <c r="O264" s="11"/>
    </row>
    <row r="265" spans="1:15" x14ac:dyDescent="0.25">
      <c r="A265" s="10"/>
      <c r="G265" s="21"/>
      <c r="H265" s="21"/>
      <c r="I265" s="21"/>
      <c r="J265" s="21"/>
      <c r="K265" s="21"/>
      <c r="L265" s="21"/>
      <c r="M265" s="10"/>
      <c r="O265" s="11"/>
    </row>
    <row r="266" spans="1:15" s="4" customFormat="1" x14ac:dyDescent="0.25">
      <c r="A266" s="6">
        <v>132</v>
      </c>
      <c r="B266" s="5" t="s">
        <v>18</v>
      </c>
      <c r="C266" s="5" t="s">
        <v>17</v>
      </c>
      <c r="D266" s="5" t="s">
        <v>50</v>
      </c>
      <c r="E266" s="5" t="s">
        <v>51</v>
      </c>
      <c r="F266" s="5" t="s">
        <v>19</v>
      </c>
      <c r="G266" s="22">
        <v>0</v>
      </c>
      <c r="H266" s="22">
        <v>0</v>
      </c>
      <c r="I266" s="22">
        <v>1.61</v>
      </c>
      <c r="J266" s="22">
        <v>0</v>
      </c>
      <c r="K266" s="22">
        <v>-0.19</v>
      </c>
      <c r="L266" s="22">
        <v>1.42</v>
      </c>
      <c r="M266" s="10"/>
      <c r="N266" s="67"/>
      <c r="O266" s="11"/>
    </row>
    <row r="267" spans="1:15" x14ac:dyDescent="0.25">
      <c r="A267" s="6"/>
      <c r="B267" s="5"/>
      <c r="C267" s="5"/>
      <c r="D267" s="5" t="s">
        <v>50</v>
      </c>
      <c r="E267" s="5" t="s">
        <v>51</v>
      </c>
      <c r="F267" s="5" t="s">
        <v>19</v>
      </c>
      <c r="G267" s="14">
        <f t="shared" ref="G267:L267" si="64">SUBTOTAL(9,G266:G266)</f>
        <v>0</v>
      </c>
      <c r="H267" s="14">
        <f t="shared" si="64"/>
        <v>0</v>
      </c>
      <c r="I267" s="14">
        <f t="shared" si="64"/>
        <v>1.61</v>
      </c>
      <c r="J267" s="14">
        <f t="shared" si="64"/>
        <v>0</v>
      </c>
      <c r="K267" s="14">
        <f t="shared" si="64"/>
        <v>-0.19</v>
      </c>
      <c r="L267" s="14">
        <f t="shared" si="64"/>
        <v>1.42</v>
      </c>
      <c r="M267" s="10">
        <v>2131</v>
      </c>
      <c r="N267" s="69"/>
      <c r="O267" s="11">
        <f>O261+1</f>
        <v>63</v>
      </c>
    </row>
    <row r="268" spans="1:15" x14ac:dyDescent="0.25">
      <c r="A268" s="10"/>
      <c r="G268" s="21"/>
      <c r="H268" s="21"/>
      <c r="I268" s="21"/>
      <c r="J268" s="21"/>
      <c r="K268" s="21"/>
      <c r="L268" s="21"/>
      <c r="M268" s="10"/>
      <c r="O268" s="11"/>
    </row>
    <row r="269" spans="1:15" s="4" customFormat="1" x14ac:dyDescent="0.25">
      <c r="A269" s="6">
        <v>133</v>
      </c>
      <c r="B269" s="5" t="s">
        <v>550</v>
      </c>
      <c r="C269" s="5" t="s">
        <v>17</v>
      </c>
      <c r="D269" s="5" t="s">
        <v>50</v>
      </c>
      <c r="E269" s="5" t="s">
        <v>51</v>
      </c>
      <c r="F269" s="5" t="s">
        <v>551</v>
      </c>
      <c r="G269" s="22">
        <v>0</v>
      </c>
      <c r="H269" s="22">
        <v>0</v>
      </c>
      <c r="I269" s="22">
        <v>70528.070000000007</v>
      </c>
      <c r="J269" s="22">
        <v>0</v>
      </c>
      <c r="K269" s="22">
        <v>-1410.56</v>
      </c>
      <c r="L269" s="22">
        <v>69117.509999999995</v>
      </c>
      <c r="M269" s="10"/>
      <c r="N269" s="67"/>
      <c r="O269" s="11"/>
    </row>
    <row r="270" spans="1:15" s="4" customFormat="1" x14ac:dyDescent="0.25">
      <c r="A270" s="6">
        <v>134</v>
      </c>
      <c r="B270" s="5" t="s">
        <v>550</v>
      </c>
      <c r="C270" s="5" t="s">
        <v>17</v>
      </c>
      <c r="D270" s="5" t="s">
        <v>50</v>
      </c>
      <c r="E270" s="5" t="s">
        <v>51</v>
      </c>
      <c r="F270" s="5" t="s">
        <v>551</v>
      </c>
      <c r="G270" s="22">
        <v>0</v>
      </c>
      <c r="H270" s="22">
        <v>0</v>
      </c>
      <c r="I270" s="22">
        <v>60.56</v>
      </c>
      <c r="J270" s="22">
        <v>0</v>
      </c>
      <c r="K270" s="22">
        <v>-1.21</v>
      </c>
      <c r="L270" s="22">
        <v>59.35</v>
      </c>
      <c r="M270" s="10"/>
      <c r="N270" s="67"/>
      <c r="O270" s="11"/>
    </row>
    <row r="271" spans="1:15" x14ac:dyDescent="0.25">
      <c r="A271" s="6"/>
      <c r="B271" s="5"/>
      <c r="C271" s="5"/>
      <c r="D271" s="5" t="s">
        <v>50</v>
      </c>
      <c r="E271" s="5" t="s">
        <v>51</v>
      </c>
      <c r="F271" s="5" t="s">
        <v>551</v>
      </c>
      <c r="G271" s="14">
        <f t="shared" ref="G271:L271" si="65">SUBTOTAL(9,G269:G270)</f>
        <v>0</v>
      </c>
      <c r="H271" s="14">
        <f t="shared" si="65"/>
        <v>0</v>
      </c>
      <c r="I271" s="14">
        <f t="shared" si="65"/>
        <v>70588.63</v>
      </c>
      <c r="J271" s="14">
        <f t="shared" si="65"/>
        <v>0</v>
      </c>
      <c r="K271" s="14">
        <f t="shared" si="65"/>
        <v>-1411.77</v>
      </c>
      <c r="L271" s="14">
        <f t="shared" si="65"/>
        <v>69176.86</v>
      </c>
      <c r="M271" s="10">
        <v>2132</v>
      </c>
      <c r="N271" s="69"/>
      <c r="O271" s="11">
        <f>O267+1</f>
        <v>64</v>
      </c>
    </row>
    <row r="272" spans="1:15" x14ac:dyDescent="0.25">
      <c r="A272" s="10"/>
      <c r="G272" s="21"/>
      <c r="H272" s="21"/>
      <c r="I272" s="21"/>
      <c r="J272" s="21"/>
      <c r="K272" s="21"/>
      <c r="L272" s="21"/>
      <c r="M272" s="10"/>
      <c r="O272" s="11"/>
    </row>
    <row r="273" spans="1:15" s="4" customFormat="1" x14ac:dyDescent="0.25">
      <c r="A273" s="6">
        <v>135</v>
      </c>
      <c r="B273" s="5" t="s">
        <v>550</v>
      </c>
      <c r="C273" s="5" t="s">
        <v>17</v>
      </c>
      <c r="D273" s="5" t="s">
        <v>50</v>
      </c>
      <c r="E273" s="5" t="s">
        <v>51</v>
      </c>
      <c r="F273" s="5" t="s">
        <v>552</v>
      </c>
      <c r="G273" s="22">
        <v>0</v>
      </c>
      <c r="H273" s="22">
        <v>0</v>
      </c>
      <c r="I273" s="22">
        <v>5.07</v>
      </c>
      <c r="J273" s="22">
        <v>0</v>
      </c>
      <c r="K273" s="22">
        <v>-0.1</v>
      </c>
      <c r="L273" s="22">
        <v>4.97</v>
      </c>
      <c r="M273" s="10"/>
      <c r="N273" s="67"/>
      <c r="O273" s="11"/>
    </row>
    <row r="274" spans="1:15" s="4" customFormat="1" x14ac:dyDescent="0.25">
      <c r="A274" s="6"/>
      <c r="B274" s="5"/>
      <c r="C274" s="5"/>
      <c r="D274" s="5" t="s">
        <v>50</v>
      </c>
      <c r="E274" s="5" t="s">
        <v>51</v>
      </c>
      <c r="F274" s="5" t="s">
        <v>552</v>
      </c>
      <c r="G274" s="14">
        <f t="shared" ref="G274:L274" si="66">SUBTOTAL(9,G273:G273)</f>
        <v>0</v>
      </c>
      <c r="H274" s="14">
        <f t="shared" si="66"/>
        <v>0</v>
      </c>
      <c r="I274" s="14">
        <f t="shared" si="66"/>
        <v>5.07</v>
      </c>
      <c r="J274" s="14">
        <f t="shared" si="66"/>
        <v>0</v>
      </c>
      <c r="K274" s="14">
        <f t="shared" si="66"/>
        <v>-0.1</v>
      </c>
      <c r="L274" s="14">
        <f t="shared" si="66"/>
        <v>4.97</v>
      </c>
      <c r="M274" s="10">
        <v>2133</v>
      </c>
      <c r="N274" s="69"/>
      <c r="O274" s="11">
        <f>O271+1</f>
        <v>65</v>
      </c>
    </row>
    <row r="275" spans="1:15" x14ac:dyDescent="0.25">
      <c r="A275" s="10"/>
      <c r="G275" s="21"/>
      <c r="H275" s="21"/>
      <c r="I275" s="21"/>
      <c r="J275" s="21"/>
      <c r="K275" s="21"/>
      <c r="L275" s="21"/>
      <c r="M275" s="10"/>
      <c r="O275" s="11"/>
    </row>
    <row r="276" spans="1:15" x14ac:dyDescent="0.25">
      <c r="A276" s="6">
        <v>136</v>
      </c>
      <c r="B276" s="5" t="s">
        <v>18</v>
      </c>
      <c r="C276" s="5" t="s">
        <v>17</v>
      </c>
      <c r="D276" s="5" t="s">
        <v>52</v>
      </c>
      <c r="E276" s="5" t="s">
        <v>51</v>
      </c>
      <c r="F276" s="5" t="s">
        <v>19</v>
      </c>
      <c r="G276" s="22">
        <v>0</v>
      </c>
      <c r="H276" s="22">
        <v>0</v>
      </c>
      <c r="I276" s="22">
        <v>1.01</v>
      </c>
      <c r="J276" s="22">
        <v>0</v>
      </c>
      <c r="K276" s="22">
        <v>-0.12</v>
      </c>
      <c r="L276" s="22">
        <v>0.89</v>
      </c>
      <c r="M276" s="10"/>
      <c r="O276" s="11"/>
    </row>
    <row r="277" spans="1:15" s="4" customFormat="1" x14ac:dyDescent="0.25">
      <c r="A277" s="6"/>
      <c r="B277" s="5"/>
      <c r="C277" s="5"/>
      <c r="D277" s="5" t="s">
        <v>52</v>
      </c>
      <c r="E277" s="5" t="s">
        <v>51</v>
      </c>
      <c r="F277" s="5" t="s">
        <v>19</v>
      </c>
      <c r="G277" s="14">
        <f t="shared" ref="G277:L277" si="67">SUBTOTAL(9,G276:G276)</f>
        <v>0</v>
      </c>
      <c r="H277" s="14">
        <f t="shared" si="67"/>
        <v>0</v>
      </c>
      <c r="I277" s="14">
        <f t="shared" si="67"/>
        <v>1.01</v>
      </c>
      <c r="J277" s="14">
        <f t="shared" si="67"/>
        <v>0</v>
      </c>
      <c r="K277" s="14">
        <f t="shared" si="67"/>
        <v>-0.12</v>
      </c>
      <c r="L277" s="14">
        <f t="shared" si="67"/>
        <v>0.89</v>
      </c>
      <c r="M277" s="10">
        <v>2134</v>
      </c>
      <c r="N277" s="69"/>
      <c r="O277" s="11">
        <f>O274+1</f>
        <v>66</v>
      </c>
    </row>
    <row r="278" spans="1:15" x14ac:dyDescent="0.25">
      <c r="A278" s="10"/>
      <c r="G278" s="21"/>
      <c r="H278" s="21"/>
      <c r="I278" s="21"/>
      <c r="J278" s="21"/>
      <c r="K278" s="21"/>
      <c r="L278" s="21"/>
      <c r="M278" s="10"/>
      <c r="O278" s="11"/>
    </row>
    <row r="279" spans="1:15" x14ac:dyDescent="0.25">
      <c r="A279" s="6">
        <v>137</v>
      </c>
      <c r="B279" s="5" t="s">
        <v>550</v>
      </c>
      <c r="C279" s="5" t="s">
        <v>17</v>
      </c>
      <c r="D279" s="5" t="s">
        <v>52</v>
      </c>
      <c r="E279" s="5" t="s">
        <v>51</v>
      </c>
      <c r="F279" s="5" t="s">
        <v>551</v>
      </c>
      <c r="G279" s="22">
        <v>0</v>
      </c>
      <c r="H279" s="22">
        <v>0</v>
      </c>
      <c r="I279" s="22">
        <v>74.099999999999994</v>
      </c>
      <c r="J279" s="22">
        <v>0</v>
      </c>
      <c r="K279" s="22">
        <v>-1.48</v>
      </c>
      <c r="L279" s="22">
        <v>72.62</v>
      </c>
      <c r="M279" s="10"/>
      <c r="O279" s="11"/>
    </row>
    <row r="280" spans="1:15" s="4" customFormat="1" x14ac:dyDescent="0.25">
      <c r="A280" s="6"/>
      <c r="B280" s="5"/>
      <c r="C280" s="5"/>
      <c r="D280" s="5" t="s">
        <v>52</v>
      </c>
      <c r="E280" s="5" t="s">
        <v>51</v>
      </c>
      <c r="F280" s="5" t="s">
        <v>551</v>
      </c>
      <c r="G280" s="14">
        <f t="shared" ref="G280:L280" si="68">SUBTOTAL(9,G279:G279)</f>
        <v>0</v>
      </c>
      <c r="H280" s="14">
        <f t="shared" si="68"/>
        <v>0</v>
      </c>
      <c r="I280" s="14">
        <f t="shared" si="68"/>
        <v>74.099999999999994</v>
      </c>
      <c r="J280" s="14">
        <f t="shared" si="68"/>
        <v>0</v>
      </c>
      <c r="K280" s="14">
        <f t="shared" si="68"/>
        <v>-1.48</v>
      </c>
      <c r="L280" s="14">
        <f t="shared" si="68"/>
        <v>72.62</v>
      </c>
      <c r="M280" s="10">
        <v>2135</v>
      </c>
      <c r="N280" s="69"/>
      <c r="O280" s="11">
        <f>O277+1</f>
        <v>67</v>
      </c>
    </row>
    <row r="281" spans="1:15" x14ac:dyDescent="0.25">
      <c r="A281" s="10"/>
      <c r="G281" s="21"/>
      <c r="H281" s="21"/>
      <c r="I281" s="21"/>
      <c r="J281" s="21"/>
      <c r="K281" s="21"/>
      <c r="L281" s="21"/>
      <c r="M281" s="10"/>
      <c r="O281" s="11"/>
    </row>
    <row r="282" spans="1:15" x14ac:dyDescent="0.25">
      <c r="A282" s="6">
        <v>138</v>
      </c>
      <c r="B282" s="5" t="s">
        <v>550</v>
      </c>
      <c r="C282" s="5" t="s">
        <v>17</v>
      </c>
      <c r="D282" s="5" t="s">
        <v>52</v>
      </c>
      <c r="E282" s="5" t="s">
        <v>51</v>
      </c>
      <c r="F282" s="5" t="s">
        <v>552</v>
      </c>
      <c r="G282" s="22">
        <v>0</v>
      </c>
      <c r="H282" s="22">
        <v>0</v>
      </c>
      <c r="I282" s="22">
        <v>0.01</v>
      </c>
      <c r="J282" s="22">
        <v>0</v>
      </c>
      <c r="K282" s="22">
        <v>0</v>
      </c>
      <c r="L282" s="22">
        <v>0.01</v>
      </c>
      <c r="M282" s="10"/>
      <c r="O282" s="11"/>
    </row>
    <row r="283" spans="1:15" s="4" customFormat="1" x14ac:dyDescent="0.25">
      <c r="A283" s="6"/>
      <c r="B283" s="5"/>
      <c r="C283" s="5"/>
      <c r="D283" s="5" t="s">
        <v>52</v>
      </c>
      <c r="E283" s="5" t="s">
        <v>51</v>
      </c>
      <c r="F283" s="5" t="s">
        <v>552</v>
      </c>
      <c r="G283" s="14">
        <f t="shared" ref="G283:L283" si="69">SUBTOTAL(9,G282:G282)</f>
        <v>0</v>
      </c>
      <c r="H283" s="14">
        <f t="shared" si="69"/>
        <v>0</v>
      </c>
      <c r="I283" s="14">
        <f t="shared" si="69"/>
        <v>0.01</v>
      </c>
      <c r="J283" s="14">
        <f t="shared" si="69"/>
        <v>0</v>
      </c>
      <c r="K283" s="14">
        <f t="shared" si="69"/>
        <v>0</v>
      </c>
      <c r="L283" s="14">
        <f t="shared" si="69"/>
        <v>0.01</v>
      </c>
      <c r="M283" s="10">
        <v>2136</v>
      </c>
      <c r="N283" s="69"/>
      <c r="O283" s="11">
        <f>O280+1</f>
        <v>68</v>
      </c>
    </row>
    <row r="284" spans="1:15" x14ac:dyDescent="0.25">
      <c r="A284" s="10"/>
      <c r="G284" s="21"/>
      <c r="H284" s="21"/>
      <c r="I284" s="21"/>
      <c r="J284" s="21"/>
      <c r="K284" s="21"/>
      <c r="L284" s="21"/>
      <c r="M284" s="10"/>
      <c r="O284" s="11"/>
    </row>
    <row r="285" spans="1:15" x14ac:dyDescent="0.25">
      <c r="A285" s="6">
        <v>139</v>
      </c>
      <c r="B285" s="5" t="s">
        <v>555</v>
      </c>
      <c r="C285" s="5" t="s">
        <v>17</v>
      </c>
      <c r="D285" s="5" t="s">
        <v>53</v>
      </c>
      <c r="E285" s="5" t="s">
        <v>54</v>
      </c>
      <c r="F285" s="5" t="s">
        <v>556</v>
      </c>
      <c r="G285" s="22">
        <v>746.23</v>
      </c>
      <c r="H285" s="22">
        <v>0</v>
      </c>
      <c r="I285" s="22">
        <v>0</v>
      </c>
      <c r="J285" s="22">
        <v>0</v>
      </c>
      <c r="K285" s="22">
        <v>-14.92</v>
      </c>
      <c r="L285" s="22">
        <v>731.31</v>
      </c>
      <c r="M285" s="10"/>
      <c r="O285" s="11"/>
    </row>
    <row r="286" spans="1:15" s="4" customFormat="1" x14ac:dyDescent="0.25">
      <c r="A286" s="6">
        <v>140</v>
      </c>
      <c r="B286" s="5" t="s">
        <v>555</v>
      </c>
      <c r="C286" s="5" t="s">
        <v>13</v>
      </c>
      <c r="D286" s="5" t="s">
        <v>53</v>
      </c>
      <c r="E286" s="5" t="s">
        <v>54</v>
      </c>
      <c r="F286" s="5" t="s">
        <v>556</v>
      </c>
      <c r="G286" s="22">
        <v>0</v>
      </c>
      <c r="H286" s="22">
        <v>0</v>
      </c>
      <c r="I286" s="22">
        <v>0</v>
      </c>
      <c r="J286" s="22">
        <v>89.55</v>
      </c>
      <c r="K286" s="22">
        <v>0</v>
      </c>
      <c r="L286" s="22">
        <v>89.55</v>
      </c>
      <c r="M286" s="10"/>
      <c r="N286" s="67"/>
      <c r="O286" s="11"/>
    </row>
    <row r="287" spans="1:15" s="4" customFormat="1" x14ac:dyDescent="0.25">
      <c r="A287" s="6"/>
      <c r="B287" s="5"/>
      <c r="C287" s="5"/>
      <c r="D287" s="5" t="s">
        <v>53</v>
      </c>
      <c r="E287" s="5" t="s">
        <v>54</v>
      </c>
      <c r="F287" s="5" t="s">
        <v>556</v>
      </c>
      <c r="G287" s="14">
        <f t="shared" ref="G287:L287" si="70">SUBTOTAL(9,G285:G286)</f>
        <v>746.23</v>
      </c>
      <c r="H287" s="14">
        <f t="shared" si="70"/>
        <v>0</v>
      </c>
      <c r="I287" s="14">
        <f t="shared" si="70"/>
        <v>0</v>
      </c>
      <c r="J287" s="14">
        <f t="shared" si="70"/>
        <v>89.55</v>
      </c>
      <c r="K287" s="14">
        <f t="shared" si="70"/>
        <v>-14.92</v>
      </c>
      <c r="L287" s="14">
        <f t="shared" si="70"/>
        <v>820.8599999999999</v>
      </c>
      <c r="M287" s="10">
        <v>2137</v>
      </c>
      <c r="N287" s="69"/>
      <c r="O287" s="11">
        <f>O283+1</f>
        <v>69</v>
      </c>
    </row>
    <row r="288" spans="1:15" x14ac:dyDescent="0.25">
      <c r="A288" s="10"/>
      <c r="G288" s="21"/>
      <c r="H288" s="21"/>
      <c r="I288" s="21"/>
      <c r="J288" s="21"/>
      <c r="K288" s="21"/>
      <c r="L288" s="21"/>
      <c r="M288" s="10"/>
      <c r="O288" s="11"/>
    </row>
    <row r="289" spans="1:15" x14ac:dyDescent="0.25">
      <c r="A289" s="6">
        <v>141</v>
      </c>
      <c r="B289" s="5" t="s">
        <v>557</v>
      </c>
      <c r="C289" s="5" t="s">
        <v>17</v>
      </c>
      <c r="D289" s="5" t="s">
        <v>53</v>
      </c>
      <c r="E289" s="5" t="s">
        <v>54</v>
      </c>
      <c r="F289" s="5" t="s">
        <v>558</v>
      </c>
      <c r="G289" s="22">
        <v>568.71</v>
      </c>
      <c r="H289" s="22">
        <v>0</v>
      </c>
      <c r="I289" s="22">
        <v>0</v>
      </c>
      <c r="J289" s="22">
        <v>0</v>
      </c>
      <c r="K289" s="22">
        <v>-11.37</v>
      </c>
      <c r="L289" s="22">
        <v>557.34</v>
      </c>
      <c r="M289" s="10"/>
      <c r="O289" s="11"/>
    </row>
    <row r="290" spans="1:15" s="4" customFormat="1" x14ac:dyDescent="0.25">
      <c r="A290" s="6">
        <v>142</v>
      </c>
      <c r="B290" s="5" t="s">
        <v>557</v>
      </c>
      <c r="C290" s="5" t="s">
        <v>13</v>
      </c>
      <c r="D290" s="5" t="s">
        <v>53</v>
      </c>
      <c r="E290" s="5" t="s">
        <v>54</v>
      </c>
      <c r="F290" s="5" t="s">
        <v>558</v>
      </c>
      <c r="G290" s="22">
        <v>0</v>
      </c>
      <c r="H290" s="22">
        <v>0</v>
      </c>
      <c r="I290" s="22">
        <v>0</v>
      </c>
      <c r="J290" s="22">
        <v>68.25</v>
      </c>
      <c r="K290" s="22">
        <v>0</v>
      </c>
      <c r="L290" s="22">
        <v>68.25</v>
      </c>
      <c r="M290" s="10"/>
      <c r="N290" s="67"/>
      <c r="O290" s="11"/>
    </row>
    <row r="291" spans="1:15" s="4" customFormat="1" x14ac:dyDescent="0.25">
      <c r="A291" s="6"/>
      <c r="B291" s="5"/>
      <c r="C291" s="5"/>
      <c r="D291" s="5" t="s">
        <v>53</v>
      </c>
      <c r="E291" s="5" t="s">
        <v>54</v>
      </c>
      <c r="F291" s="5" t="s">
        <v>558</v>
      </c>
      <c r="G291" s="14">
        <f t="shared" ref="G291:L291" si="71">SUBTOTAL(9,G289:G290)</f>
        <v>568.71</v>
      </c>
      <c r="H291" s="14">
        <f t="shared" si="71"/>
        <v>0</v>
      </c>
      <c r="I291" s="14">
        <f t="shared" si="71"/>
        <v>0</v>
      </c>
      <c r="J291" s="14">
        <f t="shared" si="71"/>
        <v>68.25</v>
      </c>
      <c r="K291" s="14">
        <f t="shared" si="71"/>
        <v>-11.37</v>
      </c>
      <c r="L291" s="14">
        <f t="shared" si="71"/>
        <v>625.59</v>
      </c>
      <c r="M291" s="10">
        <v>2138</v>
      </c>
      <c r="N291" s="69"/>
      <c r="O291" s="11">
        <f>O287+1</f>
        <v>70</v>
      </c>
    </row>
    <row r="292" spans="1:15" x14ac:dyDescent="0.25">
      <c r="A292" s="10"/>
      <c r="G292" s="21"/>
      <c r="H292" s="21"/>
      <c r="I292" s="21"/>
      <c r="J292" s="21"/>
      <c r="K292" s="21"/>
      <c r="L292" s="21"/>
      <c r="M292" s="10"/>
      <c r="O292" s="11"/>
    </row>
    <row r="293" spans="1:15" x14ac:dyDescent="0.25">
      <c r="A293" s="6">
        <v>143</v>
      </c>
      <c r="B293" s="5" t="s">
        <v>18</v>
      </c>
      <c r="C293" s="5" t="s">
        <v>17</v>
      </c>
      <c r="D293" s="5" t="s">
        <v>53</v>
      </c>
      <c r="E293" s="5" t="s">
        <v>54</v>
      </c>
      <c r="F293" s="5" t="s">
        <v>19</v>
      </c>
      <c r="G293" s="22">
        <v>0.81</v>
      </c>
      <c r="H293" s="22">
        <v>0</v>
      </c>
      <c r="I293" s="22">
        <v>0</v>
      </c>
      <c r="J293" s="22">
        <v>0</v>
      </c>
      <c r="K293" s="22">
        <v>-0.72</v>
      </c>
      <c r="L293" s="22">
        <v>0.09</v>
      </c>
      <c r="M293" s="10"/>
      <c r="O293" s="11"/>
    </row>
    <row r="294" spans="1:15" s="4" customFormat="1" x14ac:dyDescent="0.25">
      <c r="A294" s="6"/>
      <c r="B294" s="5"/>
      <c r="C294" s="5"/>
      <c r="D294" s="5" t="s">
        <v>53</v>
      </c>
      <c r="E294" s="5" t="s">
        <v>54</v>
      </c>
      <c r="F294" s="5" t="s">
        <v>19</v>
      </c>
      <c r="G294" s="14">
        <f t="shared" ref="G294:L294" si="72">SUBTOTAL(9,G293:G293)</f>
        <v>0.81</v>
      </c>
      <c r="H294" s="14">
        <f t="shared" si="72"/>
        <v>0</v>
      </c>
      <c r="I294" s="14">
        <f t="shared" si="72"/>
        <v>0</v>
      </c>
      <c r="J294" s="14">
        <f t="shared" si="72"/>
        <v>0</v>
      </c>
      <c r="K294" s="14">
        <f t="shared" si="72"/>
        <v>-0.72</v>
      </c>
      <c r="L294" s="14">
        <f t="shared" si="72"/>
        <v>0.09</v>
      </c>
      <c r="M294" s="10">
        <v>2139</v>
      </c>
      <c r="N294" s="69"/>
      <c r="O294" s="11">
        <f>O291+1</f>
        <v>71</v>
      </c>
    </row>
    <row r="295" spans="1:15" s="4" customFormat="1" x14ac:dyDescent="0.25">
      <c r="A295" s="10"/>
      <c r="B295"/>
      <c r="C295"/>
      <c r="D295"/>
      <c r="E295"/>
      <c r="F295"/>
      <c r="G295" s="21"/>
      <c r="H295" s="21"/>
      <c r="I295" s="21"/>
      <c r="J295" s="21"/>
      <c r="K295" s="21"/>
      <c r="L295" s="21"/>
      <c r="M295" s="10"/>
      <c r="N295" s="67"/>
      <c r="O295" s="11"/>
    </row>
    <row r="296" spans="1:15" x14ac:dyDescent="0.25">
      <c r="A296" s="6">
        <v>144</v>
      </c>
      <c r="B296" s="5" t="s">
        <v>550</v>
      </c>
      <c r="C296" s="5" t="s">
        <v>17</v>
      </c>
      <c r="D296" s="5" t="s">
        <v>53</v>
      </c>
      <c r="E296" s="5" t="s">
        <v>54</v>
      </c>
      <c r="F296" s="5" t="s">
        <v>551</v>
      </c>
      <c r="G296" s="22">
        <v>22215.43</v>
      </c>
      <c r="H296" s="22">
        <v>0</v>
      </c>
      <c r="I296" s="22">
        <v>0</v>
      </c>
      <c r="J296" s="22">
        <v>0</v>
      </c>
      <c r="K296" s="22">
        <v>-444.31</v>
      </c>
      <c r="L296" s="22">
        <v>21771.119999999999</v>
      </c>
      <c r="M296" s="10"/>
      <c r="O296" s="11"/>
    </row>
    <row r="297" spans="1:15" x14ac:dyDescent="0.25">
      <c r="A297" s="6">
        <v>145</v>
      </c>
      <c r="B297" s="5" t="s">
        <v>550</v>
      </c>
      <c r="C297" s="5" t="s">
        <v>13</v>
      </c>
      <c r="D297" s="5" t="s">
        <v>53</v>
      </c>
      <c r="E297" s="5" t="s">
        <v>54</v>
      </c>
      <c r="F297" s="5" t="s">
        <v>551</v>
      </c>
      <c r="G297" s="22">
        <v>0</v>
      </c>
      <c r="H297" s="22">
        <v>0</v>
      </c>
      <c r="I297" s="22">
        <v>0</v>
      </c>
      <c r="J297" s="22">
        <v>2665.85</v>
      </c>
      <c r="K297" s="22">
        <v>0</v>
      </c>
      <c r="L297" s="22">
        <v>2665.85</v>
      </c>
      <c r="M297" s="10"/>
      <c r="O297" s="11"/>
    </row>
    <row r="298" spans="1:15" s="4" customFormat="1" x14ac:dyDescent="0.25">
      <c r="A298" s="6"/>
      <c r="B298" s="5"/>
      <c r="C298" s="5"/>
      <c r="D298" s="5" t="s">
        <v>53</v>
      </c>
      <c r="E298" s="5" t="s">
        <v>54</v>
      </c>
      <c r="F298" s="5" t="s">
        <v>551</v>
      </c>
      <c r="G298" s="14">
        <f t="shared" ref="G298:L298" si="73">SUBTOTAL(9,G296:G297)</f>
        <v>22215.43</v>
      </c>
      <c r="H298" s="14">
        <f t="shared" si="73"/>
        <v>0</v>
      </c>
      <c r="I298" s="14">
        <f t="shared" si="73"/>
        <v>0</v>
      </c>
      <c r="J298" s="14">
        <f t="shared" si="73"/>
        <v>2665.85</v>
      </c>
      <c r="K298" s="14">
        <f t="shared" si="73"/>
        <v>-444.31</v>
      </c>
      <c r="L298" s="14">
        <f t="shared" si="73"/>
        <v>24436.969999999998</v>
      </c>
      <c r="M298" s="10">
        <v>2140</v>
      </c>
      <c r="N298" s="69"/>
      <c r="O298" s="11">
        <f>O294+1</f>
        <v>72</v>
      </c>
    </row>
    <row r="299" spans="1:15" x14ac:dyDescent="0.25">
      <c r="A299" s="10"/>
      <c r="G299" s="21"/>
      <c r="H299" s="21"/>
      <c r="I299" s="21"/>
      <c r="J299" s="21"/>
      <c r="K299" s="21"/>
      <c r="L299" s="21"/>
      <c r="M299" s="10"/>
      <c r="O299" s="11"/>
    </row>
    <row r="300" spans="1:15" x14ac:dyDescent="0.25">
      <c r="A300" s="6">
        <v>146</v>
      </c>
      <c r="B300" s="5" t="s">
        <v>550</v>
      </c>
      <c r="C300" s="5" t="s">
        <v>17</v>
      </c>
      <c r="D300" s="5" t="s">
        <v>53</v>
      </c>
      <c r="E300" s="5" t="s">
        <v>54</v>
      </c>
      <c r="F300" s="5" t="s">
        <v>552</v>
      </c>
      <c r="G300" s="22">
        <v>1.6</v>
      </c>
      <c r="H300" s="22">
        <v>0</v>
      </c>
      <c r="I300" s="22">
        <v>0</v>
      </c>
      <c r="J300" s="22">
        <v>0</v>
      </c>
      <c r="K300" s="22">
        <v>-0.03</v>
      </c>
      <c r="L300" s="22">
        <v>1.57</v>
      </c>
      <c r="M300" s="10"/>
      <c r="O300" s="11"/>
    </row>
    <row r="301" spans="1:15" s="4" customFormat="1" x14ac:dyDescent="0.25">
      <c r="A301" s="6">
        <v>147</v>
      </c>
      <c r="B301" s="5" t="s">
        <v>550</v>
      </c>
      <c r="C301" s="5" t="s">
        <v>13</v>
      </c>
      <c r="D301" s="5" t="s">
        <v>53</v>
      </c>
      <c r="E301" s="5" t="s">
        <v>54</v>
      </c>
      <c r="F301" s="5" t="s">
        <v>552</v>
      </c>
      <c r="G301" s="22">
        <v>0</v>
      </c>
      <c r="H301" s="22">
        <v>0</v>
      </c>
      <c r="I301" s="22">
        <v>0</v>
      </c>
      <c r="J301" s="22">
        <v>0.19</v>
      </c>
      <c r="K301" s="22">
        <v>0</v>
      </c>
      <c r="L301" s="22">
        <v>0.19</v>
      </c>
      <c r="M301" s="10"/>
      <c r="N301" s="67"/>
      <c r="O301" s="11"/>
    </row>
    <row r="302" spans="1:15" x14ac:dyDescent="0.25">
      <c r="A302" s="6"/>
      <c r="B302" s="5"/>
      <c r="C302" s="5"/>
      <c r="D302" s="5" t="s">
        <v>53</v>
      </c>
      <c r="E302" s="5" t="s">
        <v>54</v>
      </c>
      <c r="F302" s="5" t="s">
        <v>552</v>
      </c>
      <c r="G302" s="14">
        <f t="shared" ref="G302:L302" si="74">SUBTOTAL(9,G300:G301)</f>
        <v>1.6</v>
      </c>
      <c r="H302" s="14">
        <f t="shared" si="74"/>
        <v>0</v>
      </c>
      <c r="I302" s="14">
        <f t="shared" si="74"/>
        <v>0</v>
      </c>
      <c r="J302" s="14">
        <f t="shared" si="74"/>
        <v>0.19</v>
      </c>
      <c r="K302" s="14">
        <f t="shared" si="74"/>
        <v>-0.03</v>
      </c>
      <c r="L302" s="14">
        <f t="shared" si="74"/>
        <v>1.76</v>
      </c>
      <c r="M302" s="10">
        <v>2141</v>
      </c>
      <c r="N302" s="69"/>
      <c r="O302" s="11">
        <f>O298+1</f>
        <v>73</v>
      </c>
    </row>
    <row r="303" spans="1:15" x14ac:dyDescent="0.25">
      <c r="A303" s="10"/>
      <c r="G303" s="21"/>
      <c r="H303" s="21"/>
      <c r="I303" s="21"/>
      <c r="J303" s="21"/>
      <c r="K303" s="21"/>
      <c r="L303" s="21"/>
      <c r="M303" s="10"/>
      <c r="O303" s="11"/>
    </row>
    <row r="304" spans="1:15" s="4" customFormat="1" x14ac:dyDescent="0.25">
      <c r="A304" s="6">
        <v>148</v>
      </c>
      <c r="B304" s="5" t="s">
        <v>37</v>
      </c>
      <c r="C304" s="5" t="s">
        <v>17</v>
      </c>
      <c r="D304" s="5" t="s">
        <v>55</v>
      </c>
      <c r="E304" s="5" t="s">
        <v>56</v>
      </c>
      <c r="F304" s="5" t="s">
        <v>38</v>
      </c>
      <c r="G304" s="22">
        <v>0</v>
      </c>
      <c r="H304" s="22">
        <v>0</v>
      </c>
      <c r="I304" s="22">
        <v>1.72</v>
      </c>
      <c r="J304" s="22">
        <v>0</v>
      </c>
      <c r="K304" s="22">
        <v>-0.03</v>
      </c>
      <c r="L304" s="22">
        <v>1.69</v>
      </c>
      <c r="M304" s="10"/>
      <c r="N304" s="67"/>
      <c r="O304" s="11"/>
    </row>
    <row r="305" spans="1:15" x14ac:dyDescent="0.25">
      <c r="A305" s="6"/>
      <c r="B305" s="5"/>
      <c r="C305" s="5"/>
      <c r="D305" s="5" t="s">
        <v>55</v>
      </c>
      <c r="E305" s="5" t="s">
        <v>56</v>
      </c>
      <c r="F305" s="5" t="s">
        <v>38</v>
      </c>
      <c r="G305" s="14">
        <f t="shared" ref="G305:L305" si="75">SUBTOTAL(9,G304:G304)</f>
        <v>0</v>
      </c>
      <c r="H305" s="14">
        <f t="shared" si="75"/>
        <v>0</v>
      </c>
      <c r="I305" s="14">
        <f t="shared" si="75"/>
        <v>1.72</v>
      </c>
      <c r="J305" s="14">
        <f t="shared" si="75"/>
        <v>0</v>
      </c>
      <c r="K305" s="14">
        <f t="shared" si="75"/>
        <v>-0.03</v>
      </c>
      <c r="L305" s="14">
        <f t="shared" si="75"/>
        <v>1.69</v>
      </c>
      <c r="M305" s="10">
        <v>2142</v>
      </c>
      <c r="N305" s="69"/>
      <c r="O305" s="11">
        <f>O302+1</f>
        <v>74</v>
      </c>
    </row>
    <row r="306" spans="1:15" x14ac:dyDescent="0.25">
      <c r="A306" s="10"/>
      <c r="G306" s="21"/>
      <c r="H306" s="21"/>
      <c r="I306" s="21"/>
      <c r="J306" s="21"/>
      <c r="K306" s="21"/>
      <c r="L306" s="21"/>
      <c r="M306" s="10"/>
      <c r="O306" s="11"/>
    </row>
    <row r="307" spans="1:15" s="4" customFormat="1" x14ac:dyDescent="0.25">
      <c r="A307" s="6">
        <v>149</v>
      </c>
      <c r="B307" s="5" t="s">
        <v>29</v>
      </c>
      <c r="C307" s="5" t="s">
        <v>17</v>
      </c>
      <c r="D307" s="5" t="s">
        <v>55</v>
      </c>
      <c r="E307" s="5" t="s">
        <v>56</v>
      </c>
      <c r="F307" s="5" t="s">
        <v>30</v>
      </c>
      <c r="G307" s="22">
        <v>0</v>
      </c>
      <c r="H307" s="22">
        <v>0</v>
      </c>
      <c r="I307" s="22">
        <v>2.39</v>
      </c>
      <c r="J307" s="22">
        <v>0</v>
      </c>
      <c r="K307" s="22">
        <v>-0.05</v>
      </c>
      <c r="L307" s="22">
        <v>2.34</v>
      </c>
      <c r="M307" s="10"/>
      <c r="N307" s="67"/>
      <c r="O307" s="11"/>
    </row>
    <row r="308" spans="1:15" s="4" customFormat="1" x14ac:dyDescent="0.25">
      <c r="A308" s="6"/>
      <c r="B308" s="5"/>
      <c r="C308" s="5"/>
      <c r="D308" s="5" t="s">
        <v>55</v>
      </c>
      <c r="E308" s="5" t="s">
        <v>56</v>
      </c>
      <c r="F308" s="5" t="s">
        <v>30</v>
      </c>
      <c r="G308" s="14">
        <f t="shared" ref="G308:L308" si="76">SUBTOTAL(9,G307:G307)</f>
        <v>0</v>
      </c>
      <c r="H308" s="14">
        <f t="shared" si="76"/>
        <v>0</v>
      </c>
      <c r="I308" s="14">
        <f t="shared" si="76"/>
        <v>2.39</v>
      </c>
      <c r="J308" s="14">
        <f t="shared" si="76"/>
        <v>0</v>
      </c>
      <c r="K308" s="14">
        <f t="shared" si="76"/>
        <v>-0.05</v>
      </c>
      <c r="L308" s="14">
        <f t="shared" si="76"/>
        <v>2.34</v>
      </c>
      <c r="M308" s="10">
        <v>2143</v>
      </c>
      <c r="N308" s="69"/>
      <c r="O308" s="11">
        <f>O305+1</f>
        <v>75</v>
      </c>
    </row>
    <row r="309" spans="1:15" x14ac:dyDescent="0.25">
      <c r="A309" s="10"/>
      <c r="G309" s="21"/>
      <c r="H309" s="21"/>
      <c r="I309" s="21"/>
      <c r="J309" s="21"/>
      <c r="K309" s="21"/>
      <c r="L309" s="21"/>
      <c r="M309" s="10"/>
      <c r="O309" s="11"/>
    </row>
    <row r="310" spans="1:15" x14ac:dyDescent="0.25">
      <c r="A310" s="6">
        <v>150</v>
      </c>
      <c r="B310" s="5" t="s">
        <v>18</v>
      </c>
      <c r="C310" s="5" t="s">
        <v>17</v>
      </c>
      <c r="D310" s="5" t="s">
        <v>55</v>
      </c>
      <c r="E310" s="5" t="s">
        <v>56</v>
      </c>
      <c r="F310" s="5" t="s">
        <v>19</v>
      </c>
      <c r="G310" s="22">
        <v>0</v>
      </c>
      <c r="H310" s="22">
        <v>0</v>
      </c>
      <c r="I310" s="22">
        <v>0.57999999999999996</v>
      </c>
      <c r="J310" s="22">
        <v>0</v>
      </c>
      <c r="K310" s="22">
        <v>-7.0000000000000007E-2</v>
      </c>
      <c r="L310" s="22">
        <v>0.51</v>
      </c>
      <c r="M310" s="10"/>
      <c r="O310" s="11"/>
    </row>
    <row r="311" spans="1:15" s="4" customFormat="1" x14ac:dyDescent="0.25">
      <c r="A311" s="6"/>
      <c r="B311" s="5"/>
      <c r="C311" s="5"/>
      <c r="D311" s="5" t="s">
        <v>55</v>
      </c>
      <c r="E311" s="5" t="s">
        <v>56</v>
      </c>
      <c r="F311" s="5" t="s">
        <v>19</v>
      </c>
      <c r="G311" s="14">
        <f t="shared" ref="G311:L311" si="77">SUBTOTAL(9,G310:G310)</f>
        <v>0</v>
      </c>
      <c r="H311" s="14">
        <f t="shared" si="77"/>
        <v>0</v>
      </c>
      <c r="I311" s="14">
        <f t="shared" si="77"/>
        <v>0.57999999999999996</v>
      </c>
      <c r="J311" s="14">
        <f t="shared" si="77"/>
        <v>0</v>
      </c>
      <c r="K311" s="14">
        <f t="shared" si="77"/>
        <v>-7.0000000000000007E-2</v>
      </c>
      <c r="L311" s="14">
        <f t="shared" si="77"/>
        <v>0.51</v>
      </c>
      <c r="M311" s="10">
        <v>2144</v>
      </c>
      <c r="N311" s="69"/>
      <c r="O311" s="11">
        <f>O308+1</f>
        <v>76</v>
      </c>
    </row>
    <row r="312" spans="1:15" x14ac:dyDescent="0.25">
      <c r="A312" s="10"/>
      <c r="G312" s="21"/>
      <c r="H312" s="21"/>
      <c r="I312" s="21"/>
      <c r="J312" s="21"/>
      <c r="K312" s="21"/>
      <c r="L312" s="21"/>
      <c r="M312" s="10"/>
      <c r="O312" s="11"/>
    </row>
    <row r="313" spans="1:15" x14ac:dyDescent="0.25">
      <c r="A313" s="6">
        <v>151</v>
      </c>
      <c r="B313" s="5" t="s">
        <v>550</v>
      </c>
      <c r="C313" s="5" t="s">
        <v>17</v>
      </c>
      <c r="D313" s="5" t="s">
        <v>55</v>
      </c>
      <c r="E313" s="5" t="s">
        <v>56</v>
      </c>
      <c r="F313" s="5" t="s">
        <v>551</v>
      </c>
      <c r="G313" s="22">
        <v>0</v>
      </c>
      <c r="H313" s="22">
        <v>0</v>
      </c>
      <c r="I313" s="22">
        <v>7.05</v>
      </c>
      <c r="J313" s="22">
        <v>0</v>
      </c>
      <c r="K313" s="22">
        <v>-0.14000000000000001</v>
      </c>
      <c r="L313" s="22">
        <v>6.91</v>
      </c>
      <c r="M313" s="10"/>
      <c r="O313" s="11"/>
    </row>
    <row r="314" spans="1:15" s="4" customFormat="1" x14ac:dyDescent="0.25">
      <c r="A314" s="6">
        <v>152</v>
      </c>
      <c r="B314" s="5" t="s">
        <v>550</v>
      </c>
      <c r="C314" s="5" t="s">
        <v>17</v>
      </c>
      <c r="D314" s="5" t="s">
        <v>55</v>
      </c>
      <c r="E314" s="5" t="s">
        <v>56</v>
      </c>
      <c r="F314" s="5" t="s">
        <v>551</v>
      </c>
      <c r="G314" s="22">
        <v>0</v>
      </c>
      <c r="H314" s="22">
        <v>0</v>
      </c>
      <c r="I314" s="22">
        <v>1.55</v>
      </c>
      <c r="J314" s="22">
        <v>0</v>
      </c>
      <c r="K314" s="22">
        <v>-0.03</v>
      </c>
      <c r="L314" s="22">
        <v>1.52</v>
      </c>
      <c r="M314" s="10"/>
      <c r="N314" s="67"/>
      <c r="O314" s="11"/>
    </row>
    <row r="315" spans="1:15" x14ac:dyDescent="0.25">
      <c r="A315" s="6"/>
      <c r="B315" s="5"/>
      <c r="C315" s="5"/>
      <c r="D315" s="5" t="s">
        <v>55</v>
      </c>
      <c r="E315" s="5" t="s">
        <v>56</v>
      </c>
      <c r="F315" s="5" t="s">
        <v>551</v>
      </c>
      <c r="G315" s="14">
        <f t="shared" ref="G315:L315" si="78">SUBTOTAL(9,G313:G314)</f>
        <v>0</v>
      </c>
      <c r="H315" s="14">
        <f t="shared" si="78"/>
        <v>0</v>
      </c>
      <c r="I315" s="14">
        <f t="shared" si="78"/>
        <v>8.6</v>
      </c>
      <c r="J315" s="14">
        <f t="shared" si="78"/>
        <v>0</v>
      </c>
      <c r="K315" s="14">
        <f t="shared" si="78"/>
        <v>-0.17</v>
      </c>
      <c r="L315" s="14">
        <f t="shared" si="78"/>
        <v>8.43</v>
      </c>
      <c r="M315" s="10">
        <v>2145</v>
      </c>
      <c r="N315" s="69"/>
      <c r="O315" s="11">
        <f>O311+1</f>
        <v>77</v>
      </c>
    </row>
    <row r="316" spans="1:15" x14ac:dyDescent="0.25">
      <c r="A316" s="10"/>
      <c r="G316" s="21"/>
      <c r="H316" s="21"/>
      <c r="I316" s="21"/>
      <c r="J316" s="21"/>
      <c r="K316" s="21"/>
      <c r="L316" s="21"/>
      <c r="M316" s="10"/>
      <c r="O316" s="11"/>
    </row>
    <row r="317" spans="1:15" s="4" customFormat="1" x14ac:dyDescent="0.25">
      <c r="A317" s="6">
        <v>153</v>
      </c>
      <c r="B317" s="5" t="s">
        <v>566</v>
      </c>
      <c r="C317" s="5" t="s">
        <v>17</v>
      </c>
      <c r="D317" s="5" t="s">
        <v>57</v>
      </c>
      <c r="E317" s="5" t="s">
        <v>58</v>
      </c>
      <c r="F317" s="5" t="s">
        <v>567</v>
      </c>
      <c r="G317" s="22">
        <v>2.15</v>
      </c>
      <c r="H317" s="22">
        <v>0</v>
      </c>
      <c r="I317" s="22">
        <v>0</v>
      </c>
      <c r="J317" s="22">
        <v>0</v>
      </c>
      <c r="K317" s="22">
        <v>-0.04</v>
      </c>
      <c r="L317" s="22">
        <v>2.11</v>
      </c>
      <c r="M317" s="10"/>
      <c r="N317" s="67"/>
      <c r="O317" s="11"/>
    </row>
    <row r="318" spans="1:15" x14ac:dyDescent="0.25">
      <c r="A318" s="6">
        <v>154</v>
      </c>
      <c r="B318" s="5" t="s">
        <v>566</v>
      </c>
      <c r="C318" s="5" t="s">
        <v>13</v>
      </c>
      <c r="D318" s="5" t="s">
        <v>57</v>
      </c>
      <c r="E318" s="5" t="s">
        <v>58</v>
      </c>
      <c r="F318" s="5" t="s">
        <v>567</v>
      </c>
      <c r="G318" s="22">
        <v>0</v>
      </c>
      <c r="H318" s="22">
        <v>0</v>
      </c>
      <c r="I318" s="22">
        <v>0</v>
      </c>
      <c r="J318" s="22">
        <v>0.26</v>
      </c>
      <c r="K318" s="22">
        <v>0</v>
      </c>
      <c r="L318" s="22">
        <v>0.26</v>
      </c>
      <c r="M318" s="10"/>
      <c r="O318" s="11"/>
    </row>
    <row r="319" spans="1:15" x14ac:dyDescent="0.25">
      <c r="A319" s="6"/>
      <c r="B319" s="5"/>
      <c r="C319" s="5"/>
      <c r="D319" s="5" t="s">
        <v>57</v>
      </c>
      <c r="E319" s="5" t="s">
        <v>58</v>
      </c>
      <c r="F319" s="5" t="s">
        <v>567</v>
      </c>
      <c r="G319" s="14">
        <f t="shared" ref="G319:L319" si="79">SUBTOTAL(9,G317:G318)</f>
        <v>2.15</v>
      </c>
      <c r="H319" s="14">
        <f t="shared" si="79"/>
        <v>0</v>
      </c>
      <c r="I319" s="14">
        <f t="shared" si="79"/>
        <v>0</v>
      </c>
      <c r="J319" s="14">
        <f t="shared" si="79"/>
        <v>0.26</v>
      </c>
      <c r="K319" s="14">
        <f t="shared" si="79"/>
        <v>-0.04</v>
      </c>
      <c r="L319" s="14">
        <f t="shared" si="79"/>
        <v>2.37</v>
      </c>
      <c r="M319" s="10">
        <v>2146</v>
      </c>
      <c r="N319" s="69"/>
      <c r="O319" s="11">
        <f>O315+1</f>
        <v>78</v>
      </c>
    </row>
    <row r="320" spans="1:15" s="4" customFormat="1" x14ac:dyDescent="0.25">
      <c r="A320" s="10"/>
      <c r="B320"/>
      <c r="C320"/>
      <c r="D320"/>
      <c r="E320"/>
      <c r="F320"/>
      <c r="G320" s="21"/>
      <c r="H320" s="21"/>
      <c r="I320" s="21"/>
      <c r="J320" s="21"/>
      <c r="K320" s="21"/>
      <c r="L320" s="21"/>
      <c r="M320" s="10"/>
      <c r="N320" s="67"/>
      <c r="O320" s="11"/>
    </row>
    <row r="321" spans="1:15" s="4" customFormat="1" x14ac:dyDescent="0.25">
      <c r="A321" s="6">
        <v>155</v>
      </c>
      <c r="B321" s="5" t="s">
        <v>559</v>
      </c>
      <c r="C321" s="5" t="s">
        <v>17</v>
      </c>
      <c r="D321" s="5" t="s">
        <v>57</v>
      </c>
      <c r="E321" s="5" t="s">
        <v>58</v>
      </c>
      <c r="F321" s="5" t="s">
        <v>560</v>
      </c>
      <c r="G321" s="22">
        <v>0.8</v>
      </c>
      <c r="H321" s="22">
        <v>0</v>
      </c>
      <c r="I321" s="22">
        <v>0</v>
      </c>
      <c r="J321" s="22">
        <v>0</v>
      </c>
      <c r="K321" s="22">
        <v>-0.02</v>
      </c>
      <c r="L321" s="22">
        <v>0.78</v>
      </c>
      <c r="M321" s="10"/>
      <c r="N321" s="67"/>
      <c r="O321" s="11"/>
    </row>
    <row r="322" spans="1:15" x14ac:dyDescent="0.25">
      <c r="A322" s="6">
        <v>156</v>
      </c>
      <c r="B322" s="5" t="s">
        <v>559</v>
      </c>
      <c r="C322" s="5" t="s">
        <v>13</v>
      </c>
      <c r="D322" s="5" t="s">
        <v>57</v>
      </c>
      <c r="E322" s="5" t="s">
        <v>58</v>
      </c>
      <c r="F322" s="5" t="s">
        <v>560</v>
      </c>
      <c r="G322" s="22">
        <v>0</v>
      </c>
      <c r="H322" s="22">
        <v>0</v>
      </c>
      <c r="I322" s="22">
        <v>0</v>
      </c>
      <c r="J322" s="22">
        <v>0.1</v>
      </c>
      <c r="K322" s="22">
        <v>0</v>
      </c>
      <c r="L322" s="22">
        <v>0.1</v>
      </c>
      <c r="M322" s="10"/>
      <c r="O322" s="11"/>
    </row>
    <row r="323" spans="1:15" x14ac:dyDescent="0.25">
      <c r="A323" s="6"/>
      <c r="B323" s="5"/>
      <c r="C323" s="5"/>
      <c r="D323" s="5" t="s">
        <v>57</v>
      </c>
      <c r="E323" s="5" t="s">
        <v>58</v>
      </c>
      <c r="F323" s="5" t="s">
        <v>560</v>
      </c>
      <c r="G323" s="14">
        <f t="shared" ref="G323:L323" si="80">SUBTOTAL(9,G321:G322)</f>
        <v>0.8</v>
      </c>
      <c r="H323" s="14">
        <f t="shared" si="80"/>
        <v>0</v>
      </c>
      <c r="I323" s="14">
        <f t="shared" si="80"/>
        <v>0</v>
      </c>
      <c r="J323" s="14">
        <f t="shared" si="80"/>
        <v>0.1</v>
      </c>
      <c r="K323" s="14">
        <f t="shared" si="80"/>
        <v>-0.02</v>
      </c>
      <c r="L323" s="14">
        <f t="shared" si="80"/>
        <v>0.88</v>
      </c>
      <c r="M323" s="10">
        <v>2147</v>
      </c>
      <c r="N323" s="69"/>
      <c r="O323" s="11">
        <f>O319+1</f>
        <v>79</v>
      </c>
    </row>
    <row r="324" spans="1:15" s="4" customFormat="1" x14ac:dyDescent="0.25">
      <c r="A324" s="10"/>
      <c r="B324"/>
      <c r="C324"/>
      <c r="D324"/>
      <c r="E324"/>
      <c r="F324"/>
      <c r="G324" s="21"/>
      <c r="H324" s="21"/>
      <c r="I324" s="21"/>
      <c r="J324" s="21"/>
      <c r="K324" s="21"/>
      <c r="L324" s="21"/>
      <c r="M324" s="10"/>
      <c r="N324" s="67"/>
      <c r="O324" s="11"/>
    </row>
    <row r="325" spans="1:15" s="4" customFormat="1" x14ac:dyDescent="0.25">
      <c r="A325" s="6">
        <v>157</v>
      </c>
      <c r="B325" s="5" t="s">
        <v>18</v>
      </c>
      <c r="C325" s="5" t="s">
        <v>17</v>
      </c>
      <c r="D325" s="5" t="s">
        <v>57</v>
      </c>
      <c r="E325" s="5" t="s">
        <v>58</v>
      </c>
      <c r="F325" s="5" t="s">
        <v>19</v>
      </c>
      <c r="G325" s="22">
        <v>0</v>
      </c>
      <c r="H325" s="22">
        <v>0</v>
      </c>
      <c r="I325" s="22">
        <v>0</v>
      </c>
      <c r="J325" s="22">
        <v>0</v>
      </c>
      <c r="K325" s="22">
        <v>0</v>
      </c>
      <c r="L325" s="22">
        <v>0</v>
      </c>
      <c r="M325" s="10"/>
      <c r="N325" s="67"/>
      <c r="O325" s="11"/>
    </row>
    <row r="326" spans="1:15" x14ac:dyDescent="0.25">
      <c r="A326" s="6">
        <v>158</v>
      </c>
      <c r="B326" s="5" t="s">
        <v>18</v>
      </c>
      <c r="C326" s="5" t="s">
        <v>17</v>
      </c>
      <c r="D326" s="5" t="s">
        <v>57</v>
      </c>
      <c r="E326" s="5" t="s">
        <v>58</v>
      </c>
      <c r="F326" s="5" t="s">
        <v>19</v>
      </c>
      <c r="G326" s="22">
        <v>0</v>
      </c>
      <c r="H326" s="22">
        <v>0</v>
      </c>
      <c r="I326" s="22">
        <v>1.21</v>
      </c>
      <c r="J326" s="22">
        <v>0</v>
      </c>
      <c r="K326" s="22">
        <v>-0.14000000000000001</v>
      </c>
      <c r="L326" s="22">
        <v>1.07</v>
      </c>
      <c r="M326" s="10"/>
      <c r="O326" s="11"/>
    </row>
    <row r="327" spans="1:15" x14ac:dyDescent="0.25">
      <c r="A327" s="6">
        <v>159</v>
      </c>
      <c r="B327" s="5" t="s">
        <v>18</v>
      </c>
      <c r="C327" s="5" t="s">
        <v>17</v>
      </c>
      <c r="D327" s="5" t="s">
        <v>57</v>
      </c>
      <c r="E327" s="5" t="s">
        <v>58</v>
      </c>
      <c r="F327" s="5" t="s">
        <v>19</v>
      </c>
      <c r="G327" s="22">
        <v>0.05</v>
      </c>
      <c r="H327" s="22">
        <v>0</v>
      </c>
      <c r="I327" s="22">
        <v>0</v>
      </c>
      <c r="J327" s="22">
        <v>0</v>
      </c>
      <c r="K327" s="22">
        <v>-0.04</v>
      </c>
      <c r="L327" s="22">
        <v>0.01</v>
      </c>
      <c r="M327" s="10"/>
      <c r="O327" s="11"/>
    </row>
    <row r="328" spans="1:15" s="4" customFormat="1" x14ac:dyDescent="0.25">
      <c r="A328" s="6">
        <v>160</v>
      </c>
      <c r="B328" s="5" t="s">
        <v>18</v>
      </c>
      <c r="C328" s="5" t="s">
        <v>17</v>
      </c>
      <c r="D328" s="5" t="s">
        <v>57</v>
      </c>
      <c r="E328" s="5" t="s">
        <v>58</v>
      </c>
      <c r="F328" s="5" t="s">
        <v>19</v>
      </c>
      <c r="G328" s="22">
        <v>0.33</v>
      </c>
      <c r="H328" s="22">
        <v>0</v>
      </c>
      <c r="I328" s="22">
        <v>0</v>
      </c>
      <c r="J328" s="22">
        <v>0</v>
      </c>
      <c r="K328" s="22">
        <v>-0.3</v>
      </c>
      <c r="L328" s="22">
        <v>0.03</v>
      </c>
      <c r="M328" s="10"/>
      <c r="N328" s="67"/>
      <c r="O328" s="11"/>
    </row>
    <row r="329" spans="1:15" s="4" customFormat="1" x14ac:dyDescent="0.25">
      <c r="A329" s="6">
        <v>161</v>
      </c>
      <c r="B329" s="5" t="s">
        <v>18</v>
      </c>
      <c r="C329" s="5" t="s">
        <v>17</v>
      </c>
      <c r="D329" s="5" t="s">
        <v>57</v>
      </c>
      <c r="E329" s="5" t="s">
        <v>58</v>
      </c>
      <c r="F329" s="5" t="s">
        <v>19</v>
      </c>
      <c r="G329" s="22">
        <v>0.76</v>
      </c>
      <c r="H329" s="22">
        <v>0</v>
      </c>
      <c r="I329" s="22">
        <v>0</v>
      </c>
      <c r="J329" s="22">
        <v>0</v>
      </c>
      <c r="K329" s="22">
        <v>-0.68</v>
      </c>
      <c r="L329" s="22">
        <v>0.08</v>
      </c>
      <c r="M329" s="10"/>
      <c r="N329" s="67"/>
      <c r="O329" s="11"/>
    </row>
    <row r="330" spans="1:15" x14ac:dyDescent="0.25">
      <c r="A330" s="6">
        <v>162</v>
      </c>
      <c r="B330" s="5" t="s">
        <v>18</v>
      </c>
      <c r="C330" s="5" t="s">
        <v>17</v>
      </c>
      <c r="D330" s="5" t="s">
        <v>57</v>
      </c>
      <c r="E330" s="5" t="s">
        <v>58</v>
      </c>
      <c r="F330" s="5" t="s">
        <v>19</v>
      </c>
      <c r="G330" s="22">
        <v>0</v>
      </c>
      <c r="H330" s="22">
        <v>0</v>
      </c>
      <c r="I330" s="22">
        <v>73.66</v>
      </c>
      <c r="J330" s="22">
        <v>0</v>
      </c>
      <c r="K330" s="22">
        <v>-8.66</v>
      </c>
      <c r="L330" s="22">
        <v>65</v>
      </c>
      <c r="M330" s="10"/>
      <c r="O330" s="11"/>
    </row>
    <row r="331" spans="1:15" x14ac:dyDescent="0.25">
      <c r="A331" s="6">
        <v>163</v>
      </c>
      <c r="B331" s="5" t="s">
        <v>18</v>
      </c>
      <c r="C331" s="5" t="s">
        <v>17</v>
      </c>
      <c r="D331" s="5" t="s">
        <v>57</v>
      </c>
      <c r="E331" s="5" t="s">
        <v>58</v>
      </c>
      <c r="F331" s="5" t="s">
        <v>19</v>
      </c>
      <c r="G331" s="22">
        <v>0</v>
      </c>
      <c r="H331" s="22">
        <v>0</v>
      </c>
      <c r="I331" s="22">
        <v>0.13</v>
      </c>
      <c r="J331" s="22">
        <v>0</v>
      </c>
      <c r="K331" s="22">
        <v>-0.02</v>
      </c>
      <c r="L331" s="22">
        <v>0.11</v>
      </c>
      <c r="M331" s="10"/>
      <c r="O331" s="11"/>
    </row>
    <row r="332" spans="1:15" s="4" customFormat="1" x14ac:dyDescent="0.25">
      <c r="A332" s="6"/>
      <c r="B332" s="5"/>
      <c r="C332" s="5"/>
      <c r="D332" s="5" t="s">
        <v>57</v>
      </c>
      <c r="E332" s="5" t="s">
        <v>58</v>
      </c>
      <c r="F332" s="5" t="s">
        <v>19</v>
      </c>
      <c r="G332" s="14">
        <f t="shared" ref="G332:L332" si="81">SUBTOTAL(9,G325:G331)</f>
        <v>1.1400000000000001</v>
      </c>
      <c r="H332" s="14">
        <f t="shared" si="81"/>
        <v>0</v>
      </c>
      <c r="I332" s="14">
        <f t="shared" si="81"/>
        <v>74.999999999999986</v>
      </c>
      <c r="J332" s="14">
        <f t="shared" si="81"/>
        <v>0</v>
      </c>
      <c r="K332" s="14">
        <f t="shared" si="81"/>
        <v>-9.84</v>
      </c>
      <c r="L332" s="14">
        <f t="shared" si="81"/>
        <v>66.3</v>
      </c>
      <c r="M332" s="10">
        <v>2148</v>
      </c>
      <c r="N332" s="69"/>
      <c r="O332" s="11">
        <f>O323+1</f>
        <v>80</v>
      </c>
    </row>
    <row r="333" spans="1:15" s="4" customFormat="1" x14ac:dyDescent="0.25">
      <c r="A333" s="10"/>
      <c r="B333"/>
      <c r="C333"/>
      <c r="D333"/>
      <c r="E333"/>
      <c r="F333"/>
      <c r="G333" s="21"/>
      <c r="H333" s="21"/>
      <c r="I333" s="21"/>
      <c r="J333" s="21"/>
      <c r="K333" s="21"/>
      <c r="L333" s="21"/>
      <c r="M333" s="10"/>
      <c r="N333" s="67"/>
      <c r="O333" s="11"/>
    </row>
    <row r="334" spans="1:15" x14ac:dyDescent="0.25">
      <c r="A334" s="6">
        <v>164</v>
      </c>
      <c r="B334" s="5" t="s">
        <v>550</v>
      </c>
      <c r="C334" s="5" t="s">
        <v>17</v>
      </c>
      <c r="D334" s="5" t="s">
        <v>57</v>
      </c>
      <c r="E334" s="5" t="s">
        <v>58</v>
      </c>
      <c r="F334" s="5" t="s">
        <v>551</v>
      </c>
      <c r="G334" s="22">
        <v>0</v>
      </c>
      <c r="H334" s="22">
        <v>0</v>
      </c>
      <c r="I334" s="22">
        <v>443000.07</v>
      </c>
      <c r="J334" s="22">
        <v>0</v>
      </c>
      <c r="K334" s="22">
        <v>-8860</v>
      </c>
      <c r="L334" s="22">
        <v>434140.07</v>
      </c>
      <c r="M334" s="10"/>
      <c r="O334" s="11"/>
    </row>
    <row r="335" spans="1:15" x14ac:dyDescent="0.25">
      <c r="A335" s="6">
        <v>165</v>
      </c>
      <c r="B335" s="5" t="s">
        <v>550</v>
      </c>
      <c r="C335" s="5" t="s">
        <v>17</v>
      </c>
      <c r="D335" s="5" t="s">
        <v>57</v>
      </c>
      <c r="E335" s="5" t="s">
        <v>58</v>
      </c>
      <c r="F335" s="5" t="s">
        <v>551</v>
      </c>
      <c r="G335" s="22">
        <v>0</v>
      </c>
      <c r="H335" s="22">
        <v>0</v>
      </c>
      <c r="I335" s="22">
        <v>1850.44</v>
      </c>
      <c r="J335" s="22">
        <v>0</v>
      </c>
      <c r="K335" s="22">
        <v>-37.01</v>
      </c>
      <c r="L335" s="22">
        <v>1813.43</v>
      </c>
      <c r="M335" s="10"/>
      <c r="O335" s="11"/>
    </row>
    <row r="336" spans="1:15" s="4" customFormat="1" x14ac:dyDescent="0.25">
      <c r="A336" s="6">
        <v>166</v>
      </c>
      <c r="B336" s="5" t="s">
        <v>550</v>
      </c>
      <c r="C336" s="5" t="s">
        <v>17</v>
      </c>
      <c r="D336" s="5" t="s">
        <v>57</v>
      </c>
      <c r="E336" s="5" t="s">
        <v>58</v>
      </c>
      <c r="F336" s="5" t="s">
        <v>551</v>
      </c>
      <c r="G336" s="22">
        <v>0.12</v>
      </c>
      <c r="H336" s="22">
        <v>0</v>
      </c>
      <c r="I336" s="22">
        <v>0</v>
      </c>
      <c r="J336" s="22">
        <v>0</v>
      </c>
      <c r="K336" s="22">
        <v>0</v>
      </c>
      <c r="L336" s="22">
        <v>0.12</v>
      </c>
      <c r="M336" s="10"/>
      <c r="N336" s="67"/>
      <c r="O336" s="11"/>
    </row>
    <row r="337" spans="1:15" x14ac:dyDescent="0.25">
      <c r="A337" s="6">
        <v>167</v>
      </c>
      <c r="B337" s="5" t="s">
        <v>550</v>
      </c>
      <c r="C337" s="5" t="s">
        <v>17</v>
      </c>
      <c r="D337" s="5" t="s">
        <v>57</v>
      </c>
      <c r="E337" s="5" t="s">
        <v>58</v>
      </c>
      <c r="F337" s="5" t="s">
        <v>551</v>
      </c>
      <c r="G337" s="22">
        <v>0</v>
      </c>
      <c r="H337" s="22">
        <v>0</v>
      </c>
      <c r="I337" s="22">
        <v>16.39</v>
      </c>
      <c r="J337" s="22">
        <v>0</v>
      </c>
      <c r="K337" s="22">
        <v>-0.33</v>
      </c>
      <c r="L337" s="22">
        <v>16.059999999999999</v>
      </c>
      <c r="M337" s="10"/>
      <c r="O337" s="11"/>
    </row>
    <row r="338" spans="1:15" x14ac:dyDescent="0.25">
      <c r="A338" s="6">
        <v>168</v>
      </c>
      <c r="B338" s="5" t="s">
        <v>550</v>
      </c>
      <c r="C338" s="5" t="s">
        <v>17</v>
      </c>
      <c r="D338" s="5" t="s">
        <v>57</v>
      </c>
      <c r="E338" s="5" t="s">
        <v>58</v>
      </c>
      <c r="F338" s="5" t="s">
        <v>551</v>
      </c>
      <c r="G338" s="22">
        <v>22674.95</v>
      </c>
      <c r="H338" s="22">
        <v>0</v>
      </c>
      <c r="I338" s="22">
        <v>0</v>
      </c>
      <c r="J338" s="22">
        <v>0</v>
      </c>
      <c r="K338" s="22">
        <v>-453.5</v>
      </c>
      <c r="L338" s="22">
        <v>22221.45</v>
      </c>
      <c r="M338" s="10"/>
      <c r="O338" s="11"/>
    </row>
    <row r="339" spans="1:15" s="4" customFormat="1" x14ac:dyDescent="0.25">
      <c r="A339" s="6">
        <v>169</v>
      </c>
      <c r="B339" s="5" t="s">
        <v>550</v>
      </c>
      <c r="C339" s="5" t="s">
        <v>13</v>
      </c>
      <c r="D339" s="5" t="s">
        <v>57</v>
      </c>
      <c r="E339" s="5" t="s">
        <v>58</v>
      </c>
      <c r="F339" s="5" t="s">
        <v>551</v>
      </c>
      <c r="G339" s="22">
        <v>0</v>
      </c>
      <c r="H339" s="22">
        <v>0</v>
      </c>
      <c r="I339" s="22">
        <v>0</v>
      </c>
      <c r="J339" s="22">
        <v>3609.15</v>
      </c>
      <c r="K339" s="22">
        <v>0</v>
      </c>
      <c r="L339" s="22">
        <v>3609.15</v>
      </c>
      <c r="M339" s="10"/>
      <c r="N339" s="67"/>
      <c r="O339" s="11"/>
    </row>
    <row r="340" spans="1:15" x14ac:dyDescent="0.25">
      <c r="A340" s="6">
        <v>170</v>
      </c>
      <c r="B340" s="5" t="s">
        <v>550</v>
      </c>
      <c r="C340" s="5" t="s">
        <v>17</v>
      </c>
      <c r="D340" s="5" t="s">
        <v>57</v>
      </c>
      <c r="E340" s="5" t="s">
        <v>58</v>
      </c>
      <c r="F340" s="5" t="s">
        <v>551</v>
      </c>
      <c r="G340" s="22">
        <v>4893.5</v>
      </c>
      <c r="H340" s="22">
        <v>0</v>
      </c>
      <c r="I340" s="22">
        <v>0</v>
      </c>
      <c r="J340" s="22">
        <v>0</v>
      </c>
      <c r="K340" s="22">
        <v>-97.87</v>
      </c>
      <c r="L340" s="22">
        <v>4795.63</v>
      </c>
      <c r="M340" s="10"/>
      <c r="O340" s="11"/>
    </row>
    <row r="341" spans="1:15" x14ac:dyDescent="0.25">
      <c r="A341" s="6">
        <v>171</v>
      </c>
      <c r="B341" s="5" t="s">
        <v>550</v>
      </c>
      <c r="C341" s="5" t="s">
        <v>17</v>
      </c>
      <c r="D341" s="5" t="s">
        <v>57</v>
      </c>
      <c r="E341" s="5" t="s">
        <v>58</v>
      </c>
      <c r="F341" s="5" t="s">
        <v>551</v>
      </c>
      <c r="G341" s="22">
        <v>30076.25</v>
      </c>
      <c r="H341" s="22">
        <v>0</v>
      </c>
      <c r="I341" s="22">
        <v>0</v>
      </c>
      <c r="J341" s="22">
        <v>0</v>
      </c>
      <c r="K341" s="22">
        <v>-601.52</v>
      </c>
      <c r="L341" s="22">
        <v>29474.73</v>
      </c>
      <c r="M341" s="10"/>
      <c r="O341" s="11"/>
    </row>
    <row r="342" spans="1:15" s="4" customFormat="1" x14ac:dyDescent="0.25">
      <c r="A342" s="6">
        <v>172</v>
      </c>
      <c r="B342" s="5" t="s">
        <v>550</v>
      </c>
      <c r="C342" s="5" t="s">
        <v>13</v>
      </c>
      <c r="D342" s="5" t="s">
        <v>57</v>
      </c>
      <c r="E342" s="5" t="s">
        <v>58</v>
      </c>
      <c r="F342" s="5" t="s">
        <v>551</v>
      </c>
      <c r="G342" s="22">
        <v>0</v>
      </c>
      <c r="H342" s="22">
        <v>0</v>
      </c>
      <c r="I342" s="22">
        <v>0</v>
      </c>
      <c r="J342" s="22">
        <v>0.01</v>
      </c>
      <c r="K342" s="22">
        <v>0</v>
      </c>
      <c r="L342" s="22">
        <v>0.01</v>
      </c>
      <c r="M342" s="10"/>
      <c r="N342" s="67"/>
      <c r="O342" s="11"/>
    </row>
    <row r="343" spans="1:15" s="4" customFormat="1" x14ac:dyDescent="0.25">
      <c r="A343" s="6">
        <v>173</v>
      </c>
      <c r="B343" s="5" t="s">
        <v>550</v>
      </c>
      <c r="C343" s="5" t="s">
        <v>13</v>
      </c>
      <c r="D343" s="5" t="s">
        <v>57</v>
      </c>
      <c r="E343" s="5" t="s">
        <v>58</v>
      </c>
      <c r="F343" s="5" t="s">
        <v>551</v>
      </c>
      <c r="G343" s="22">
        <v>0</v>
      </c>
      <c r="H343" s="22">
        <v>0</v>
      </c>
      <c r="I343" s="22">
        <v>0</v>
      </c>
      <c r="J343" s="22">
        <v>2720.99</v>
      </c>
      <c r="K343" s="22">
        <v>0</v>
      </c>
      <c r="L343" s="22">
        <v>2720.99</v>
      </c>
      <c r="M343" s="10"/>
      <c r="N343" s="67"/>
      <c r="O343" s="11"/>
    </row>
    <row r="344" spans="1:15" x14ac:dyDescent="0.25">
      <c r="A344" s="6">
        <v>174</v>
      </c>
      <c r="B344" s="5" t="s">
        <v>550</v>
      </c>
      <c r="C344" s="5" t="s">
        <v>13</v>
      </c>
      <c r="D344" s="5" t="s">
        <v>57</v>
      </c>
      <c r="E344" s="5" t="s">
        <v>58</v>
      </c>
      <c r="F344" s="5" t="s">
        <v>551</v>
      </c>
      <c r="G344" s="22">
        <v>0</v>
      </c>
      <c r="H344" s="22">
        <v>0</v>
      </c>
      <c r="I344" s="22">
        <v>0</v>
      </c>
      <c r="J344" s="22">
        <v>587.22</v>
      </c>
      <c r="K344" s="22">
        <v>0</v>
      </c>
      <c r="L344" s="22">
        <v>587.22</v>
      </c>
      <c r="M344" s="10"/>
      <c r="O344" s="11"/>
    </row>
    <row r="345" spans="1:15" x14ac:dyDescent="0.25">
      <c r="A345" s="6"/>
      <c r="B345" s="5"/>
      <c r="C345" s="5"/>
      <c r="D345" s="5" t="s">
        <v>57</v>
      </c>
      <c r="E345" s="5" t="s">
        <v>58</v>
      </c>
      <c r="F345" s="5" t="s">
        <v>551</v>
      </c>
      <c r="G345" s="14">
        <f t="shared" ref="G345:L345" si="82">SUBTOTAL(9,G334:G344)</f>
        <v>57644.82</v>
      </c>
      <c r="H345" s="14">
        <f t="shared" si="82"/>
        <v>0</v>
      </c>
      <c r="I345" s="14">
        <f t="shared" si="82"/>
        <v>444866.9</v>
      </c>
      <c r="J345" s="14">
        <f t="shared" si="82"/>
        <v>6917.37</v>
      </c>
      <c r="K345" s="14">
        <f t="shared" si="82"/>
        <v>-10050.230000000001</v>
      </c>
      <c r="L345" s="14">
        <f t="shared" si="82"/>
        <v>499378.86</v>
      </c>
      <c r="M345" s="10">
        <v>2149</v>
      </c>
      <c r="N345" s="69"/>
      <c r="O345" s="11">
        <f>O332+1</f>
        <v>81</v>
      </c>
    </row>
    <row r="346" spans="1:15" s="4" customFormat="1" x14ac:dyDescent="0.25">
      <c r="A346" s="10"/>
      <c r="B346"/>
      <c r="C346"/>
      <c r="D346"/>
      <c r="E346"/>
      <c r="F346"/>
      <c r="G346" s="21"/>
      <c r="H346" s="21"/>
      <c r="I346" s="21"/>
      <c r="J346" s="21"/>
      <c r="K346" s="21"/>
      <c r="L346" s="21"/>
      <c r="M346" s="10"/>
      <c r="N346" s="67"/>
      <c r="O346" s="11"/>
    </row>
    <row r="347" spans="1:15" x14ac:dyDescent="0.25">
      <c r="A347" s="6">
        <v>175</v>
      </c>
      <c r="B347" s="5" t="s">
        <v>550</v>
      </c>
      <c r="C347" s="5" t="s">
        <v>17</v>
      </c>
      <c r="D347" s="5" t="s">
        <v>57</v>
      </c>
      <c r="E347" s="5" t="s">
        <v>58</v>
      </c>
      <c r="F347" s="5" t="s">
        <v>552</v>
      </c>
      <c r="G347" s="22">
        <v>0</v>
      </c>
      <c r="H347" s="22">
        <v>0</v>
      </c>
      <c r="I347" s="22">
        <v>31.86</v>
      </c>
      <c r="J347" s="22">
        <v>0</v>
      </c>
      <c r="K347" s="22">
        <v>-0.64</v>
      </c>
      <c r="L347" s="22">
        <v>31.22</v>
      </c>
      <c r="M347" s="10"/>
      <c r="O347" s="11"/>
    </row>
    <row r="348" spans="1:15" x14ac:dyDescent="0.25">
      <c r="A348" s="6">
        <v>176</v>
      </c>
      <c r="B348" s="5" t="s">
        <v>550</v>
      </c>
      <c r="C348" s="5" t="s">
        <v>17</v>
      </c>
      <c r="D348" s="5" t="s">
        <v>57</v>
      </c>
      <c r="E348" s="5" t="s">
        <v>58</v>
      </c>
      <c r="F348" s="5" t="s">
        <v>552</v>
      </c>
      <c r="G348" s="22">
        <v>0</v>
      </c>
      <c r="H348" s="22">
        <v>0</v>
      </c>
      <c r="I348" s="22">
        <v>0.13</v>
      </c>
      <c r="J348" s="22">
        <v>0</v>
      </c>
      <c r="K348" s="22">
        <v>0</v>
      </c>
      <c r="L348" s="22">
        <v>0.13</v>
      </c>
      <c r="M348" s="10"/>
      <c r="O348" s="11"/>
    </row>
    <row r="349" spans="1:15" s="4" customFormat="1" x14ac:dyDescent="0.25">
      <c r="A349" s="6">
        <v>177</v>
      </c>
      <c r="B349" s="5" t="s">
        <v>550</v>
      </c>
      <c r="C349" s="5" t="s">
        <v>17</v>
      </c>
      <c r="D349" s="5" t="s">
        <v>57</v>
      </c>
      <c r="E349" s="5" t="s">
        <v>58</v>
      </c>
      <c r="F349" s="5" t="s">
        <v>552</v>
      </c>
      <c r="G349" s="22">
        <v>1.63</v>
      </c>
      <c r="H349" s="22">
        <v>0</v>
      </c>
      <c r="I349" s="22">
        <v>0</v>
      </c>
      <c r="J349" s="22">
        <v>0</v>
      </c>
      <c r="K349" s="22">
        <v>-0.03</v>
      </c>
      <c r="L349" s="22">
        <v>1.6</v>
      </c>
      <c r="M349" s="10"/>
      <c r="N349" s="67"/>
      <c r="O349" s="11"/>
    </row>
    <row r="350" spans="1:15" x14ac:dyDescent="0.25">
      <c r="A350" s="6">
        <v>178</v>
      </c>
      <c r="B350" s="5" t="s">
        <v>550</v>
      </c>
      <c r="C350" s="5" t="s">
        <v>13</v>
      </c>
      <c r="D350" s="5" t="s">
        <v>57</v>
      </c>
      <c r="E350" s="5" t="s">
        <v>58</v>
      </c>
      <c r="F350" s="5" t="s">
        <v>552</v>
      </c>
      <c r="G350" s="22">
        <v>0</v>
      </c>
      <c r="H350" s="22">
        <v>0</v>
      </c>
      <c r="I350" s="22">
        <v>0</v>
      </c>
      <c r="J350" s="22">
        <v>0.26</v>
      </c>
      <c r="K350" s="22">
        <v>0</v>
      </c>
      <c r="L350" s="22">
        <v>0.26</v>
      </c>
      <c r="M350" s="10"/>
      <c r="O350" s="11"/>
    </row>
    <row r="351" spans="1:15" x14ac:dyDescent="0.25">
      <c r="A351" s="6">
        <v>179</v>
      </c>
      <c r="B351" s="5" t="s">
        <v>550</v>
      </c>
      <c r="C351" s="5" t="s">
        <v>17</v>
      </c>
      <c r="D351" s="5" t="s">
        <v>57</v>
      </c>
      <c r="E351" s="5" t="s">
        <v>58</v>
      </c>
      <c r="F351" s="5" t="s">
        <v>552</v>
      </c>
      <c r="G351" s="22">
        <v>0.35</v>
      </c>
      <c r="H351" s="22">
        <v>0</v>
      </c>
      <c r="I351" s="22">
        <v>0</v>
      </c>
      <c r="J351" s="22">
        <v>0</v>
      </c>
      <c r="K351" s="22">
        <v>-0.01</v>
      </c>
      <c r="L351" s="22">
        <v>0.34</v>
      </c>
      <c r="M351" s="10"/>
      <c r="O351" s="11"/>
    </row>
    <row r="352" spans="1:15" s="4" customFormat="1" x14ac:dyDescent="0.25">
      <c r="A352" s="6">
        <v>180</v>
      </c>
      <c r="B352" s="5" t="s">
        <v>550</v>
      </c>
      <c r="C352" s="5" t="s">
        <v>17</v>
      </c>
      <c r="D352" s="5" t="s">
        <v>57</v>
      </c>
      <c r="E352" s="5" t="s">
        <v>58</v>
      </c>
      <c r="F352" s="5" t="s">
        <v>552</v>
      </c>
      <c r="G352" s="22">
        <v>2.16</v>
      </c>
      <c r="H352" s="22">
        <v>0</v>
      </c>
      <c r="I352" s="22">
        <v>0</v>
      </c>
      <c r="J352" s="22">
        <v>0</v>
      </c>
      <c r="K352" s="22">
        <v>-0.04</v>
      </c>
      <c r="L352" s="22">
        <v>2.12</v>
      </c>
      <c r="M352" s="10"/>
      <c r="N352" s="67"/>
      <c r="O352" s="11"/>
    </row>
    <row r="353" spans="1:15" s="4" customFormat="1" x14ac:dyDescent="0.25">
      <c r="A353" s="6">
        <v>181</v>
      </c>
      <c r="B353" s="5" t="s">
        <v>550</v>
      </c>
      <c r="C353" s="5" t="s">
        <v>13</v>
      </c>
      <c r="D353" s="5" t="s">
        <v>57</v>
      </c>
      <c r="E353" s="5" t="s">
        <v>58</v>
      </c>
      <c r="F353" s="5" t="s">
        <v>552</v>
      </c>
      <c r="G353" s="22">
        <v>0</v>
      </c>
      <c r="H353" s="22">
        <v>0</v>
      </c>
      <c r="I353" s="22">
        <v>0</v>
      </c>
      <c r="J353" s="22">
        <v>0.2</v>
      </c>
      <c r="K353" s="22">
        <v>0</v>
      </c>
      <c r="L353" s="22">
        <v>0.2</v>
      </c>
      <c r="M353" s="10"/>
      <c r="N353" s="67"/>
      <c r="O353" s="11"/>
    </row>
    <row r="354" spans="1:15" x14ac:dyDescent="0.25">
      <c r="A354" s="6">
        <v>182</v>
      </c>
      <c r="B354" s="5" t="s">
        <v>550</v>
      </c>
      <c r="C354" s="5" t="s">
        <v>13</v>
      </c>
      <c r="D354" s="5" t="s">
        <v>57</v>
      </c>
      <c r="E354" s="5" t="s">
        <v>58</v>
      </c>
      <c r="F354" s="5" t="s">
        <v>552</v>
      </c>
      <c r="G354" s="22">
        <v>0</v>
      </c>
      <c r="H354" s="22">
        <v>0</v>
      </c>
      <c r="I354" s="22">
        <v>0</v>
      </c>
      <c r="J354" s="22">
        <v>0.04</v>
      </c>
      <c r="K354" s="22">
        <v>0</v>
      </c>
      <c r="L354" s="22">
        <v>0.04</v>
      </c>
      <c r="M354" s="10"/>
      <c r="O354" s="11"/>
    </row>
    <row r="355" spans="1:15" x14ac:dyDescent="0.25">
      <c r="A355" s="6"/>
      <c r="B355" s="5"/>
      <c r="C355" s="5"/>
      <c r="D355" s="5" t="s">
        <v>57</v>
      </c>
      <c r="E355" s="5" t="s">
        <v>58</v>
      </c>
      <c r="F355" s="5" t="s">
        <v>552</v>
      </c>
      <c r="G355" s="14">
        <f t="shared" ref="G355:L355" si="83">SUBTOTAL(9,G347:G354)</f>
        <v>4.1400000000000006</v>
      </c>
      <c r="H355" s="14">
        <f t="shared" si="83"/>
        <v>0</v>
      </c>
      <c r="I355" s="14">
        <f t="shared" si="83"/>
        <v>31.99</v>
      </c>
      <c r="J355" s="14">
        <f t="shared" si="83"/>
        <v>0.5</v>
      </c>
      <c r="K355" s="14">
        <f t="shared" si="83"/>
        <v>-0.72000000000000008</v>
      </c>
      <c r="L355" s="14">
        <f t="shared" si="83"/>
        <v>35.909999999999997</v>
      </c>
      <c r="M355" s="10">
        <v>2150</v>
      </c>
      <c r="N355" s="69"/>
      <c r="O355" s="11">
        <f>O345+1</f>
        <v>82</v>
      </c>
    </row>
    <row r="356" spans="1:15" s="4" customFormat="1" x14ac:dyDescent="0.25">
      <c r="A356" s="10"/>
      <c r="B356"/>
      <c r="C356"/>
      <c r="D356"/>
      <c r="E356"/>
      <c r="F356"/>
      <c r="G356" s="21"/>
      <c r="H356" s="21"/>
      <c r="I356" s="21"/>
      <c r="J356" s="21"/>
      <c r="K356" s="21"/>
      <c r="L356" s="21"/>
      <c r="M356" s="10"/>
      <c r="N356" s="67"/>
      <c r="O356" s="11"/>
    </row>
    <row r="357" spans="1:15" s="4" customFormat="1" x14ac:dyDescent="0.25">
      <c r="A357" s="6">
        <v>183</v>
      </c>
      <c r="B357" s="5" t="s">
        <v>18</v>
      </c>
      <c r="C357" s="5" t="s">
        <v>17</v>
      </c>
      <c r="D357" s="5" t="s">
        <v>59</v>
      </c>
      <c r="E357" s="5" t="s">
        <v>60</v>
      </c>
      <c r="F357" s="5" t="s">
        <v>19</v>
      </c>
      <c r="G357" s="22">
        <v>0</v>
      </c>
      <c r="H357" s="22">
        <v>0</v>
      </c>
      <c r="I357" s="22">
        <v>0</v>
      </c>
      <c r="J357" s="22">
        <v>0</v>
      </c>
      <c r="K357" s="22">
        <v>0</v>
      </c>
      <c r="L357" s="22">
        <v>0</v>
      </c>
      <c r="M357" s="10"/>
      <c r="N357" s="67"/>
      <c r="O357" s="11"/>
    </row>
    <row r="358" spans="1:15" x14ac:dyDescent="0.25">
      <c r="A358" s="28"/>
      <c r="B358" s="29"/>
      <c r="C358" s="29"/>
      <c r="D358" s="29"/>
      <c r="E358" s="29"/>
      <c r="F358" s="30" t="s">
        <v>657</v>
      </c>
      <c r="G358" s="31">
        <f t="shared" ref="G358:L358" si="84">SUBTOTAL(9,G357:G357)</f>
        <v>0</v>
      </c>
      <c r="H358" s="31">
        <f t="shared" si="84"/>
        <v>0</v>
      </c>
      <c r="I358" s="31">
        <f t="shared" si="84"/>
        <v>0</v>
      </c>
      <c r="J358" s="31">
        <f t="shared" si="84"/>
        <v>0</v>
      </c>
      <c r="K358" s="31">
        <f t="shared" si="84"/>
        <v>0</v>
      </c>
      <c r="L358" s="31">
        <f t="shared" si="84"/>
        <v>0</v>
      </c>
      <c r="M358" s="15"/>
      <c r="N358" s="69"/>
      <c r="O358" s="11"/>
    </row>
    <row r="359" spans="1:15" x14ac:dyDescent="0.25">
      <c r="A359" s="10"/>
      <c r="G359" s="21"/>
      <c r="H359" s="21"/>
      <c r="I359" s="21"/>
      <c r="J359" s="21"/>
      <c r="K359" s="21"/>
      <c r="L359" s="21"/>
      <c r="M359" s="10"/>
      <c r="O359" s="11"/>
    </row>
    <row r="360" spans="1:15" s="4" customFormat="1" x14ac:dyDescent="0.25">
      <c r="A360" s="6">
        <v>184</v>
      </c>
      <c r="B360" s="5" t="s">
        <v>550</v>
      </c>
      <c r="C360" s="5" t="s">
        <v>17</v>
      </c>
      <c r="D360" s="5" t="s">
        <v>59</v>
      </c>
      <c r="E360" s="5" t="s">
        <v>60</v>
      </c>
      <c r="F360" s="5" t="s">
        <v>551</v>
      </c>
      <c r="G360" s="22">
        <v>5.16</v>
      </c>
      <c r="H360" s="22">
        <v>0</v>
      </c>
      <c r="I360" s="22">
        <v>0</v>
      </c>
      <c r="J360" s="22">
        <v>0</v>
      </c>
      <c r="K360" s="22">
        <v>-0.1</v>
      </c>
      <c r="L360" s="22">
        <v>5.0599999999999996</v>
      </c>
      <c r="M360" s="10"/>
      <c r="N360" s="67"/>
      <c r="O360" s="11"/>
    </row>
    <row r="361" spans="1:15" s="4" customFormat="1" x14ac:dyDescent="0.25">
      <c r="A361" s="6">
        <v>185</v>
      </c>
      <c r="B361" s="5" t="s">
        <v>550</v>
      </c>
      <c r="C361" s="5" t="s">
        <v>13</v>
      </c>
      <c r="D361" s="5" t="s">
        <v>59</v>
      </c>
      <c r="E361" s="5" t="s">
        <v>60</v>
      </c>
      <c r="F361" s="5" t="s">
        <v>551</v>
      </c>
      <c r="G361" s="22">
        <v>0</v>
      </c>
      <c r="H361" s="22">
        <v>0</v>
      </c>
      <c r="I361" s="22">
        <v>0</v>
      </c>
      <c r="J361" s="22">
        <v>0.62</v>
      </c>
      <c r="K361" s="22">
        <v>0</v>
      </c>
      <c r="L361" s="22">
        <v>0.62</v>
      </c>
      <c r="M361" s="10"/>
      <c r="N361" s="67"/>
      <c r="O361" s="11"/>
    </row>
    <row r="362" spans="1:15" x14ac:dyDescent="0.25">
      <c r="A362" s="6"/>
      <c r="B362" s="5"/>
      <c r="C362" s="5"/>
      <c r="D362" s="5" t="s">
        <v>59</v>
      </c>
      <c r="E362" s="5" t="s">
        <v>60</v>
      </c>
      <c r="F362" s="5" t="s">
        <v>551</v>
      </c>
      <c r="G362" s="14">
        <f>SUBTOTAL(9,G360:G361)</f>
        <v>5.16</v>
      </c>
      <c r="H362" s="14">
        <f t="shared" ref="H362:L362" si="85">SUBTOTAL(9,H360:H361)</f>
        <v>0</v>
      </c>
      <c r="I362" s="14">
        <f t="shared" si="85"/>
        <v>0</v>
      </c>
      <c r="J362" s="14">
        <f t="shared" si="85"/>
        <v>0.62</v>
      </c>
      <c r="K362" s="14">
        <f t="shared" si="85"/>
        <v>-0.1</v>
      </c>
      <c r="L362" s="14">
        <f t="shared" si="85"/>
        <v>5.68</v>
      </c>
      <c r="M362" s="10">
        <v>2201</v>
      </c>
      <c r="N362" s="69"/>
      <c r="O362" s="11">
        <f>O355+1</f>
        <v>83</v>
      </c>
    </row>
    <row r="363" spans="1:15" x14ac:dyDescent="0.25">
      <c r="A363" s="25"/>
      <c r="B363" s="26"/>
      <c r="C363" s="26"/>
      <c r="D363" s="26"/>
      <c r="E363" s="26"/>
      <c r="F363" s="26"/>
      <c r="G363" s="27"/>
      <c r="H363" s="27"/>
      <c r="I363" s="27"/>
      <c r="J363" s="27"/>
      <c r="K363" s="27"/>
      <c r="L363" s="27"/>
      <c r="M363" s="25"/>
      <c r="O363" s="32"/>
    </row>
    <row r="364" spans="1:15" s="4" customFormat="1" x14ac:dyDescent="0.25">
      <c r="A364" s="6">
        <v>186</v>
      </c>
      <c r="B364" s="5" t="s">
        <v>550</v>
      </c>
      <c r="C364" s="5" t="s">
        <v>17</v>
      </c>
      <c r="D364" s="5" t="s">
        <v>574</v>
      </c>
      <c r="E364" s="5" t="s">
        <v>62</v>
      </c>
      <c r="F364" s="5" t="s">
        <v>551</v>
      </c>
      <c r="G364" s="22">
        <v>0</v>
      </c>
      <c r="H364" s="22">
        <v>0</v>
      </c>
      <c r="I364" s="22">
        <v>56.99</v>
      </c>
      <c r="J364" s="22">
        <v>0</v>
      </c>
      <c r="K364" s="22">
        <v>-1.1399999999999999</v>
      </c>
      <c r="L364" s="22">
        <v>55.85</v>
      </c>
      <c r="M364" s="10"/>
      <c r="N364" s="67"/>
      <c r="O364" s="11"/>
    </row>
    <row r="365" spans="1:15" x14ac:dyDescent="0.25">
      <c r="A365" s="6"/>
      <c r="B365" s="5"/>
      <c r="C365" s="5"/>
      <c r="D365" s="5" t="s">
        <v>61</v>
      </c>
      <c r="E365" s="5" t="s">
        <v>62</v>
      </c>
      <c r="F365" s="5" t="s">
        <v>551</v>
      </c>
      <c r="G365" s="14">
        <f>SUBTOTAL(9,G364:G364)</f>
        <v>0</v>
      </c>
      <c r="H365" s="14">
        <f t="shared" ref="H365:L365" si="86">SUBTOTAL(9,H364:H364)</f>
        <v>0</v>
      </c>
      <c r="I365" s="14">
        <f t="shared" si="86"/>
        <v>56.99</v>
      </c>
      <c r="J365" s="14">
        <f t="shared" si="86"/>
        <v>0</v>
      </c>
      <c r="K365" s="14">
        <f t="shared" si="86"/>
        <v>-1.1399999999999999</v>
      </c>
      <c r="L365" s="14">
        <f t="shared" si="86"/>
        <v>55.85</v>
      </c>
      <c r="M365" s="10">
        <v>2202</v>
      </c>
      <c r="N365" s="69"/>
      <c r="O365" s="11">
        <f>O362+1</f>
        <v>84</v>
      </c>
    </row>
    <row r="366" spans="1:15" x14ac:dyDescent="0.25">
      <c r="A366" s="10"/>
      <c r="G366" s="21"/>
      <c r="H366" s="21"/>
      <c r="I366" s="21"/>
      <c r="J366" s="21"/>
      <c r="K366" s="21"/>
      <c r="L366" s="21"/>
      <c r="M366" s="10"/>
      <c r="O366" s="11"/>
    </row>
    <row r="367" spans="1:15" s="4" customFormat="1" x14ac:dyDescent="0.25">
      <c r="A367" s="6">
        <v>187</v>
      </c>
      <c r="B367" s="5" t="s">
        <v>18</v>
      </c>
      <c r="C367" s="5" t="s">
        <v>17</v>
      </c>
      <c r="D367" s="5" t="s">
        <v>63</v>
      </c>
      <c r="E367" s="5" t="s">
        <v>64</v>
      </c>
      <c r="F367" s="5" t="s">
        <v>19</v>
      </c>
      <c r="G367" s="22">
        <v>1.4</v>
      </c>
      <c r="H367" s="22">
        <v>0</v>
      </c>
      <c r="I367" s="22">
        <v>0</v>
      </c>
      <c r="J367" s="22">
        <v>0</v>
      </c>
      <c r="K367" s="22">
        <v>-1.24</v>
      </c>
      <c r="L367" s="22">
        <v>0.16</v>
      </c>
      <c r="M367" s="10"/>
      <c r="N367" s="67"/>
      <c r="O367" s="11"/>
    </row>
    <row r="368" spans="1:15" x14ac:dyDescent="0.25">
      <c r="A368" s="6"/>
      <c r="B368" s="5"/>
      <c r="C368" s="5"/>
      <c r="D368" s="5" t="s">
        <v>63</v>
      </c>
      <c r="E368" s="5" t="s">
        <v>64</v>
      </c>
      <c r="F368" s="5" t="s">
        <v>19</v>
      </c>
      <c r="G368" s="14">
        <f t="shared" ref="G368:L368" si="87">SUBTOTAL(9,G367:G367)</f>
        <v>1.4</v>
      </c>
      <c r="H368" s="14">
        <f t="shared" si="87"/>
        <v>0</v>
      </c>
      <c r="I368" s="14">
        <f t="shared" si="87"/>
        <v>0</v>
      </c>
      <c r="J368" s="14">
        <f t="shared" si="87"/>
        <v>0</v>
      </c>
      <c r="K368" s="14">
        <f t="shared" si="87"/>
        <v>-1.24</v>
      </c>
      <c r="L368" s="14">
        <f t="shared" si="87"/>
        <v>0.16</v>
      </c>
      <c r="M368" s="10">
        <v>2203</v>
      </c>
      <c r="N368" s="69"/>
      <c r="O368" s="11">
        <f>O365+1</f>
        <v>85</v>
      </c>
    </row>
    <row r="369" spans="1:15" x14ac:dyDescent="0.25">
      <c r="A369" s="10"/>
      <c r="G369" s="21"/>
      <c r="H369" s="21"/>
      <c r="I369" s="21"/>
      <c r="J369" s="21"/>
      <c r="K369" s="21"/>
      <c r="L369" s="21"/>
      <c r="M369" s="10"/>
      <c r="O369" s="11"/>
    </row>
    <row r="370" spans="1:15" s="4" customFormat="1" x14ac:dyDescent="0.25">
      <c r="A370" s="6">
        <v>188</v>
      </c>
      <c r="B370" s="5" t="s">
        <v>550</v>
      </c>
      <c r="C370" s="5" t="s">
        <v>17</v>
      </c>
      <c r="D370" s="5" t="s">
        <v>63</v>
      </c>
      <c r="E370" s="5" t="s">
        <v>64</v>
      </c>
      <c r="F370" s="5" t="s">
        <v>551</v>
      </c>
      <c r="G370" s="22">
        <v>50397.17</v>
      </c>
      <c r="H370" s="22">
        <v>0</v>
      </c>
      <c r="I370" s="22">
        <v>0</v>
      </c>
      <c r="J370" s="22">
        <v>0</v>
      </c>
      <c r="K370" s="22">
        <v>-1007.94</v>
      </c>
      <c r="L370" s="22">
        <v>49389.23</v>
      </c>
      <c r="M370" s="10"/>
      <c r="N370" s="67"/>
      <c r="O370" s="11"/>
    </row>
    <row r="371" spans="1:15" s="4" customFormat="1" x14ac:dyDescent="0.25">
      <c r="A371" s="6">
        <v>189</v>
      </c>
      <c r="B371" s="5" t="s">
        <v>550</v>
      </c>
      <c r="C371" s="5" t="s">
        <v>13</v>
      </c>
      <c r="D371" s="5" t="s">
        <v>63</v>
      </c>
      <c r="E371" s="5" t="s">
        <v>64</v>
      </c>
      <c r="F371" s="5" t="s">
        <v>551</v>
      </c>
      <c r="G371" s="22">
        <v>0</v>
      </c>
      <c r="H371" s="22">
        <v>0</v>
      </c>
      <c r="I371" s="22">
        <v>0</v>
      </c>
      <c r="J371" s="22">
        <v>6047.66</v>
      </c>
      <c r="K371" s="22">
        <v>0</v>
      </c>
      <c r="L371" s="22">
        <v>6047.66</v>
      </c>
      <c r="M371" s="10"/>
      <c r="N371" s="67"/>
      <c r="O371" s="11"/>
    </row>
    <row r="372" spans="1:15" x14ac:dyDescent="0.25">
      <c r="A372" s="6"/>
      <c r="B372" s="5"/>
      <c r="C372" s="5"/>
      <c r="D372" s="5" t="s">
        <v>63</v>
      </c>
      <c r="E372" s="5" t="s">
        <v>64</v>
      </c>
      <c r="F372" s="5" t="s">
        <v>551</v>
      </c>
      <c r="G372" s="14">
        <f t="shared" ref="G372:L372" si="88">SUBTOTAL(9,G370:G371)</f>
        <v>50397.17</v>
      </c>
      <c r="H372" s="14">
        <f t="shared" si="88"/>
        <v>0</v>
      </c>
      <c r="I372" s="14">
        <f t="shared" si="88"/>
        <v>0</v>
      </c>
      <c r="J372" s="14">
        <f t="shared" si="88"/>
        <v>6047.66</v>
      </c>
      <c r="K372" s="14">
        <f t="shared" si="88"/>
        <v>-1007.94</v>
      </c>
      <c r="L372" s="14">
        <f t="shared" si="88"/>
        <v>55436.89</v>
      </c>
      <c r="M372" s="10">
        <v>2204</v>
      </c>
      <c r="N372" s="69"/>
      <c r="O372" s="11">
        <f>O368+1</f>
        <v>86</v>
      </c>
    </row>
    <row r="373" spans="1:15" x14ac:dyDescent="0.25">
      <c r="A373" s="10"/>
      <c r="G373" s="21"/>
      <c r="H373" s="21"/>
      <c r="I373" s="21"/>
      <c r="J373" s="21"/>
      <c r="K373" s="21"/>
      <c r="L373" s="21"/>
      <c r="M373" s="10"/>
      <c r="O373" s="11"/>
    </row>
    <row r="374" spans="1:15" s="4" customFormat="1" x14ac:dyDescent="0.25">
      <c r="A374" s="6">
        <v>190</v>
      </c>
      <c r="B374" s="5" t="s">
        <v>550</v>
      </c>
      <c r="C374" s="5" t="s">
        <v>17</v>
      </c>
      <c r="D374" s="5" t="s">
        <v>63</v>
      </c>
      <c r="E374" s="5" t="s">
        <v>64</v>
      </c>
      <c r="F374" s="5" t="s">
        <v>552</v>
      </c>
      <c r="G374" s="22">
        <v>3.62</v>
      </c>
      <c r="H374" s="22">
        <v>0</v>
      </c>
      <c r="I374" s="22">
        <v>0</v>
      </c>
      <c r="J374" s="22">
        <v>0</v>
      </c>
      <c r="K374" s="22">
        <v>-7.0000000000000007E-2</v>
      </c>
      <c r="L374" s="22">
        <v>3.55</v>
      </c>
      <c r="M374" s="10"/>
      <c r="N374" s="67"/>
      <c r="O374" s="11"/>
    </row>
    <row r="375" spans="1:15" s="4" customFormat="1" x14ac:dyDescent="0.25">
      <c r="A375" s="6">
        <v>191</v>
      </c>
      <c r="B375" s="5" t="s">
        <v>550</v>
      </c>
      <c r="C375" s="5" t="s">
        <v>13</v>
      </c>
      <c r="D375" s="5" t="s">
        <v>63</v>
      </c>
      <c r="E375" s="5" t="s">
        <v>64</v>
      </c>
      <c r="F375" s="5" t="s">
        <v>552</v>
      </c>
      <c r="G375" s="22">
        <v>0</v>
      </c>
      <c r="H375" s="22">
        <v>0</v>
      </c>
      <c r="I375" s="22">
        <v>0</v>
      </c>
      <c r="J375" s="22">
        <v>0.43</v>
      </c>
      <c r="K375" s="22">
        <v>0</v>
      </c>
      <c r="L375" s="22">
        <v>0.43</v>
      </c>
      <c r="M375" s="10"/>
      <c r="N375" s="67"/>
      <c r="O375" s="11"/>
    </row>
    <row r="376" spans="1:15" x14ac:dyDescent="0.25">
      <c r="A376" s="6"/>
      <c r="B376" s="5"/>
      <c r="C376" s="5"/>
      <c r="D376" s="5" t="s">
        <v>63</v>
      </c>
      <c r="E376" s="5" t="s">
        <v>64</v>
      </c>
      <c r="F376" s="5" t="s">
        <v>552</v>
      </c>
      <c r="G376" s="14">
        <f t="shared" ref="G376:L376" si="89">SUBTOTAL(9,G374:G375)</f>
        <v>3.62</v>
      </c>
      <c r="H376" s="14">
        <f t="shared" si="89"/>
        <v>0</v>
      </c>
      <c r="I376" s="14">
        <f t="shared" si="89"/>
        <v>0</v>
      </c>
      <c r="J376" s="14">
        <f t="shared" si="89"/>
        <v>0.43</v>
      </c>
      <c r="K376" s="14">
        <f t="shared" si="89"/>
        <v>-7.0000000000000007E-2</v>
      </c>
      <c r="L376" s="14">
        <f t="shared" si="89"/>
        <v>3.98</v>
      </c>
      <c r="M376" s="10">
        <v>2205</v>
      </c>
      <c r="N376" s="69"/>
      <c r="O376" s="11">
        <f>O372+1</f>
        <v>87</v>
      </c>
    </row>
    <row r="377" spans="1:15" x14ac:dyDescent="0.25">
      <c r="A377" s="10"/>
      <c r="G377" s="21"/>
      <c r="H377" s="21"/>
      <c r="I377" s="21"/>
      <c r="J377" s="21"/>
      <c r="K377" s="21"/>
      <c r="L377" s="21"/>
      <c r="M377" s="10"/>
      <c r="O377" s="11"/>
    </row>
    <row r="378" spans="1:15" s="4" customFormat="1" x14ac:dyDescent="0.25">
      <c r="A378" s="6">
        <v>192</v>
      </c>
      <c r="B378" s="5" t="s">
        <v>566</v>
      </c>
      <c r="C378" s="5" t="s">
        <v>17</v>
      </c>
      <c r="D378" s="5" t="s">
        <v>65</v>
      </c>
      <c r="E378" s="5" t="s">
        <v>66</v>
      </c>
      <c r="F378" s="5" t="s">
        <v>567</v>
      </c>
      <c r="G378" s="22">
        <v>0.27</v>
      </c>
      <c r="H378" s="22">
        <v>0</v>
      </c>
      <c r="I378" s="22">
        <v>0</v>
      </c>
      <c r="J378" s="22">
        <v>0</v>
      </c>
      <c r="K378" s="22">
        <v>-0.01</v>
      </c>
      <c r="L378" s="22">
        <v>0.26</v>
      </c>
      <c r="M378" s="10"/>
      <c r="N378" s="67"/>
      <c r="O378" s="11"/>
    </row>
    <row r="379" spans="1:15" s="4" customFormat="1" x14ac:dyDescent="0.25">
      <c r="A379" s="6">
        <v>193</v>
      </c>
      <c r="B379" s="5" t="s">
        <v>566</v>
      </c>
      <c r="C379" s="5" t="s">
        <v>13</v>
      </c>
      <c r="D379" s="5" t="s">
        <v>65</v>
      </c>
      <c r="E379" s="5" t="s">
        <v>66</v>
      </c>
      <c r="F379" s="5" t="s">
        <v>567</v>
      </c>
      <c r="G379" s="22">
        <v>0</v>
      </c>
      <c r="H379" s="22">
        <v>0</v>
      </c>
      <c r="I379" s="22">
        <v>0</v>
      </c>
      <c r="J379" s="22">
        <v>0.03</v>
      </c>
      <c r="K379" s="22">
        <v>0</v>
      </c>
      <c r="L379" s="22">
        <v>0.03</v>
      </c>
      <c r="M379" s="10"/>
      <c r="N379" s="67"/>
      <c r="O379" s="11"/>
    </row>
    <row r="380" spans="1:15" x14ac:dyDescent="0.25">
      <c r="A380" s="6"/>
      <c r="B380" s="5"/>
      <c r="C380" s="5"/>
      <c r="D380" s="5" t="s">
        <v>65</v>
      </c>
      <c r="E380" s="5" t="s">
        <v>66</v>
      </c>
      <c r="F380" s="5" t="s">
        <v>567</v>
      </c>
      <c r="G380" s="14">
        <f t="shared" ref="G380:L380" si="90">SUBTOTAL(9,G378:G379)</f>
        <v>0.27</v>
      </c>
      <c r="H380" s="14">
        <f t="shared" si="90"/>
        <v>0</v>
      </c>
      <c r="I380" s="14">
        <f t="shared" si="90"/>
        <v>0</v>
      </c>
      <c r="J380" s="14">
        <f t="shared" si="90"/>
        <v>0.03</v>
      </c>
      <c r="K380" s="14">
        <f t="shared" si="90"/>
        <v>-0.01</v>
      </c>
      <c r="L380" s="14">
        <f t="shared" si="90"/>
        <v>0.29000000000000004</v>
      </c>
      <c r="M380" s="10">
        <v>2206</v>
      </c>
      <c r="N380" s="69"/>
      <c r="O380" s="11">
        <f>O376+1</f>
        <v>88</v>
      </c>
    </row>
    <row r="381" spans="1:15" x14ac:dyDescent="0.25">
      <c r="A381" s="10"/>
      <c r="G381" s="21"/>
      <c r="H381" s="21"/>
      <c r="I381" s="21"/>
      <c r="J381" s="21"/>
      <c r="K381" s="21"/>
      <c r="L381" s="21"/>
      <c r="M381" s="10"/>
      <c r="O381" s="11"/>
    </row>
    <row r="382" spans="1:15" s="4" customFormat="1" x14ac:dyDescent="0.25">
      <c r="A382" s="6">
        <v>194</v>
      </c>
      <c r="B382" s="5" t="s">
        <v>559</v>
      </c>
      <c r="C382" s="5" t="s">
        <v>17</v>
      </c>
      <c r="D382" s="5" t="s">
        <v>65</v>
      </c>
      <c r="E382" s="5" t="s">
        <v>66</v>
      </c>
      <c r="F382" s="5" t="s">
        <v>560</v>
      </c>
      <c r="G382" s="22">
        <v>16.93</v>
      </c>
      <c r="H382" s="22">
        <v>0</v>
      </c>
      <c r="I382" s="22">
        <v>0</v>
      </c>
      <c r="J382" s="22">
        <v>0</v>
      </c>
      <c r="K382" s="22">
        <v>-0.34</v>
      </c>
      <c r="L382" s="22">
        <v>16.59</v>
      </c>
      <c r="M382" s="10"/>
      <c r="N382" s="67"/>
      <c r="O382" s="11"/>
    </row>
    <row r="383" spans="1:15" s="4" customFormat="1" x14ac:dyDescent="0.25">
      <c r="A383" s="6">
        <v>195</v>
      </c>
      <c r="B383" s="5" t="s">
        <v>559</v>
      </c>
      <c r="C383" s="5" t="s">
        <v>13</v>
      </c>
      <c r="D383" s="5" t="s">
        <v>65</v>
      </c>
      <c r="E383" s="5" t="s">
        <v>66</v>
      </c>
      <c r="F383" s="5" t="s">
        <v>560</v>
      </c>
      <c r="G383" s="22">
        <v>0</v>
      </c>
      <c r="H383" s="22">
        <v>0</v>
      </c>
      <c r="I383" s="22">
        <v>0</v>
      </c>
      <c r="J383" s="22">
        <v>2.0299999999999998</v>
      </c>
      <c r="K383" s="22">
        <v>0</v>
      </c>
      <c r="L383" s="22">
        <v>2.0299999999999998</v>
      </c>
      <c r="M383" s="10"/>
      <c r="N383" s="67"/>
      <c r="O383" s="11"/>
    </row>
    <row r="384" spans="1:15" x14ac:dyDescent="0.25">
      <c r="A384" s="6"/>
      <c r="B384" s="5"/>
      <c r="C384" s="5"/>
      <c r="D384" s="5" t="s">
        <v>65</v>
      </c>
      <c r="E384" s="5" t="s">
        <v>66</v>
      </c>
      <c r="F384" s="5" t="s">
        <v>560</v>
      </c>
      <c r="G384" s="14">
        <f t="shared" ref="G384:L384" si="91">SUBTOTAL(9,G382:G383)</f>
        <v>16.93</v>
      </c>
      <c r="H384" s="14">
        <f t="shared" si="91"/>
        <v>0</v>
      </c>
      <c r="I384" s="14">
        <f t="shared" si="91"/>
        <v>0</v>
      </c>
      <c r="J384" s="14">
        <f t="shared" si="91"/>
        <v>2.0299999999999998</v>
      </c>
      <c r="K384" s="14">
        <f t="shared" si="91"/>
        <v>-0.34</v>
      </c>
      <c r="L384" s="14">
        <f t="shared" si="91"/>
        <v>18.62</v>
      </c>
      <c r="M384" s="10">
        <v>2207</v>
      </c>
      <c r="N384" s="69"/>
      <c r="O384" s="11">
        <f>O380+1</f>
        <v>89</v>
      </c>
    </row>
    <row r="385" spans="1:15" x14ac:dyDescent="0.25">
      <c r="A385" s="10"/>
      <c r="G385" s="21"/>
      <c r="H385" s="21"/>
      <c r="I385" s="21"/>
      <c r="J385" s="21"/>
      <c r="K385" s="21"/>
      <c r="L385" s="21"/>
      <c r="M385" s="10"/>
      <c r="O385" s="11"/>
    </row>
    <row r="386" spans="1:15" s="4" customFormat="1" x14ac:dyDescent="0.25">
      <c r="A386" s="6">
        <v>196</v>
      </c>
      <c r="B386" s="5" t="s">
        <v>18</v>
      </c>
      <c r="C386" s="5" t="s">
        <v>17</v>
      </c>
      <c r="D386" s="5" t="s">
        <v>65</v>
      </c>
      <c r="E386" s="5" t="s">
        <v>66</v>
      </c>
      <c r="F386" s="5" t="s">
        <v>19</v>
      </c>
      <c r="G386" s="22">
        <v>14.87</v>
      </c>
      <c r="H386" s="22">
        <v>0</v>
      </c>
      <c r="I386" s="22">
        <v>0</v>
      </c>
      <c r="J386" s="22">
        <v>0</v>
      </c>
      <c r="K386" s="22">
        <v>-13.19</v>
      </c>
      <c r="L386" s="22">
        <v>1.68</v>
      </c>
      <c r="M386" s="10"/>
      <c r="N386" s="67"/>
      <c r="O386" s="11"/>
    </row>
    <row r="387" spans="1:15" x14ac:dyDescent="0.25">
      <c r="A387" s="6"/>
      <c r="B387" s="5"/>
      <c r="C387" s="5"/>
      <c r="D387" s="5" t="s">
        <v>65</v>
      </c>
      <c r="E387" s="5" t="s">
        <v>66</v>
      </c>
      <c r="F387" s="5" t="s">
        <v>19</v>
      </c>
      <c r="G387" s="14">
        <f t="shared" ref="G387:L387" si="92">SUBTOTAL(9,G386:G386)</f>
        <v>14.87</v>
      </c>
      <c r="H387" s="14">
        <f t="shared" si="92"/>
        <v>0</v>
      </c>
      <c r="I387" s="14">
        <f t="shared" si="92"/>
        <v>0</v>
      </c>
      <c r="J387" s="14">
        <f t="shared" si="92"/>
        <v>0</v>
      </c>
      <c r="K387" s="14">
        <f t="shared" si="92"/>
        <v>-13.19</v>
      </c>
      <c r="L387" s="14">
        <f t="shared" si="92"/>
        <v>1.68</v>
      </c>
      <c r="M387" s="10">
        <v>2208</v>
      </c>
      <c r="N387" s="69"/>
      <c r="O387" s="11">
        <f>O384+1</f>
        <v>90</v>
      </c>
    </row>
    <row r="388" spans="1:15" x14ac:dyDescent="0.25">
      <c r="A388" s="10"/>
      <c r="G388" s="21"/>
      <c r="H388" s="21"/>
      <c r="I388" s="21"/>
      <c r="J388" s="21"/>
      <c r="K388" s="21"/>
      <c r="L388" s="21"/>
      <c r="M388" s="10"/>
      <c r="O388" s="11"/>
    </row>
    <row r="389" spans="1:15" s="4" customFormat="1" x14ac:dyDescent="0.25">
      <c r="A389" s="6">
        <v>197</v>
      </c>
      <c r="B389" s="5" t="s">
        <v>550</v>
      </c>
      <c r="C389" s="5" t="s">
        <v>17</v>
      </c>
      <c r="D389" s="5" t="s">
        <v>65</v>
      </c>
      <c r="E389" s="5" t="s">
        <v>66</v>
      </c>
      <c r="F389" s="5" t="s">
        <v>551</v>
      </c>
      <c r="G389" s="22">
        <v>260343.21</v>
      </c>
      <c r="H389" s="22">
        <v>0</v>
      </c>
      <c r="I389" s="22">
        <v>0</v>
      </c>
      <c r="J389" s="22">
        <v>0</v>
      </c>
      <c r="K389" s="22">
        <v>-5206.8599999999997</v>
      </c>
      <c r="L389" s="22">
        <v>255136.35</v>
      </c>
      <c r="M389" s="10"/>
      <c r="N389" s="67"/>
      <c r="O389" s="11"/>
    </row>
    <row r="390" spans="1:15" x14ac:dyDescent="0.25">
      <c r="A390" s="6">
        <v>198</v>
      </c>
      <c r="B390" s="5" t="s">
        <v>550</v>
      </c>
      <c r="C390" s="5" t="s">
        <v>13</v>
      </c>
      <c r="D390" s="5" t="s">
        <v>65</v>
      </c>
      <c r="E390" s="5" t="s">
        <v>66</v>
      </c>
      <c r="F390" s="5" t="s">
        <v>551</v>
      </c>
      <c r="G390" s="22">
        <v>0</v>
      </c>
      <c r="H390" s="22">
        <v>0</v>
      </c>
      <c r="I390" s="22">
        <v>0</v>
      </c>
      <c r="J390" s="22">
        <v>31241.19</v>
      </c>
      <c r="K390" s="22">
        <v>0</v>
      </c>
      <c r="L390" s="22">
        <v>31241.19</v>
      </c>
      <c r="M390" s="10"/>
      <c r="O390" s="11"/>
    </row>
    <row r="391" spans="1:15" x14ac:dyDescent="0.25">
      <c r="A391" s="6"/>
      <c r="B391" s="5"/>
      <c r="C391" s="5"/>
      <c r="D391" s="5" t="s">
        <v>65</v>
      </c>
      <c r="E391" s="5" t="s">
        <v>66</v>
      </c>
      <c r="F391" s="5" t="s">
        <v>551</v>
      </c>
      <c r="G391" s="14">
        <f t="shared" ref="G391:L391" si="93">SUBTOTAL(9,G389:G390)</f>
        <v>260343.21</v>
      </c>
      <c r="H391" s="14">
        <f t="shared" si="93"/>
        <v>0</v>
      </c>
      <c r="I391" s="14">
        <f t="shared" si="93"/>
        <v>0</v>
      </c>
      <c r="J391" s="14">
        <f t="shared" si="93"/>
        <v>31241.19</v>
      </c>
      <c r="K391" s="14">
        <f t="shared" si="93"/>
        <v>-5206.8599999999997</v>
      </c>
      <c r="L391" s="14">
        <f t="shared" si="93"/>
        <v>286377.53999999998</v>
      </c>
      <c r="M391" s="10">
        <v>2209</v>
      </c>
      <c r="N391" s="69"/>
      <c r="O391" s="11">
        <f>O387+1</f>
        <v>91</v>
      </c>
    </row>
    <row r="392" spans="1:15" s="4" customFormat="1" x14ac:dyDescent="0.25">
      <c r="A392" s="10"/>
      <c r="B392"/>
      <c r="C392"/>
      <c r="D392"/>
      <c r="E392"/>
      <c r="F392"/>
      <c r="G392" s="21"/>
      <c r="H392" s="21"/>
      <c r="I392" s="21"/>
      <c r="J392" s="21"/>
      <c r="K392" s="21"/>
      <c r="L392" s="21"/>
      <c r="M392" s="10"/>
      <c r="N392" s="67"/>
      <c r="O392" s="11"/>
    </row>
    <row r="393" spans="1:15" s="4" customFormat="1" x14ac:dyDescent="0.25">
      <c r="A393" s="6">
        <v>199</v>
      </c>
      <c r="B393" s="5" t="s">
        <v>550</v>
      </c>
      <c r="C393" s="5" t="s">
        <v>17</v>
      </c>
      <c r="D393" s="5" t="s">
        <v>65</v>
      </c>
      <c r="E393" s="5" t="s">
        <v>66</v>
      </c>
      <c r="F393" s="5" t="s">
        <v>552</v>
      </c>
      <c r="G393" s="22">
        <v>18.73</v>
      </c>
      <c r="H393" s="22">
        <v>0</v>
      </c>
      <c r="I393" s="22">
        <v>0</v>
      </c>
      <c r="J393" s="22">
        <v>0</v>
      </c>
      <c r="K393" s="22">
        <v>-0.37</v>
      </c>
      <c r="L393" s="22">
        <v>18.36</v>
      </c>
      <c r="M393" s="10"/>
      <c r="N393" s="67"/>
      <c r="O393" s="11"/>
    </row>
    <row r="394" spans="1:15" x14ac:dyDescent="0.25">
      <c r="A394" s="6">
        <v>200</v>
      </c>
      <c r="B394" s="5" t="s">
        <v>550</v>
      </c>
      <c r="C394" s="5" t="s">
        <v>13</v>
      </c>
      <c r="D394" s="5" t="s">
        <v>65</v>
      </c>
      <c r="E394" s="5" t="s">
        <v>66</v>
      </c>
      <c r="F394" s="5" t="s">
        <v>552</v>
      </c>
      <c r="G394" s="22">
        <v>0</v>
      </c>
      <c r="H394" s="22">
        <v>0</v>
      </c>
      <c r="I394" s="22">
        <v>0</v>
      </c>
      <c r="J394" s="22">
        <v>2.25</v>
      </c>
      <c r="K394" s="22">
        <v>0</v>
      </c>
      <c r="L394" s="22">
        <v>2.25</v>
      </c>
      <c r="M394" s="10"/>
      <c r="O394" s="11"/>
    </row>
    <row r="395" spans="1:15" x14ac:dyDescent="0.25">
      <c r="A395" s="6"/>
      <c r="B395" s="5"/>
      <c r="C395" s="5"/>
      <c r="D395" s="5" t="s">
        <v>65</v>
      </c>
      <c r="E395" s="5" t="s">
        <v>66</v>
      </c>
      <c r="F395" s="5" t="s">
        <v>552</v>
      </c>
      <c r="G395" s="14">
        <f t="shared" ref="G395:L395" si="94">SUBTOTAL(9,G393:G394)</f>
        <v>18.73</v>
      </c>
      <c r="H395" s="14">
        <f t="shared" si="94"/>
        <v>0</v>
      </c>
      <c r="I395" s="14">
        <f t="shared" si="94"/>
        <v>0</v>
      </c>
      <c r="J395" s="14">
        <f t="shared" si="94"/>
        <v>2.25</v>
      </c>
      <c r="K395" s="14">
        <f t="shared" si="94"/>
        <v>-0.37</v>
      </c>
      <c r="L395" s="14">
        <f t="shared" si="94"/>
        <v>20.61</v>
      </c>
      <c r="M395" s="10">
        <v>2210</v>
      </c>
      <c r="N395" s="69"/>
      <c r="O395" s="11">
        <f>O391+1</f>
        <v>92</v>
      </c>
    </row>
    <row r="396" spans="1:15" s="4" customFormat="1" x14ac:dyDescent="0.25">
      <c r="A396" s="10"/>
      <c r="B396"/>
      <c r="C396"/>
      <c r="D396"/>
      <c r="E396"/>
      <c r="F396"/>
      <c r="G396" s="21"/>
      <c r="H396" s="21"/>
      <c r="I396" s="21"/>
      <c r="J396" s="21"/>
      <c r="K396" s="21"/>
      <c r="L396" s="21"/>
      <c r="M396" s="10"/>
      <c r="N396" s="67"/>
      <c r="O396" s="11"/>
    </row>
    <row r="397" spans="1:15" s="4" customFormat="1" x14ac:dyDescent="0.25">
      <c r="A397" s="6">
        <v>201</v>
      </c>
      <c r="B397" s="5" t="s">
        <v>22</v>
      </c>
      <c r="C397" s="5" t="s">
        <v>17</v>
      </c>
      <c r="D397" s="5" t="s">
        <v>575</v>
      </c>
      <c r="E397" s="5" t="s">
        <v>576</v>
      </c>
      <c r="F397" s="5" t="s">
        <v>23</v>
      </c>
      <c r="G397" s="22">
        <v>0</v>
      </c>
      <c r="H397" s="22">
        <v>0</v>
      </c>
      <c r="I397" s="22">
        <v>1.95</v>
      </c>
      <c r="J397" s="22">
        <v>0</v>
      </c>
      <c r="K397" s="22">
        <v>0</v>
      </c>
      <c r="L397" s="22">
        <v>1.95</v>
      </c>
      <c r="M397" s="10"/>
      <c r="N397" s="67"/>
      <c r="O397" s="11"/>
    </row>
    <row r="398" spans="1:15" x14ac:dyDescent="0.25">
      <c r="A398" s="6"/>
      <c r="B398" s="5"/>
      <c r="C398" s="5"/>
      <c r="D398" s="5" t="s">
        <v>658</v>
      </c>
      <c r="E398" s="5" t="s">
        <v>576</v>
      </c>
      <c r="F398" s="5" t="s">
        <v>23</v>
      </c>
      <c r="G398" s="14">
        <f t="shared" ref="G398:L398" si="95">SUBTOTAL(9,G397:G397)</f>
        <v>0</v>
      </c>
      <c r="H398" s="14">
        <f t="shared" si="95"/>
        <v>0</v>
      </c>
      <c r="I398" s="14">
        <f t="shared" si="95"/>
        <v>1.95</v>
      </c>
      <c r="J398" s="14">
        <f t="shared" si="95"/>
        <v>0</v>
      </c>
      <c r="K398" s="14">
        <f t="shared" si="95"/>
        <v>0</v>
      </c>
      <c r="L398" s="14">
        <f t="shared" si="95"/>
        <v>1.95</v>
      </c>
      <c r="M398" s="10">
        <v>2211</v>
      </c>
      <c r="N398" s="69"/>
      <c r="O398" s="11">
        <f>O395+1</f>
        <v>93</v>
      </c>
    </row>
    <row r="399" spans="1:15" x14ac:dyDescent="0.25">
      <c r="A399" s="10"/>
      <c r="G399" s="21"/>
      <c r="H399" s="21"/>
      <c r="I399" s="21"/>
      <c r="J399" s="21"/>
      <c r="K399" s="21"/>
      <c r="L399" s="21"/>
      <c r="M399" s="10"/>
      <c r="O399" s="11"/>
    </row>
    <row r="400" spans="1:15" s="4" customFormat="1" x14ac:dyDescent="0.25">
      <c r="A400" s="6">
        <v>202</v>
      </c>
      <c r="B400" s="5" t="s">
        <v>550</v>
      </c>
      <c r="C400" s="5" t="s">
        <v>17</v>
      </c>
      <c r="D400" s="5" t="s">
        <v>575</v>
      </c>
      <c r="E400" s="5" t="s">
        <v>576</v>
      </c>
      <c r="F400" s="5" t="s">
        <v>551</v>
      </c>
      <c r="G400" s="22">
        <v>0</v>
      </c>
      <c r="H400" s="22">
        <v>0</v>
      </c>
      <c r="I400" s="22">
        <v>18.510000000000002</v>
      </c>
      <c r="J400" s="22">
        <v>0</v>
      </c>
      <c r="K400" s="22">
        <v>0</v>
      </c>
      <c r="L400" s="22">
        <v>18.510000000000002</v>
      </c>
      <c r="M400" s="10"/>
      <c r="N400" s="67"/>
      <c r="O400" s="11"/>
    </row>
    <row r="401" spans="1:15" x14ac:dyDescent="0.25">
      <c r="A401" s="6">
        <v>203</v>
      </c>
      <c r="B401" s="5" t="s">
        <v>550</v>
      </c>
      <c r="C401" s="5" t="s">
        <v>49</v>
      </c>
      <c r="D401" s="5" t="s">
        <v>575</v>
      </c>
      <c r="E401" s="5" t="s">
        <v>576</v>
      </c>
      <c r="F401" s="5" t="s">
        <v>551</v>
      </c>
      <c r="G401" s="22">
        <v>0</v>
      </c>
      <c r="H401" s="22">
        <v>0</v>
      </c>
      <c r="I401" s="22">
        <v>0.02</v>
      </c>
      <c r="J401" s="22">
        <v>0</v>
      </c>
      <c r="K401" s="22">
        <v>0</v>
      </c>
      <c r="L401" s="22">
        <v>0.02</v>
      </c>
      <c r="M401" s="10"/>
      <c r="N401" s="70">
        <v>0.02</v>
      </c>
      <c r="O401" s="11"/>
    </row>
    <row r="402" spans="1:15" x14ac:dyDescent="0.25">
      <c r="A402" s="6"/>
      <c r="B402" s="5"/>
      <c r="C402" s="5"/>
      <c r="D402" s="5" t="s">
        <v>658</v>
      </c>
      <c r="E402" s="5" t="s">
        <v>576</v>
      </c>
      <c r="F402" s="5" t="s">
        <v>551</v>
      </c>
      <c r="G402" s="14">
        <f t="shared" ref="G402:L402" si="96">SUBTOTAL(9,G400:G401)</f>
        <v>0</v>
      </c>
      <c r="H402" s="14">
        <f t="shared" si="96"/>
        <v>0</v>
      </c>
      <c r="I402" s="14">
        <f t="shared" si="96"/>
        <v>18.53</v>
      </c>
      <c r="J402" s="14">
        <f t="shared" si="96"/>
        <v>0</v>
      </c>
      <c r="K402" s="14">
        <f t="shared" si="96"/>
        <v>0</v>
      </c>
      <c r="L402" s="14">
        <f t="shared" si="96"/>
        <v>18.53</v>
      </c>
      <c r="M402" s="10">
        <v>2212</v>
      </c>
      <c r="N402" s="71">
        <f>SUBTOTAL(9,N400:N401)</f>
        <v>0.02</v>
      </c>
      <c r="O402" s="11">
        <f>O398+1</f>
        <v>94</v>
      </c>
    </row>
    <row r="403" spans="1:15" s="4" customFormat="1" x14ac:dyDescent="0.25">
      <c r="A403" s="10"/>
      <c r="B403"/>
      <c r="C403"/>
      <c r="D403"/>
      <c r="E403"/>
      <c r="F403"/>
      <c r="G403" s="21"/>
      <c r="H403" s="21"/>
      <c r="I403" s="21"/>
      <c r="J403" s="21"/>
      <c r="K403" s="21"/>
      <c r="L403" s="21"/>
      <c r="M403" s="10"/>
      <c r="N403" s="67"/>
      <c r="O403" s="11"/>
    </row>
    <row r="404" spans="1:15" x14ac:dyDescent="0.25">
      <c r="A404" s="6">
        <v>204</v>
      </c>
      <c r="B404" s="5" t="s">
        <v>555</v>
      </c>
      <c r="C404" s="5" t="s">
        <v>17</v>
      </c>
      <c r="D404" s="5" t="s">
        <v>67</v>
      </c>
      <c r="E404" s="5" t="s">
        <v>68</v>
      </c>
      <c r="F404" s="5" t="s">
        <v>556</v>
      </c>
      <c r="G404" s="22">
        <v>0</v>
      </c>
      <c r="H404" s="22">
        <v>0</v>
      </c>
      <c r="I404" s="22">
        <v>11.88</v>
      </c>
      <c r="J404" s="22">
        <v>0</v>
      </c>
      <c r="K404" s="22">
        <v>-0.24</v>
      </c>
      <c r="L404" s="22">
        <v>11.64</v>
      </c>
      <c r="M404" s="10"/>
      <c r="O404" s="11"/>
    </row>
    <row r="405" spans="1:15" x14ac:dyDescent="0.25">
      <c r="A405" s="6"/>
      <c r="B405" s="5"/>
      <c r="C405" s="5"/>
      <c r="D405" s="5" t="s">
        <v>67</v>
      </c>
      <c r="E405" s="5" t="s">
        <v>68</v>
      </c>
      <c r="F405" s="5" t="s">
        <v>556</v>
      </c>
      <c r="G405" s="14">
        <f t="shared" ref="G405:L405" si="97">SUBTOTAL(9,G404:G404)</f>
        <v>0</v>
      </c>
      <c r="H405" s="14">
        <f t="shared" si="97"/>
        <v>0</v>
      </c>
      <c r="I405" s="14">
        <f t="shared" si="97"/>
        <v>11.88</v>
      </c>
      <c r="J405" s="14">
        <f t="shared" si="97"/>
        <v>0</v>
      </c>
      <c r="K405" s="14">
        <f t="shared" si="97"/>
        <v>-0.24</v>
      </c>
      <c r="L405" s="14">
        <f t="shared" si="97"/>
        <v>11.64</v>
      </c>
      <c r="M405" s="10">
        <v>2213</v>
      </c>
      <c r="N405" s="69"/>
      <c r="O405" s="11">
        <f>O402+1</f>
        <v>95</v>
      </c>
    </row>
    <row r="406" spans="1:15" s="4" customFormat="1" x14ac:dyDescent="0.25">
      <c r="A406" s="10"/>
      <c r="B406"/>
      <c r="C406"/>
      <c r="D406"/>
      <c r="E406"/>
      <c r="F406"/>
      <c r="G406" s="21"/>
      <c r="H406" s="21"/>
      <c r="I406" s="21"/>
      <c r="J406" s="21"/>
      <c r="K406" s="21"/>
      <c r="L406" s="21"/>
      <c r="M406" s="10"/>
      <c r="N406" s="67"/>
      <c r="O406" s="11"/>
    </row>
    <row r="407" spans="1:15" x14ac:dyDescent="0.25">
      <c r="A407" s="6">
        <v>205</v>
      </c>
      <c r="B407" s="5" t="s">
        <v>557</v>
      </c>
      <c r="C407" s="5" t="s">
        <v>17</v>
      </c>
      <c r="D407" s="5" t="s">
        <v>67</v>
      </c>
      <c r="E407" s="5" t="s">
        <v>68</v>
      </c>
      <c r="F407" s="5" t="s">
        <v>558</v>
      </c>
      <c r="G407" s="22">
        <v>0</v>
      </c>
      <c r="H407" s="22">
        <v>0</v>
      </c>
      <c r="I407" s="22">
        <v>7.27</v>
      </c>
      <c r="J407" s="22">
        <v>0</v>
      </c>
      <c r="K407" s="22">
        <v>-0.15</v>
      </c>
      <c r="L407" s="22">
        <v>7.12</v>
      </c>
      <c r="M407" s="10"/>
      <c r="O407" s="11"/>
    </row>
    <row r="408" spans="1:15" x14ac:dyDescent="0.25">
      <c r="A408" s="6"/>
      <c r="B408" s="5"/>
      <c r="C408" s="5"/>
      <c r="D408" s="5" t="s">
        <v>67</v>
      </c>
      <c r="E408" s="5" t="s">
        <v>68</v>
      </c>
      <c r="F408" s="5" t="s">
        <v>558</v>
      </c>
      <c r="G408" s="14">
        <f t="shared" ref="G408:L408" si="98">SUBTOTAL(9,G407:G407)</f>
        <v>0</v>
      </c>
      <c r="H408" s="14">
        <f t="shared" si="98"/>
        <v>0</v>
      </c>
      <c r="I408" s="14">
        <f t="shared" si="98"/>
        <v>7.27</v>
      </c>
      <c r="J408" s="14">
        <f t="shared" si="98"/>
        <v>0</v>
      </c>
      <c r="K408" s="14">
        <f t="shared" si="98"/>
        <v>-0.15</v>
      </c>
      <c r="L408" s="14">
        <f t="shared" si="98"/>
        <v>7.12</v>
      </c>
      <c r="M408" s="10">
        <v>2214</v>
      </c>
      <c r="N408" s="69"/>
      <c r="O408" s="11">
        <f>O405+1</f>
        <v>96</v>
      </c>
    </row>
    <row r="409" spans="1:15" s="4" customFormat="1" x14ac:dyDescent="0.25">
      <c r="A409" s="10"/>
      <c r="B409"/>
      <c r="C409"/>
      <c r="D409"/>
      <c r="E409"/>
      <c r="F409"/>
      <c r="G409" s="21"/>
      <c r="H409" s="21"/>
      <c r="I409" s="21"/>
      <c r="J409" s="21"/>
      <c r="K409" s="21"/>
      <c r="L409" s="21"/>
      <c r="M409" s="10"/>
      <c r="N409" s="67"/>
      <c r="O409" s="11"/>
    </row>
    <row r="410" spans="1:15" x14ac:dyDescent="0.25">
      <c r="A410" s="6">
        <v>206</v>
      </c>
      <c r="B410" s="5" t="s">
        <v>18</v>
      </c>
      <c r="C410" s="5" t="s">
        <v>17</v>
      </c>
      <c r="D410" s="5" t="s">
        <v>67</v>
      </c>
      <c r="E410" s="5" t="s">
        <v>68</v>
      </c>
      <c r="F410" s="5" t="s">
        <v>19</v>
      </c>
      <c r="G410" s="22">
        <v>0</v>
      </c>
      <c r="H410" s="22">
        <v>0</v>
      </c>
      <c r="I410" s="22">
        <v>1.1499999999999999</v>
      </c>
      <c r="J410" s="22">
        <v>0</v>
      </c>
      <c r="K410" s="22">
        <v>-0.14000000000000001</v>
      </c>
      <c r="L410" s="22">
        <v>1.01</v>
      </c>
      <c r="M410" s="10"/>
      <c r="O410" s="11"/>
    </row>
    <row r="411" spans="1:15" x14ac:dyDescent="0.25">
      <c r="A411" s="6"/>
      <c r="B411" s="5"/>
      <c r="C411" s="5"/>
      <c r="D411" s="5" t="s">
        <v>67</v>
      </c>
      <c r="E411" s="5" t="s">
        <v>68</v>
      </c>
      <c r="F411" s="5" t="s">
        <v>19</v>
      </c>
      <c r="G411" s="14">
        <f t="shared" ref="G411:L411" si="99">SUBTOTAL(9,G410:G410)</f>
        <v>0</v>
      </c>
      <c r="H411" s="14">
        <f t="shared" si="99"/>
        <v>0</v>
      </c>
      <c r="I411" s="14">
        <f t="shared" si="99"/>
        <v>1.1499999999999999</v>
      </c>
      <c r="J411" s="14">
        <f t="shared" si="99"/>
        <v>0</v>
      </c>
      <c r="K411" s="14">
        <f t="shared" si="99"/>
        <v>-0.14000000000000001</v>
      </c>
      <c r="L411" s="14">
        <f t="shared" si="99"/>
        <v>1.01</v>
      </c>
      <c r="M411" s="10">
        <v>2215</v>
      </c>
      <c r="N411" s="69"/>
      <c r="O411" s="11">
        <f>O408+1</f>
        <v>97</v>
      </c>
    </row>
    <row r="412" spans="1:15" s="4" customFormat="1" x14ac:dyDescent="0.25">
      <c r="A412" s="10"/>
      <c r="B412"/>
      <c r="C412"/>
      <c r="D412"/>
      <c r="E412"/>
      <c r="F412"/>
      <c r="G412" s="21"/>
      <c r="H412" s="21"/>
      <c r="I412" s="21"/>
      <c r="J412" s="21"/>
      <c r="K412" s="21"/>
      <c r="L412" s="21"/>
      <c r="M412" s="10"/>
      <c r="N412" s="67"/>
      <c r="O412" s="11"/>
    </row>
    <row r="413" spans="1:15" x14ac:dyDescent="0.25">
      <c r="A413" s="6">
        <v>207</v>
      </c>
      <c r="B413" s="5" t="s">
        <v>550</v>
      </c>
      <c r="C413" s="5" t="s">
        <v>17</v>
      </c>
      <c r="D413" s="5" t="s">
        <v>67</v>
      </c>
      <c r="E413" s="5" t="s">
        <v>68</v>
      </c>
      <c r="F413" s="5" t="s">
        <v>551</v>
      </c>
      <c r="G413" s="22">
        <v>0</v>
      </c>
      <c r="H413" s="22">
        <v>0</v>
      </c>
      <c r="I413" s="22">
        <v>1261.8800000000001</v>
      </c>
      <c r="J413" s="22">
        <v>0</v>
      </c>
      <c r="K413" s="22">
        <v>-25.24</v>
      </c>
      <c r="L413" s="22">
        <v>1236.6400000000001</v>
      </c>
      <c r="M413" s="10"/>
      <c r="O413" s="11"/>
    </row>
    <row r="414" spans="1:15" x14ac:dyDescent="0.25">
      <c r="A414" s="6"/>
      <c r="B414" s="5"/>
      <c r="C414" s="5"/>
      <c r="D414" s="5" t="s">
        <v>67</v>
      </c>
      <c r="E414" s="5" t="s">
        <v>68</v>
      </c>
      <c r="F414" s="5" t="s">
        <v>551</v>
      </c>
      <c r="G414" s="14">
        <f t="shared" ref="G414:L414" si="100">SUBTOTAL(9,G413:G413)</f>
        <v>0</v>
      </c>
      <c r="H414" s="14">
        <f t="shared" si="100"/>
        <v>0</v>
      </c>
      <c r="I414" s="14">
        <f t="shared" si="100"/>
        <v>1261.8800000000001</v>
      </c>
      <c r="J414" s="14">
        <f t="shared" si="100"/>
        <v>0</v>
      </c>
      <c r="K414" s="14">
        <f t="shared" si="100"/>
        <v>-25.24</v>
      </c>
      <c r="L414" s="14">
        <f t="shared" si="100"/>
        <v>1236.6400000000001</v>
      </c>
      <c r="M414" s="10">
        <v>2216</v>
      </c>
      <c r="N414" s="69"/>
      <c r="O414" s="11">
        <f>O411+1</f>
        <v>98</v>
      </c>
    </row>
    <row r="415" spans="1:15" s="4" customFormat="1" x14ac:dyDescent="0.25">
      <c r="A415" s="10"/>
      <c r="B415"/>
      <c r="C415"/>
      <c r="D415"/>
      <c r="E415"/>
      <c r="F415"/>
      <c r="G415" s="21"/>
      <c r="H415" s="21"/>
      <c r="I415" s="21"/>
      <c r="J415" s="21"/>
      <c r="K415" s="21"/>
      <c r="L415" s="21"/>
      <c r="M415" s="10"/>
      <c r="N415" s="67"/>
      <c r="O415" s="11"/>
    </row>
    <row r="416" spans="1:15" x14ac:dyDescent="0.25">
      <c r="A416" s="6">
        <v>208</v>
      </c>
      <c r="B416" s="5" t="s">
        <v>550</v>
      </c>
      <c r="C416" s="5" t="s">
        <v>17</v>
      </c>
      <c r="D416" s="5" t="s">
        <v>67</v>
      </c>
      <c r="E416" s="5" t="s">
        <v>68</v>
      </c>
      <c r="F416" s="5" t="s">
        <v>552</v>
      </c>
      <c r="G416" s="22">
        <v>0</v>
      </c>
      <c r="H416" s="22">
        <v>0</v>
      </c>
      <c r="I416" s="22">
        <v>0.09</v>
      </c>
      <c r="J416" s="22">
        <v>0</v>
      </c>
      <c r="K416" s="22">
        <v>0</v>
      </c>
      <c r="L416" s="22">
        <v>0.09</v>
      </c>
      <c r="M416" s="10"/>
      <c r="O416" s="11"/>
    </row>
    <row r="417" spans="1:15" x14ac:dyDescent="0.25">
      <c r="A417" s="6"/>
      <c r="B417" s="5"/>
      <c r="C417" s="5"/>
      <c r="D417" s="5" t="s">
        <v>67</v>
      </c>
      <c r="E417" s="5" t="s">
        <v>68</v>
      </c>
      <c r="F417" s="5" t="s">
        <v>552</v>
      </c>
      <c r="G417" s="14">
        <f t="shared" ref="G417:L417" si="101">SUBTOTAL(9,G416:G416)</f>
        <v>0</v>
      </c>
      <c r="H417" s="14">
        <f t="shared" si="101"/>
        <v>0</v>
      </c>
      <c r="I417" s="14">
        <f t="shared" si="101"/>
        <v>0.09</v>
      </c>
      <c r="J417" s="14">
        <f t="shared" si="101"/>
        <v>0</v>
      </c>
      <c r="K417" s="14">
        <f t="shared" si="101"/>
        <v>0</v>
      </c>
      <c r="L417" s="14">
        <f t="shared" si="101"/>
        <v>0.09</v>
      </c>
      <c r="M417" s="10">
        <v>2217</v>
      </c>
      <c r="N417" s="69"/>
      <c r="O417" s="11">
        <f>O414+1</f>
        <v>99</v>
      </c>
    </row>
    <row r="418" spans="1:15" s="4" customFormat="1" x14ac:dyDescent="0.25">
      <c r="A418" s="10"/>
      <c r="B418"/>
      <c r="C418"/>
      <c r="D418"/>
      <c r="E418"/>
      <c r="F418"/>
      <c r="G418" s="21"/>
      <c r="H418" s="21"/>
      <c r="I418" s="21"/>
      <c r="J418" s="21"/>
      <c r="K418" s="21"/>
      <c r="L418" s="21"/>
      <c r="M418" s="10"/>
      <c r="N418" s="67"/>
      <c r="O418" s="11"/>
    </row>
    <row r="419" spans="1:15" x14ac:dyDescent="0.25">
      <c r="A419" s="6">
        <v>209</v>
      </c>
      <c r="B419" s="5" t="s">
        <v>559</v>
      </c>
      <c r="C419" s="5" t="s">
        <v>17</v>
      </c>
      <c r="D419" s="5" t="s">
        <v>69</v>
      </c>
      <c r="E419" s="5" t="s">
        <v>70</v>
      </c>
      <c r="F419" s="5" t="s">
        <v>560</v>
      </c>
      <c r="G419" s="22">
        <v>0</v>
      </c>
      <c r="H419" s="22">
        <v>0</v>
      </c>
      <c r="I419" s="22">
        <v>0.06</v>
      </c>
      <c r="J419" s="22">
        <v>0</v>
      </c>
      <c r="K419" s="22">
        <v>0</v>
      </c>
      <c r="L419" s="22">
        <v>0.06</v>
      </c>
      <c r="M419" s="10"/>
      <c r="O419" s="11"/>
    </row>
    <row r="420" spans="1:15" x14ac:dyDescent="0.25">
      <c r="A420" s="6"/>
      <c r="B420" s="5"/>
      <c r="C420" s="5"/>
      <c r="D420" s="5" t="s">
        <v>69</v>
      </c>
      <c r="E420" s="5" t="s">
        <v>70</v>
      </c>
      <c r="F420" s="5" t="s">
        <v>560</v>
      </c>
      <c r="G420" s="14">
        <f t="shared" ref="G420:L420" si="102">SUBTOTAL(9,G419:G419)</f>
        <v>0</v>
      </c>
      <c r="H420" s="14">
        <f t="shared" si="102"/>
        <v>0</v>
      </c>
      <c r="I420" s="14">
        <f t="shared" si="102"/>
        <v>0.06</v>
      </c>
      <c r="J420" s="14">
        <f t="shared" si="102"/>
        <v>0</v>
      </c>
      <c r="K420" s="14">
        <f t="shared" si="102"/>
        <v>0</v>
      </c>
      <c r="L420" s="14">
        <f t="shared" si="102"/>
        <v>0.06</v>
      </c>
      <c r="M420" s="10">
        <v>2218</v>
      </c>
      <c r="N420" s="69"/>
      <c r="O420" s="11">
        <f>O417+1</f>
        <v>100</v>
      </c>
    </row>
    <row r="421" spans="1:15" s="4" customFormat="1" x14ac:dyDescent="0.25">
      <c r="A421" s="10"/>
      <c r="B421"/>
      <c r="C421"/>
      <c r="D421"/>
      <c r="E421"/>
      <c r="F421"/>
      <c r="G421" s="21"/>
      <c r="H421" s="21"/>
      <c r="I421" s="21"/>
      <c r="J421" s="21"/>
      <c r="K421" s="21"/>
      <c r="L421" s="21"/>
      <c r="M421" s="10"/>
      <c r="N421" s="67"/>
      <c r="O421" s="11"/>
    </row>
    <row r="422" spans="1:15" x14ac:dyDescent="0.25">
      <c r="A422" s="6">
        <v>210</v>
      </c>
      <c r="B422" s="5" t="s">
        <v>18</v>
      </c>
      <c r="C422" s="5" t="s">
        <v>17</v>
      </c>
      <c r="D422" s="5" t="s">
        <v>69</v>
      </c>
      <c r="E422" s="5" t="s">
        <v>70</v>
      </c>
      <c r="F422" s="5" t="s">
        <v>19</v>
      </c>
      <c r="G422" s="22">
        <v>0</v>
      </c>
      <c r="H422" s="22">
        <v>0</v>
      </c>
      <c r="I422" s="22">
        <v>0.01</v>
      </c>
      <c r="J422" s="22">
        <v>0</v>
      </c>
      <c r="K422" s="22">
        <v>0</v>
      </c>
      <c r="L422" s="22">
        <v>0.01</v>
      </c>
      <c r="M422" s="10"/>
      <c r="O422" s="11"/>
    </row>
    <row r="423" spans="1:15" x14ac:dyDescent="0.25">
      <c r="A423" s="6"/>
      <c r="B423" s="5"/>
      <c r="C423" s="5"/>
      <c r="D423" s="5" t="s">
        <v>69</v>
      </c>
      <c r="E423" s="5" t="s">
        <v>70</v>
      </c>
      <c r="F423" s="5" t="s">
        <v>19</v>
      </c>
      <c r="G423" s="14">
        <f t="shared" ref="G423:L423" si="103">SUBTOTAL(9,G422:G422)</f>
        <v>0</v>
      </c>
      <c r="H423" s="14">
        <f t="shared" si="103"/>
        <v>0</v>
      </c>
      <c r="I423" s="14">
        <f t="shared" si="103"/>
        <v>0.01</v>
      </c>
      <c r="J423" s="14">
        <f t="shared" si="103"/>
        <v>0</v>
      </c>
      <c r="K423" s="14">
        <f t="shared" si="103"/>
        <v>0</v>
      </c>
      <c r="L423" s="14">
        <f t="shared" si="103"/>
        <v>0.01</v>
      </c>
      <c r="M423" s="10">
        <v>2219</v>
      </c>
      <c r="N423" s="69"/>
      <c r="O423" s="11">
        <f>O420+1</f>
        <v>101</v>
      </c>
    </row>
    <row r="424" spans="1:15" s="4" customFormat="1" x14ac:dyDescent="0.25">
      <c r="A424" s="10"/>
      <c r="B424"/>
      <c r="C424"/>
      <c r="D424"/>
      <c r="E424"/>
      <c r="F424"/>
      <c r="G424" s="21"/>
      <c r="H424" s="21"/>
      <c r="I424" s="21"/>
      <c r="J424" s="21"/>
      <c r="K424" s="21"/>
      <c r="L424" s="21"/>
      <c r="M424" s="10"/>
      <c r="N424" s="67"/>
      <c r="O424" s="11"/>
    </row>
    <row r="425" spans="1:15" x14ac:dyDescent="0.25">
      <c r="A425" s="6">
        <v>211</v>
      </c>
      <c r="B425" s="5" t="s">
        <v>550</v>
      </c>
      <c r="C425" s="5" t="s">
        <v>17</v>
      </c>
      <c r="D425" s="5" t="s">
        <v>69</v>
      </c>
      <c r="E425" s="5" t="s">
        <v>70</v>
      </c>
      <c r="F425" s="5" t="s">
        <v>551</v>
      </c>
      <c r="G425" s="22">
        <v>0</v>
      </c>
      <c r="H425" s="22">
        <v>0</v>
      </c>
      <c r="I425" s="22">
        <v>455104.32</v>
      </c>
      <c r="J425" s="22">
        <v>0</v>
      </c>
      <c r="K425" s="22">
        <v>-9102.09</v>
      </c>
      <c r="L425" s="22">
        <v>446002.23</v>
      </c>
      <c r="M425" s="10"/>
      <c r="O425" s="11"/>
    </row>
    <row r="426" spans="1:15" x14ac:dyDescent="0.25">
      <c r="A426" s="6">
        <v>213</v>
      </c>
      <c r="B426" s="5" t="s">
        <v>550</v>
      </c>
      <c r="C426" s="5" t="s">
        <v>17</v>
      </c>
      <c r="D426" s="5" t="s">
        <v>577</v>
      </c>
      <c r="E426" s="5" t="s">
        <v>578</v>
      </c>
      <c r="F426" s="5" t="s">
        <v>551</v>
      </c>
      <c r="G426" s="22">
        <v>0</v>
      </c>
      <c r="H426" s="22">
        <v>0</v>
      </c>
      <c r="I426" s="22">
        <v>702.9</v>
      </c>
      <c r="J426" s="22">
        <v>0</v>
      </c>
      <c r="K426" s="22">
        <v>-14.06</v>
      </c>
      <c r="L426" s="22">
        <v>688.84</v>
      </c>
      <c r="M426" s="10"/>
      <c r="O426" s="11"/>
    </row>
    <row r="427" spans="1:15" s="4" customFormat="1" x14ac:dyDescent="0.25">
      <c r="A427" s="6">
        <v>221</v>
      </c>
      <c r="B427" s="5" t="s">
        <v>550</v>
      </c>
      <c r="C427" s="5" t="s">
        <v>17</v>
      </c>
      <c r="D427" s="5" t="s">
        <v>71</v>
      </c>
      <c r="E427" s="5" t="s">
        <v>70</v>
      </c>
      <c r="F427" s="5" t="s">
        <v>551</v>
      </c>
      <c r="G427" s="22">
        <v>137.08000000000001</v>
      </c>
      <c r="H427" s="22">
        <v>0</v>
      </c>
      <c r="I427" s="22">
        <v>0</v>
      </c>
      <c r="J427" s="22">
        <v>0</v>
      </c>
      <c r="K427" s="22">
        <v>-2.74</v>
      </c>
      <c r="L427" s="22">
        <v>134.34</v>
      </c>
      <c r="M427" s="10"/>
      <c r="N427" s="67"/>
      <c r="O427" s="11"/>
    </row>
    <row r="428" spans="1:15" x14ac:dyDescent="0.25">
      <c r="A428" s="6">
        <v>222</v>
      </c>
      <c r="B428" s="5" t="s">
        <v>550</v>
      </c>
      <c r="C428" s="5" t="s">
        <v>17</v>
      </c>
      <c r="D428" s="5" t="s">
        <v>71</v>
      </c>
      <c r="E428" s="5" t="s">
        <v>70</v>
      </c>
      <c r="F428" s="5" t="s">
        <v>551</v>
      </c>
      <c r="G428" s="22">
        <v>0</v>
      </c>
      <c r="H428" s="22">
        <v>0</v>
      </c>
      <c r="I428" s="22">
        <v>100450.22</v>
      </c>
      <c r="J428" s="22">
        <v>0</v>
      </c>
      <c r="K428" s="22">
        <v>-2009</v>
      </c>
      <c r="L428" s="22">
        <v>98441.22</v>
      </c>
      <c r="M428" s="10"/>
      <c r="O428" s="11"/>
    </row>
    <row r="429" spans="1:15" x14ac:dyDescent="0.25">
      <c r="A429" s="6">
        <v>223</v>
      </c>
      <c r="B429" s="5" t="s">
        <v>550</v>
      </c>
      <c r="C429" s="5" t="s">
        <v>17</v>
      </c>
      <c r="D429" s="5" t="s">
        <v>71</v>
      </c>
      <c r="E429" s="5" t="s">
        <v>70</v>
      </c>
      <c r="F429" s="5" t="s">
        <v>551</v>
      </c>
      <c r="G429" s="22">
        <v>1047.49</v>
      </c>
      <c r="H429" s="22">
        <v>0</v>
      </c>
      <c r="I429" s="22">
        <v>0</v>
      </c>
      <c r="J429" s="22">
        <v>0</v>
      </c>
      <c r="K429" s="22">
        <v>-20.95</v>
      </c>
      <c r="L429" s="22">
        <v>1026.54</v>
      </c>
      <c r="M429" s="10"/>
      <c r="O429" s="11"/>
    </row>
    <row r="430" spans="1:15" s="4" customFormat="1" x14ac:dyDescent="0.25">
      <c r="A430" s="6">
        <v>224</v>
      </c>
      <c r="B430" s="5" t="s">
        <v>550</v>
      </c>
      <c r="C430" s="5" t="s">
        <v>13</v>
      </c>
      <c r="D430" s="5" t="s">
        <v>71</v>
      </c>
      <c r="E430" s="5" t="s">
        <v>70</v>
      </c>
      <c r="F430" s="5" t="s">
        <v>551</v>
      </c>
      <c r="G430" s="22">
        <v>0</v>
      </c>
      <c r="H430" s="22">
        <v>0</v>
      </c>
      <c r="I430" s="22">
        <v>0</v>
      </c>
      <c r="J430" s="22">
        <v>16.45</v>
      </c>
      <c r="K430" s="22">
        <v>0</v>
      </c>
      <c r="L430" s="22">
        <v>16.45</v>
      </c>
      <c r="M430" s="10"/>
      <c r="N430" s="67"/>
      <c r="O430" s="11"/>
    </row>
    <row r="431" spans="1:15" x14ac:dyDescent="0.25">
      <c r="A431" s="6">
        <v>225</v>
      </c>
      <c r="B431" s="5" t="s">
        <v>550</v>
      </c>
      <c r="C431" s="5" t="s">
        <v>13</v>
      </c>
      <c r="D431" s="5" t="s">
        <v>71</v>
      </c>
      <c r="E431" s="5" t="s">
        <v>70</v>
      </c>
      <c r="F431" s="5" t="s">
        <v>551</v>
      </c>
      <c r="G431" s="22">
        <v>0</v>
      </c>
      <c r="H431" s="22">
        <v>0</v>
      </c>
      <c r="I431" s="22">
        <v>0</v>
      </c>
      <c r="J431" s="22">
        <v>125.7</v>
      </c>
      <c r="K431" s="22">
        <v>0</v>
      </c>
      <c r="L431" s="22">
        <v>125.7</v>
      </c>
      <c r="M431" s="10"/>
      <c r="O431" s="11"/>
    </row>
    <row r="432" spans="1:15" x14ac:dyDescent="0.25">
      <c r="A432" s="6"/>
      <c r="B432" s="5"/>
      <c r="C432" s="5"/>
      <c r="D432" s="5" t="s">
        <v>71</v>
      </c>
      <c r="E432" s="5" t="s">
        <v>70</v>
      </c>
      <c r="F432" s="5" t="s">
        <v>551</v>
      </c>
      <c r="G432" s="14">
        <f>SUBTOTAL(9,G425:G431)</f>
        <v>1184.57</v>
      </c>
      <c r="H432" s="14">
        <f t="shared" ref="H432:L432" si="104">SUBTOTAL(9,H425:H431)</f>
        <v>0</v>
      </c>
      <c r="I432" s="14">
        <f t="shared" si="104"/>
        <v>556257.44000000006</v>
      </c>
      <c r="J432" s="14">
        <f t="shared" si="104"/>
        <v>142.15</v>
      </c>
      <c r="K432" s="14">
        <f t="shared" si="104"/>
        <v>-11148.84</v>
      </c>
      <c r="L432" s="14">
        <f t="shared" si="104"/>
        <v>546435.31999999995</v>
      </c>
      <c r="M432" s="10">
        <v>2220</v>
      </c>
      <c r="N432" s="69"/>
      <c r="O432" s="11">
        <f>O423+1</f>
        <v>102</v>
      </c>
    </row>
    <row r="433" spans="1:15" s="4" customFormat="1" x14ac:dyDescent="0.25">
      <c r="A433" s="10"/>
      <c r="B433"/>
      <c r="C433"/>
      <c r="D433"/>
      <c r="E433"/>
      <c r="F433"/>
      <c r="G433" s="21"/>
      <c r="H433" s="21"/>
      <c r="I433" s="21"/>
      <c r="J433" s="21"/>
      <c r="K433" s="21"/>
      <c r="L433" s="21"/>
      <c r="M433" s="10"/>
      <c r="N433" s="67"/>
      <c r="O433" s="11"/>
    </row>
    <row r="434" spans="1:15" s="4" customFormat="1" x14ac:dyDescent="0.25">
      <c r="A434" s="6">
        <v>212</v>
      </c>
      <c r="B434" s="5" t="s">
        <v>550</v>
      </c>
      <c r="C434" s="5" t="s">
        <v>17</v>
      </c>
      <c r="D434" s="5" t="s">
        <v>69</v>
      </c>
      <c r="E434" s="5" t="s">
        <v>70</v>
      </c>
      <c r="F434" s="5" t="s">
        <v>552</v>
      </c>
      <c r="G434" s="22">
        <v>0</v>
      </c>
      <c r="H434" s="22">
        <v>0</v>
      </c>
      <c r="I434" s="22">
        <v>32.729999999999997</v>
      </c>
      <c r="J434" s="22">
        <v>0</v>
      </c>
      <c r="K434" s="22">
        <v>-0.65</v>
      </c>
      <c r="L434" s="22">
        <v>32.08</v>
      </c>
      <c r="M434" s="10"/>
      <c r="N434" s="67"/>
      <c r="O434" s="11"/>
    </row>
    <row r="435" spans="1:15" x14ac:dyDescent="0.25">
      <c r="A435" s="6">
        <v>214</v>
      </c>
      <c r="B435" s="5" t="s">
        <v>550</v>
      </c>
      <c r="C435" s="5" t="s">
        <v>17</v>
      </c>
      <c r="D435" s="5" t="s">
        <v>577</v>
      </c>
      <c r="E435" s="5" t="s">
        <v>578</v>
      </c>
      <c r="F435" s="5" t="s">
        <v>552</v>
      </c>
      <c r="G435" s="22">
        <v>0</v>
      </c>
      <c r="H435" s="22">
        <v>0</v>
      </c>
      <c r="I435" s="22">
        <v>0.05</v>
      </c>
      <c r="J435" s="22">
        <v>0</v>
      </c>
      <c r="K435" s="22">
        <v>0</v>
      </c>
      <c r="L435" s="22">
        <v>0.05</v>
      </c>
      <c r="M435" s="10"/>
      <c r="O435" s="11"/>
    </row>
    <row r="436" spans="1:15" x14ac:dyDescent="0.25">
      <c r="A436" s="6">
        <v>226</v>
      </c>
      <c r="B436" s="5" t="s">
        <v>550</v>
      </c>
      <c r="C436" s="5" t="s">
        <v>17</v>
      </c>
      <c r="D436" s="5" t="s">
        <v>71</v>
      </c>
      <c r="E436" s="5" t="s">
        <v>70</v>
      </c>
      <c r="F436" s="5" t="s">
        <v>552</v>
      </c>
      <c r="G436" s="22">
        <v>0.01</v>
      </c>
      <c r="H436" s="22">
        <v>0</v>
      </c>
      <c r="I436" s="22">
        <v>0</v>
      </c>
      <c r="J436" s="22">
        <v>0</v>
      </c>
      <c r="K436" s="22">
        <v>0</v>
      </c>
      <c r="L436" s="22">
        <v>0.01</v>
      </c>
      <c r="M436" s="10"/>
      <c r="O436" s="11"/>
    </row>
    <row r="437" spans="1:15" s="4" customFormat="1" x14ac:dyDescent="0.25">
      <c r="A437" s="6">
        <v>227</v>
      </c>
      <c r="B437" s="5" t="s">
        <v>550</v>
      </c>
      <c r="C437" s="5" t="s">
        <v>17</v>
      </c>
      <c r="D437" s="5" t="s">
        <v>71</v>
      </c>
      <c r="E437" s="5" t="s">
        <v>70</v>
      </c>
      <c r="F437" s="5" t="s">
        <v>552</v>
      </c>
      <c r="G437" s="22">
        <v>0</v>
      </c>
      <c r="H437" s="22">
        <v>0</v>
      </c>
      <c r="I437" s="22">
        <v>7.23</v>
      </c>
      <c r="J437" s="22">
        <v>0</v>
      </c>
      <c r="K437" s="22">
        <v>-0.14000000000000001</v>
      </c>
      <c r="L437" s="22">
        <v>7.09</v>
      </c>
      <c r="M437" s="10"/>
      <c r="N437" s="67"/>
      <c r="O437" s="11"/>
    </row>
    <row r="438" spans="1:15" s="4" customFormat="1" x14ac:dyDescent="0.25">
      <c r="A438" s="6">
        <v>228</v>
      </c>
      <c r="B438" s="5" t="s">
        <v>550</v>
      </c>
      <c r="C438" s="5" t="s">
        <v>17</v>
      </c>
      <c r="D438" s="5" t="s">
        <v>71</v>
      </c>
      <c r="E438" s="5" t="s">
        <v>70</v>
      </c>
      <c r="F438" s="5" t="s">
        <v>552</v>
      </c>
      <c r="G438" s="22">
        <v>0.08</v>
      </c>
      <c r="H438" s="22">
        <v>0</v>
      </c>
      <c r="I438" s="22">
        <v>0</v>
      </c>
      <c r="J438" s="22">
        <v>0</v>
      </c>
      <c r="K438" s="22">
        <v>0</v>
      </c>
      <c r="L438" s="22">
        <v>0.08</v>
      </c>
      <c r="M438" s="10"/>
      <c r="N438" s="67"/>
      <c r="O438" s="11"/>
    </row>
    <row r="439" spans="1:15" x14ac:dyDescent="0.25">
      <c r="A439" s="6">
        <v>229</v>
      </c>
      <c r="B439" s="5" t="s">
        <v>550</v>
      </c>
      <c r="C439" s="5" t="s">
        <v>13</v>
      </c>
      <c r="D439" s="5" t="s">
        <v>71</v>
      </c>
      <c r="E439" s="5" t="s">
        <v>70</v>
      </c>
      <c r="F439" s="5" t="s">
        <v>552</v>
      </c>
      <c r="G439" s="22">
        <v>0</v>
      </c>
      <c r="H439" s="22">
        <v>0</v>
      </c>
      <c r="I439" s="22">
        <v>0</v>
      </c>
      <c r="J439" s="22">
        <v>0</v>
      </c>
      <c r="K439" s="22">
        <v>0</v>
      </c>
      <c r="L439" s="22">
        <v>0</v>
      </c>
      <c r="M439" s="10"/>
      <c r="O439" s="11"/>
    </row>
    <row r="440" spans="1:15" x14ac:dyDescent="0.25">
      <c r="A440" s="6">
        <v>230</v>
      </c>
      <c r="B440" s="5" t="s">
        <v>550</v>
      </c>
      <c r="C440" s="5" t="s">
        <v>13</v>
      </c>
      <c r="D440" s="5" t="s">
        <v>71</v>
      </c>
      <c r="E440" s="5" t="s">
        <v>70</v>
      </c>
      <c r="F440" s="5" t="s">
        <v>552</v>
      </c>
      <c r="G440" s="22">
        <v>0</v>
      </c>
      <c r="H440" s="22">
        <v>0</v>
      </c>
      <c r="I440" s="22">
        <v>0</v>
      </c>
      <c r="J440" s="22">
        <v>0.01</v>
      </c>
      <c r="K440" s="22">
        <v>0</v>
      </c>
      <c r="L440" s="22">
        <v>0.01</v>
      </c>
      <c r="M440" s="10"/>
      <c r="O440" s="11"/>
    </row>
    <row r="441" spans="1:15" s="4" customFormat="1" x14ac:dyDescent="0.25">
      <c r="A441" s="6"/>
      <c r="B441" s="5"/>
      <c r="C441" s="5"/>
      <c r="D441" s="5" t="s">
        <v>71</v>
      </c>
      <c r="E441" s="5" t="s">
        <v>70</v>
      </c>
      <c r="F441" s="5" t="s">
        <v>552</v>
      </c>
      <c r="G441" s="14">
        <f>SUBTOTAL(9,G434:G440)</f>
        <v>0.09</v>
      </c>
      <c r="H441" s="14">
        <f t="shared" ref="H441:L441" si="105">SUBTOTAL(9,H434:H440)</f>
        <v>0</v>
      </c>
      <c r="I441" s="14">
        <f t="shared" si="105"/>
        <v>40.009999999999991</v>
      </c>
      <c r="J441" s="14">
        <f t="shared" si="105"/>
        <v>0.01</v>
      </c>
      <c r="K441" s="14">
        <f t="shared" si="105"/>
        <v>-0.79</v>
      </c>
      <c r="L441" s="14">
        <f t="shared" si="105"/>
        <v>39.319999999999986</v>
      </c>
      <c r="M441" s="10">
        <v>2221</v>
      </c>
      <c r="N441" s="69"/>
      <c r="O441" s="11">
        <f>O432+1</f>
        <v>103</v>
      </c>
    </row>
    <row r="442" spans="1:15" s="4" customFormat="1" x14ac:dyDescent="0.25">
      <c r="A442" s="10"/>
      <c r="B442"/>
      <c r="C442"/>
      <c r="D442"/>
      <c r="E442"/>
      <c r="F442"/>
      <c r="G442" s="21"/>
      <c r="H442" s="21"/>
      <c r="I442" s="21"/>
      <c r="J442" s="21"/>
      <c r="K442" s="21"/>
      <c r="L442" s="21"/>
      <c r="M442" s="10"/>
      <c r="N442" s="67"/>
      <c r="O442" s="11"/>
    </row>
    <row r="443" spans="1:15" x14ac:dyDescent="0.25">
      <c r="A443" s="6">
        <v>215</v>
      </c>
      <c r="B443" s="5" t="s">
        <v>555</v>
      </c>
      <c r="C443" s="5" t="s">
        <v>17</v>
      </c>
      <c r="D443" s="5" t="s">
        <v>71</v>
      </c>
      <c r="E443" s="5" t="s">
        <v>70</v>
      </c>
      <c r="F443" s="5" t="s">
        <v>556</v>
      </c>
      <c r="G443" s="22">
        <v>192.23</v>
      </c>
      <c r="H443" s="22">
        <v>0</v>
      </c>
      <c r="I443" s="22">
        <v>0</v>
      </c>
      <c r="J443" s="22">
        <v>0</v>
      </c>
      <c r="K443" s="22">
        <v>-3.84</v>
      </c>
      <c r="L443" s="22">
        <v>188.39</v>
      </c>
      <c r="M443" s="10"/>
      <c r="O443" s="11"/>
    </row>
    <row r="444" spans="1:15" x14ac:dyDescent="0.25">
      <c r="A444" s="6">
        <v>216</v>
      </c>
      <c r="B444" s="5" t="s">
        <v>555</v>
      </c>
      <c r="C444" s="5" t="s">
        <v>13</v>
      </c>
      <c r="D444" s="5" t="s">
        <v>71</v>
      </c>
      <c r="E444" s="5" t="s">
        <v>70</v>
      </c>
      <c r="F444" s="5" t="s">
        <v>556</v>
      </c>
      <c r="G444" s="22">
        <v>0</v>
      </c>
      <c r="H444" s="22">
        <v>0</v>
      </c>
      <c r="I444" s="22">
        <v>0</v>
      </c>
      <c r="J444" s="22">
        <v>23.07</v>
      </c>
      <c r="K444" s="22">
        <v>0</v>
      </c>
      <c r="L444" s="22">
        <v>23.07</v>
      </c>
      <c r="M444" s="10"/>
      <c r="O444" s="11"/>
    </row>
    <row r="445" spans="1:15" s="4" customFormat="1" x14ac:dyDescent="0.25">
      <c r="A445" s="6"/>
      <c r="B445" s="5"/>
      <c r="C445" s="5"/>
      <c r="D445" s="5" t="s">
        <v>71</v>
      </c>
      <c r="E445" s="5" t="s">
        <v>70</v>
      </c>
      <c r="F445" s="5" t="s">
        <v>556</v>
      </c>
      <c r="G445" s="14">
        <f t="shared" ref="G445:L445" si="106">SUBTOTAL(9,G443:G444)</f>
        <v>192.23</v>
      </c>
      <c r="H445" s="14">
        <f t="shared" si="106"/>
        <v>0</v>
      </c>
      <c r="I445" s="14">
        <f t="shared" si="106"/>
        <v>0</v>
      </c>
      <c r="J445" s="14">
        <f t="shared" si="106"/>
        <v>23.07</v>
      </c>
      <c r="K445" s="14">
        <f t="shared" si="106"/>
        <v>-3.84</v>
      </c>
      <c r="L445" s="14">
        <f t="shared" si="106"/>
        <v>211.45999999999998</v>
      </c>
      <c r="M445" s="10">
        <v>2222</v>
      </c>
      <c r="N445" s="69"/>
      <c r="O445" s="11">
        <f>O441+1</f>
        <v>104</v>
      </c>
    </row>
    <row r="446" spans="1:15" x14ac:dyDescent="0.25">
      <c r="A446" s="10"/>
      <c r="G446" s="21"/>
      <c r="H446" s="21"/>
      <c r="I446" s="21"/>
      <c r="J446" s="21"/>
      <c r="K446" s="21"/>
      <c r="L446" s="21"/>
      <c r="M446" s="10"/>
      <c r="O446" s="11"/>
    </row>
    <row r="447" spans="1:15" x14ac:dyDescent="0.25">
      <c r="A447" s="6">
        <v>217</v>
      </c>
      <c r="B447" s="5" t="s">
        <v>557</v>
      </c>
      <c r="C447" s="5" t="s">
        <v>17</v>
      </c>
      <c r="D447" s="5" t="s">
        <v>71</v>
      </c>
      <c r="E447" s="5" t="s">
        <v>70</v>
      </c>
      <c r="F447" s="5" t="s">
        <v>558</v>
      </c>
      <c r="G447" s="22">
        <v>158.61000000000001</v>
      </c>
      <c r="H447" s="22">
        <v>0</v>
      </c>
      <c r="I447" s="22">
        <v>0</v>
      </c>
      <c r="J447" s="22">
        <v>0</v>
      </c>
      <c r="K447" s="22">
        <v>-3.17</v>
      </c>
      <c r="L447" s="22">
        <v>155.44</v>
      </c>
      <c r="M447" s="10"/>
      <c r="O447" s="11"/>
    </row>
    <row r="448" spans="1:15" s="4" customFormat="1" x14ac:dyDescent="0.25">
      <c r="A448" s="6">
        <v>218</v>
      </c>
      <c r="B448" s="5" t="s">
        <v>557</v>
      </c>
      <c r="C448" s="5" t="s">
        <v>13</v>
      </c>
      <c r="D448" s="5" t="s">
        <v>71</v>
      </c>
      <c r="E448" s="5" t="s">
        <v>70</v>
      </c>
      <c r="F448" s="5" t="s">
        <v>558</v>
      </c>
      <c r="G448" s="22">
        <v>0</v>
      </c>
      <c r="H448" s="22">
        <v>0</v>
      </c>
      <c r="I448" s="22">
        <v>0</v>
      </c>
      <c r="J448" s="22">
        <v>19.010000000000002</v>
      </c>
      <c r="K448" s="22">
        <v>0</v>
      </c>
      <c r="L448" s="22">
        <v>19.010000000000002</v>
      </c>
      <c r="M448" s="10"/>
      <c r="N448" s="67"/>
      <c r="O448" s="11"/>
    </row>
    <row r="449" spans="1:15" x14ac:dyDescent="0.25">
      <c r="A449" s="6"/>
      <c r="B449" s="5"/>
      <c r="C449" s="5"/>
      <c r="D449" s="5" t="s">
        <v>71</v>
      </c>
      <c r="E449" s="5" t="s">
        <v>70</v>
      </c>
      <c r="F449" s="5" t="s">
        <v>558</v>
      </c>
      <c r="G449" s="14">
        <f t="shared" ref="G449:L449" si="107">SUBTOTAL(9,G447:G448)</f>
        <v>158.61000000000001</v>
      </c>
      <c r="H449" s="14">
        <f t="shared" si="107"/>
        <v>0</v>
      </c>
      <c r="I449" s="14">
        <f t="shared" si="107"/>
        <v>0</v>
      </c>
      <c r="J449" s="14">
        <f t="shared" si="107"/>
        <v>19.010000000000002</v>
      </c>
      <c r="K449" s="14">
        <f t="shared" si="107"/>
        <v>-3.17</v>
      </c>
      <c r="L449" s="14">
        <f t="shared" si="107"/>
        <v>174.45</v>
      </c>
      <c r="M449" s="10">
        <v>2223</v>
      </c>
      <c r="N449" s="69"/>
      <c r="O449" s="11">
        <f>O445+1</f>
        <v>105</v>
      </c>
    </row>
    <row r="450" spans="1:15" x14ac:dyDescent="0.25">
      <c r="A450" s="10"/>
      <c r="G450" s="21"/>
      <c r="H450" s="21"/>
      <c r="I450" s="21"/>
      <c r="J450" s="21"/>
      <c r="K450" s="21"/>
      <c r="L450" s="21"/>
      <c r="M450" s="10"/>
      <c r="O450" s="11"/>
    </row>
    <row r="451" spans="1:15" s="4" customFormat="1" x14ac:dyDescent="0.25">
      <c r="A451" s="6">
        <v>219</v>
      </c>
      <c r="B451" s="5" t="s">
        <v>18</v>
      </c>
      <c r="C451" s="5" t="s">
        <v>17</v>
      </c>
      <c r="D451" s="5" t="s">
        <v>71</v>
      </c>
      <c r="E451" s="5" t="s">
        <v>70</v>
      </c>
      <c r="F451" s="5" t="s">
        <v>19</v>
      </c>
      <c r="G451" s="22">
        <v>0</v>
      </c>
      <c r="H451" s="22">
        <v>0</v>
      </c>
      <c r="I451" s="22">
        <v>79.260000000000005</v>
      </c>
      <c r="J451" s="22">
        <v>0</v>
      </c>
      <c r="K451" s="22">
        <v>-9.32</v>
      </c>
      <c r="L451" s="22">
        <v>69.94</v>
      </c>
      <c r="M451" s="10"/>
      <c r="N451" s="67"/>
      <c r="O451" s="11"/>
    </row>
    <row r="452" spans="1:15" s="4" customFormat="1" x14ac:dyDescent="0.25">
      <c r="A452" s="6">
        <v>220</v>
      </c>
      <c r="B452" s="5" t="s">
        <v>18</v>
      </c>
      <c r="C452" s="5" t="s">
        <v>17</v>
      </c>
      <c r="D452" s="5" t="s">
        <v>71</v>
      </c>
      <c r="E452" s="5" t="s">
        <v>70</v>
      </c>
      <c r="F452" s="5" t="s">
        <v>19</v>
      </c>
      <c r="G452" s="22">
        <v>0.36</v>
      </c>
      <c r="H452" s="22">
        <v>0</v>
      </c>
      <c r="I452" s="22">
        <v>0</v>
      </c>
      <c r="J452" s="22">
        <v>0</v>
      </c>
      <c r="K452" s="22">
        <v>-0.32</v>
      </c>
      <c r="L452" s="22">
        <v>0.04</v>
      </c>
      <c r="M452" s="10"/>
      <c r="N452" s="67"/>
      <c r="O452" s="11"/>
    </row>
    <row r="453" spans="1:15" x14ac:dyDescent="0.25">
      <c r="A453" s="6"/>
      <c r="B453" s="5"/>
      <c r="C453" s="5"/>
      <c r="D453" s="5" t="s">
        <v>71</v>
      </c>
      <c r="E453" s="5" t="s">
        <v>70</v>
      </c>
      <c r="F453" s="5" t="s">
        <v>19</v>
      </c>
      <c r="G453" s="14">
        <f t="shared" ref="G453:L453" si="108">SUBTOTAL(9,G451:G452)</f>
        <v>0.36</v>
      </c>
      <c r="H453" s="14">
        <f t="shared" si="108"/>
        <v>0</v>
      </c>
      <c r="I453" s="14">
        <f t="shared" si="108"/>
        <v>79.260000000000005</v>
      </c>
      <c r="J453" s="14">
        <f t="shared" si="108"/>
        <v>0</v>
      </c>
      <c r="K453" s="14">
        <f t="shared" si="108"/>
        <v>-9.64</v>
      </c>
      <c r="L453" s="14">
        <f t="shared" si="108"/>
        <v>69.98</v>
      </c>
      <c r="M453" s="10">
        <v>2224</v>
      </c>
      <c r="N453" s="69"/>
      <c r="O453" s="11">
        <f>O449+1</f>
        <v>106</v>
      </c>
    </row>
    <row r="454" spans="1:15" x14ac:dyDescent="0.25">
      <c r="A454" s="10"/>
      <c r="G454" s="21"/>
      <c r="H454" s="21"/>
      <c r="I454" s="21"/>
      <c r="J454" s="21"/>
      <c r="K454" s="21"/>
      <c r="L454" s="21"/>
      <c r="M454" s="10"/>
      <c r="O454" s="11"/>
    </row>
    <row r="455" spans="1:15" s="4" customFormat="1" x14ac:dyDescent="0.25">
      <c r="A455" s="6">
        <v>231</v>
      </c>
      <c r="B455" s="5" t="s">
        <v>555</v>
      </c>
      <c r="C455" s="5" t="s">
        <v>17</v>
      </c>
      <c r="D455" s="5" t="s">
        <v>72</v>
      </c>
      <c r="E455" s="5" t="s">
        <v>73</v>
      </c>
      <c r="F455" s="5" t="s">
        <v>556</v>
      </c>
      <c r="G455" s="22">
        <v>257.32</v>
      </c>
      <c r="H455" s="22">
        <v>0</v>
      </c>
      <c r="I455" s="22">
        <v>0</v>
      </c>
      <c r="J455" s="22">
        <v>0</v>
      </c>
      <c r="K455" s="22">
        <v>-5.15</v>
      </c>
      <c r="L455" s="22">
        <v>252.17</v>
      </c>
      <c r="M455" s="10"/>
      <c r="N455" s="67"/>
      <c r="O455" s="11"/>
    </row>
    <row r="456" spans="1:15" s="4" customFormat="1" x14ac:dyDescent="0.25">
      <c r="A456" s="6">
        <v>232</v>
      </c>
      <c r="B456" s="5" t="s">
        <v>555</v>
      </c>
      <c r="C456" s="5" t="s">
        <v>13</v>
      </c>
      <c r="D456" s="5" t="s">
        <v>72</v>
      </c>
      <c r="E456" s="5" t="s">
        <v>73</v>
      </c>
      <c r="F456" s="5" t="s">
        <v>556</v>
      </c>
      <c r="G456" s="22">
        <v>0</v>
      </c>
      <c r="H456" s="22">
        <v>0</v>
      </c>
      <c r="I456" s="22">
        <v>0</v>
      </c>
      <c r="J456" s="22">
        <v>30.88</v>
      </c>
      <c r="K456" s="22">
        <v>0</v>
      </c>
      <c r="L456" s="22">
        <v>30.88</v>
      </c>
      <c r="M456" s="10"/>
      <c r="N456" s="67"/>
      <c r="O456" s="11"/>
    </row>
    <row r="457" spans="1:15" x14ac:dyDescent="0.25">
      <c r="A457" s="6"/>
      <c r="B457" s="5"/>
      <c r="C457" s="5"/>
      <c r="D457" s="5" t="s">
        <v>72</v>
      </c>
      <c r="E457" s="5" t="s">
        <v>73</v>
      </c>
      <c r="F457" s="5" t="s">
        <v>556</v>
      </c>
      <c r="G457" s="14">
        <f t="shared" ref="G457:L457" si="109">SUBTOTAL(9,G455:G456)</f>
        <v>257.32</v>
      </c>
      <c r="H457" s="14">
        <f t="shared" si="109"/>
        <v>0</v>
      </c>
      <c r="I457" s="14">
        <f t="shared" si="109"/>
        <v>0</v>
      </c>
      <c r="J457" s="14">
        <f t="shared" si="109"/>
        <v>30.88</v>
      </c>
      <c r="K457" s="14">
        <f t="shared" si="109"/>
        <v>-5.15</v>
      </c>
      <c r="L457" s="14">
        <f t="shared" si="109"/>
        <v>283.05</v>
      </c>
      <c r="M457" s="10">
        <v>2225</v>
      </c>
      <c r="N457" s="69"/>
      <c r="O457" s="11">
        <f>O453+1</f>
        <v>107</v>
      </c>
    </row>
    <row r="458" spans="1:15" x14ac:dyDescent="0.25">
      <c r="A458" s="10"/>
      <c r="G458" s="21"/>
      <c r="H458" s="21"/>
      <c r="I458" s="21"/>
      <c r="J458" s="21"/>
      <c r="K458" s="21"/>
      <c r="L458" s="21"/>
      <c r="M458" s="10"/>
      <c r="O458" s="11"/>
    </row>
    <row r="459" spans="1:15" s="4" customFormat="1" x14ac:dyDescent="0.25">
      <c r="A459" s="6">
        <v>233</v>
      </c>
      <c r="B459" s="5" t="s">
        <v>557</v>
      </c>
      <c r="C459" s="5" t="s">
        <v>17</v>
      </c>
      <c r="D459" s="5" t="s">
        <v>72</v>
      </c>
      <c r="E459" s="5" t="s">
        <v>73</v>
      </c>
      <c r="F459" s="5" t="s">
        <v>558</v>
      </c>
      <c r="G459" s="22">
        <v>191.13</v>
      </c>
      <c r="H459" s="22">
        <v>0</v>
      </c>
      <c r="I459" s="22">
        <v>0</v>
      </c>
      <c r="J459" s="22">
        <v>0</v>
      </c>
      <c r="K459" s="22">
        <v>-3.82</v>
      </c>
      <c r="L459" s="22">
        <v>187.31</v>
      </c>
      <c r="M459" s="10"/>
      <c r="N459" s="67"/>
      <c r="O459" s="11"/>
    </row>
    <row r="460" spans="1:15" x14ac:dyDescent="0.25">
      <c r="A460" s="6">
        <v>234</v>
      </c>
      <c r="B460" s="5" t="s">
        <v>557</v>
      </c>
      <c r="C460" s="5" t="s">
        <v>13</v>
      </c>
      <c r="D460" s="5" t="s">
        <v>72</v>
      </c>
      <c r="E460" s="5" t="s">
        <v>73</v>
      </c>
      <c r="F460" s="5" t="s">
        <v>558</v>
      </c>
      <c r="G460" s="22">
        <v>0</v>
      </c>
      <c r="H460" s="22">
        <v>0</v>
      </c>
      <c r="I460" s="22">
        <v>0</v>
      </c>
      <c r="J460" s="22">
        <v>22.94</v>
      </c>
      <c r="K460" s="22">
        <v>0</v>
      </c>
      <c r="L460" s="22">
        <v>22.94</v>
      </c>
      <c r="M460" s="10"/>
      <c r="O460" s="11"/>
    </row>
    <row r="461" spans="1:15" x14ac:dyDescent="0.25">
      <c r="A461" s="6"/>
      <c r="B461" s="5"/>
      <c r="C461" s="5"/>
      <c r="D461" s="5" t="s">
        <v>72</v>
      </c>
      <c r="E461" s="5" t="s">
        <v>73</v>
      </c>
      <c r="F461" s="5" t="s">
        <v>558</v>
      </c>
      <c r="G461" s="14">
        <f t="shared" ref="G461:L461" si="110">SUBTOTAL(9,G459:G460)</f>
        <v>191.13</v>
      </c>
      <c r="H461" s="14">
        <f t="shared" si="110"/>
        <v>0</v>
      </c>
      <c r="I461" s="14">
        <f t="shared" si="110"/>
        <v>0</v>
      </c>
      <c r="J461" s="14">
        <f t="shared" si="110"/>
        <v>22.94</v>
      </c>
      <c r="K461" s="14">
        <f t="shared" si="110"/>
        <v>-3.82</v>
      </c>
      <c r="L461" s="14">
        <f t="shared" si="110"/>
        <v>210.25</v>
      </c>
      <c r="M461" s="10">
        <v>2226</v>
      </c>
      <c r="N461" s="69"/>
      <c r="O461" s="11">
        <f>O457+1</f>
        <v>108</v>
      </c>
    </row>
    <row r="462" spans="1:15" s="4" customFormat="1" x14ac:dyDescent="0.25">
      <c r="A462" s="10"/>
      <c r="B462"/>
      <c r="C462"/>
      <c r="D462"/>
      <c r="E462"/>
      <c r="F462"/>
      <c r="G462" s="21"/>
      <c r="H462" s="21"/>
      <c r="I462" s="21"/>
      <c r="J462" s="21"/>
      <c r="K462" s="21"/>
      <c r="L462" s="21"/>
      <c r="M462" s="10"/>
      <c r="N462" s="67"/>
      <c r="O462" s="11"/>
    </row>
    <row r="463" spans="1:15" x14ac:dyDescent="0.25">
      <c r="A463" s="6">
        <v>235</v>
      </c>
      <c r="B463" s="5" t="s">
        <v>18</v>
      </c>
      <c r="C463" s="5" t="s">
        <v>17</v>
      </c>
      <c r="D463" s="5" t="s">
        <v>72</v>
      </c>
      <c r="E463" s="5" t="s">
        <v>73</v>
      </c>
      <c r="F463" s="5" t="s">
        <v>19</v>
      </c>
      <c r="G463" s="22">
        <v>0.17</v>
      </c>
      <c r="H463" s="22">
        <v>0</v>
      </c>
      <c r="I463" s="22">
        <v>0</v>
      </c>
      <c r="J463" s="22">
        <v>0</v>
      </c>
      <c r="K463" s="22">
        <v>-0.15</v>
      </c>
      <c r="L463" s="22">
        <v>0.02</v>
      </c>
      <c r="M463" s="10"/>
      <c r="O463" s="11"/>
    </row>
    <row r="464" spans="1:15" x14ac:dyDescent="0.25">
      <c r="A464" s="6"/>
      <c r="B464" s="5"/>
      <c r="C464" s="5"/>
      <c r="D464" s="5" t="s">
        <v>72</v>
      </c>
      <c r="E464" s="5" t="s">
        <v>73</v>
      </c>
      <c r="F464" s="5" t="s">
        <v>19</v>
      </c>
      <c r="G464" s="14">
        <f t="shared" ref="G464:L464" si="111">SUBTOTAL(9,G463:G463)</f>
        <v>0.17</v>
      </c>
      <c r="H464" s="14">
        <f t="shared" si="111"/>
        <v>0</v>
      </c>
      <c r="I464" s="14">
        <f t="shared" si="111"/>
        <v>0</v>
      </c>
      <c r="J464" s="14">
        <f t="shared" si="111"/>
        <v>0</v>
      </c>
      <c r="K464" s="14">
        <f t="shared" si="111"/>
        <v>-0.15</v>
      </c>
      <c r="L464" s="14">
        <f t="shared" si="111"/>
        <v>0.02</v>
      </c>
      <c r="M464" s="10">
        <v>2227</v>
      </c>
      <c r="N464" s="69"/>
      <c r="O464" s="11">
        <f>O461+1</f>
        <v>109</v>
      </c>
    </row>
    <row r="465" spans="1:15" s="4" customFormat="1" x14ac:dyDescent="0.25">
      <c r="A465" s="10"/>
      <c r="B465"/>
      <c r="C465"/>
      <c r="D465"/>
      <c r="E465"/>
      <c r="F465"/>
      <c r="G465" s="21"/>
      <c r="H465" s="21"/>
      <c r="I465" s="21"/>
      <c r="J465" s="21"/>
      <c r="K465" s="21"/>
      <c r="L465" s="21"/>
      <c r="M465" s="10"/>
      <c r="N465" s="67"/>
      <c r="O465" s="11"/>
    </row>
    <row r="466" spans="1:15" x14ac:dyDescent="0.25">
      <c r="A466" s="6">
        <v>236</v>
      </c>
      <c r="B466" s="5" t="s">
        <v>550</v>
      </c>
      <c r="C466" s="5" t="s">
        <v>17</v>
      </c>
      <c r="D466" s="5" t="s">
        <v>72</v>
      </c>
      <c r="E466" s="5" t="s">
        <v>73</v>
      </c>
      <c r="F466" s="5" t="s">
        <v>551</v>
      </c>
      <c r="G466" s="22">
        <v>8465.01</v>
      </c>
      <c r="H466" s="22">
        <v>0</v>
      </c>
      <c r="I466" s="22">
        <v>0</v>
      </c>
      <c r="J466" s="22">
        <v>0</v>
      </c>
      <c r="K466" s="22">
        <v>-169.3</v>
      </c>
      <c r="L466" s="22">
        <v>8295.7099999999991</v>
      </c>
      <c r="M466" s="10"/>
      <c r="O466" s="11"/>
    </row>
    <row r="467" spans="1:15" x14ac:dyDescent="0.25">
      <c r="A467" s="6"/>
      <c r="B467" s="5"/>
      <c r="C467" s="5"/>
      <c r="D467" s="5" t="s">
        <v>72</v>
      </c>
      <c r="E467" s="5" t="s">
        <v>73</v>
      </c>
      <c r="F467" s="5" t="s">
        <v>551</v>
      </c>
      <c r="G467" s="14">
        <f t="shared" ref="G467:L467" si="112">SUBTOTAL(9,G466:G466)</f>
        <v>8465.01</v>
      </c>
      <c r="H467" s="14">
        <f t="shared" si="112"/>
        <v>0</v>
      </c>
      <c r="I467" s="14">
        <f t="shared" si="112"/>
        <v>0</v>
      </c>
      <c r="J467" s="14">
        <f t="shared" si="112"/>
        <v>0</v>
      </c>
      <c r="K467" s="14">
        <f t="shared" si="112"/>
        <v>-169.3</v>
      </c>
      <c r="L467" s="14">
        <f t="shared" si="112"/>
        <v>8295.7099999999991</v>
      </c>
      <c r="M467" s="10">
        <v>2228</v>
      </c>
      <c r="N467" s="69"/>
      <c r="O467" s="11">
        <f>O464+1</f>
        <v>110</v>
      </c>
    </row>
    <row r="468" spans="1:15" s="4" customFormat="1" x14ac:dyDescent="0.25">
      <c r="A468" s="10"/>
      <c r="B468"/>
      <c r="C468"/>
      <c r="D468"/>
      <c r="E468"/>
      <c r="F468"/>
      <c r="G468" s="21"/>
      <c r="H468" s="21"/>
      <c r="I468" s="21"/>
      <c r="J468" s="21"/>
      <c r="K468" s="21"/>
      <c r="L468" s="21"/>
      <c r="M468" s="10"/>
      <c r="N468" s="67"/>
      <c r="O468" s="11"/>
    </row>
    <row r="469" spans="1:15" x14ac:dyDescent="0.25">
      <c r="A469" s="6">
        <v>237</v>
      </c>
      <c r="B469" s="5" t="s">
        <v>550</v>
      </c>
      <c r="C469" s="5" t="s">
        <v>17</v>
      </c>
      <c r="D469" s="5" t="s">
        <v>72</v>
      </c>
      <c r="E469" s="5" t="s">
        <v>73</v>
      </c>
      <c r="F469" s="5" t="s">
        <v>552</v>
      </c>
      <c r="G469" s="22">
        <v>0.61</v>
      </c>
      <c r="H469" s="22">
        <v>0</v>
      </c>
      <c r="I469" s="22">
        <v>0</v>
      </c>
      <c r="J469" s="22">
        <v>0</v>
      </c>
      <c r="K469" s="22">
        <v>-0.01</v>
      </c>
      <c r="L469" s="22">
        <v>0.6</v>
      </c>
      <c r="M469" s="10"/>
      <c r="O469" s="11"/>
    </row>
    <row r="470" spans="1:15" x14ac:dyDescent="0.25">
      <c r="A470" s="6"/>
      <c r="B470" s="5"/>
      <c r="C470" s="5"/>
      <c r="D470" s="5" t="s">
        <v>72</v>
      </c>
      <c r="E470" s="5" t="s">
        <v>73</v>
      </c>
      <c r="F470" s="5" t="s">
        <v>552</v>
      </c>
      <c r="G470" s="14">
        <f t="shared" ref="G470:L470" si="113">SUBTOTAL(9,G469:G469)</f>
        <v>0.61</v>
      </c>
      <c r="H470" s="14">
        <f t="shared" si="113"/>
        <v>0</v>
      </c>
      <c r="I470" s="14">
        <f t="shared" si="113"/>
        <v>0</v>
      </c>
      <c r="J470" s="14">
        <f t="shared" si="113"/>
        <v>0</v>
      </c>
      <c r="K470" s="14">
        <f t="shared" si="113"/>
        <v>-0.01</v>
      </c>
      <c r="L470" s="14">
        <f t="shared" si="113"/>
        <v>0.6</v>
      </c>
      <c r="M470" s="10">
        <v>2229</v>
      </c>
      <c r="N470" s="69"/>
      <c r="O470" s="11">
        <f>O467+1</f>
        <v>111</v>
      </c>
    </row>
    <row r="471" spans="1:15" s="4" customFormat="1" x14ac:dyDescent="0.25">
      <c r="A471" s="10"/>
      <c r="B471"/>
      <c r="C471"/>
      <c r="D471"/>
      <c r="E471"/>
      <c r="F471"/>
      <c r="G471" s="21"/>
      <c r="H471" s="21"/>
      <c r="I471" s="21"/>
      <c r="J471" s="21"/>
      <c r="K471" s="21"/>
      <c r="L471" s="21"/>
      <c r="M471" s="10"/>
      <c r="N471" s="67"/>
      <c r="O471" s="11"/>
    </row>
    <row r="472" spans="1:15" x14ac:dyDescent="0.25">
      <c r="A472" s="6">
        <v>238</v>
      </c>
      <c r="B472" s="5" t="s">
        <v>557</v>
      </c>
      <c r="C472" s="5" t="s">
        <v>17</v>
      </c>
      <c r="D472" s="5" t="s">
        <v>74</v>
      </c>
      <c r="E472" s="5" t="s">
        <v>75</v>
      </c>
      <c r="F472" s="5" t="s">
        <v>558</v>
      </c>
      <c r="G472" s="22">
        <v>0.33</v>
      </c>
      <c r="H472" s="22">
        <v>0</v>
      </c>
      <c r="I472" s="22">
        <v>0</v>
      </c>
      <c r="J472" s="22">
        <v>0</v>
      </c>
      <c r="K472" s="22">
        <v>-0.01</v>
      </c>
      <c r="L472" s="22">
        <v>0.32</v>
      </c>
      <c r="M472" s="10"/>
      <c r="O472" s="11"/>
    </row>
    <row r="473" spans="1:15" x14ac:dyDescent="0.25">
      <c r="A473" s="6">
        <v>239</v>
      </c>
      <c r="B473" s="5" t="s">
        <v>557</v>
      </c>
      <c r="C473" s="5" t="s">
        <v>13</v>
      </c>
      <c r="D473" s="5" t="s">
        <v>74</v>
      </c>
      <c r="E473" s="5" t="s">
        <v>75</v>
      </c>
      <c r="F473" s="5" t="s">
        <v>558</v>
      </c>
      <c r="G473" s="22">
        <v>0</v>
      </c>
      <c r="H473" s="22">
        <v>0</v>
      </c>
      <c r="I473" s="22">
        <v>0</v>
      </c>
      <c r="J473" s="22">
        <v>0.04</v>
      </c>
      <c r="K473" s="22">
        <v>0</v>
      </c>
      <c r="L473" s="22">
        <v>0.04</v>
      </c>
      <c r="M473" s="10"/>
      <c r="O473" s="11"/>
    </row>
    <row r="474" spans="1:15" s="4" customFormat="1" x14ac:dyDescent="0.25">
      <c r="A474" s="6"/>
      <c r="B474" s="5"/>
      <c r="C474" s="5"/>
      <c r="D474" s="5" t="s">
        <v>74</v>
      </c>
      <c r="E474" s="5" t="s">
        <v>75</v>
      </c>
      <c r="F474" s="5" t="s">
        <v>558</v>
      </c>
      <c r="G474" s="14">
        <f t="shared" ref="G474:L474" si="114">SUBTOTAL(9,G472:G473)</f>
        <v>0.33</v>
      </c>
      <c r="H474" s="14">
        <f t="shared" si="114"/>
        <v>0</v>
      </c>
      <c r="I474" s="14">
        <f t="shared" si="114"/>
        <v>0</v>
      </c>
      <c r="J474" s="14">
        <f t="shared" si="114"/>
        <v>0.04</v>
      </c>
      <c r="K474" s="14">
        <f t="shared" si="114"/>
        <v>-0.01</v>
      </c>
      <c r="L474" s="14">
        <f t="shared" si="114"/>
        <v>0.36</v>
      </c>
      <c r="M474" s="10">
        <v>2230</v>
      </c>
      <c r="N474" s="69"/>
      <c r="O474" s="11">
        <f>O470+1</f>
        <v>112</v>
      </c>
    </row>
    <row r="475" spans="1:15" x14ac:dyDescent="0.25">
      <c r="A475" s="10"/>
      <c r="G475" s="21"/>
      <c r="H475" s="21"/>
      <c r="I475" s="21"/>
      <c r="J475" s="21"/>
      <c r="K475" s="21"/>
      <c r="L475" s="21"/>
      <c r="M475" s="10"/>
      <c r="O475" s="11"/>
    </row>
    <row r="476" spans="1:15" x14ac:dyDescent="0.25">
      <c r="A476" s="6">
        <v>240</v>
      </c>
      <c r="B476" s="5" t="s">
        <v>18</v>
      </c>
      <c r="C476" s="5" t="s">
        <v>17</v>
      </c>
      <c r="D476" s="5" t="s">
        <v>74</v>
      </c>
      <c r="E476" s="5" t="s">
        <v>75</v>
      </c>
      <c r="F476" s="5" t="s">
        <v>19</v>
      </c>
      <c r="G476" s="22">
        <v>0</v>
      </c>
      <c r="H476" s="22">
        <v>0</v>
      </c>
      <c r="I476" s="22">
        <v>0</v>
      </c>
      <c r="J476" s="22">
        <v>0</v>
      </c>
      <c r="K476" s="22">
        <v>0</v>
      </c>
      <c r="L476" s="22">
        <v>0</v>
      </c>
      <c r="M476" s="10"/>
      <c r="O476" s="11"/>
    </row>
    <row r="477" spans="1:15" s="4" customFormat="1" x14ac:dyDescent="0.25">
      <c r="A477" s="33"/>
      <c r="B477" s="30"/>
      <c r="C477" s="30"/>
      <c r="D477" s="30"/>
      <c r="E477" s="30"/>
      <c r="F477" s="30" t="s">
        <v>657</v>
      </c>
      <c r="G477" s="31">
        <f t="shared" ref="G477:L477" si="115">SUBTOTAL(9,G476:G476)</f>
        <v>0</v>
      </c>
      <c r="H477" s="31">
        <f t="shared" si="115"/>
        <v>0</v>
      </c>
      <c r="I477" s="31">
        <f t="shared" si="115"/>
        <v>0</v>
      </c>
      <c r="J477" s="31">
        <f t="shared" si="115"/>
        <v>0</v>
      </c>
      <c r="K477" s="31">
        <f t="shared" si="115"/>
        <v>0</v>
      </c>
      <c r="L477" s="31">
        <f t="shared" si="115"/>
        <v>0</v>
      </c>
      <c r="M477" s="11"/>
      <c r="N477" s="69"/>
      <c r="O477" s="11"/>
    </row>
    <row r="478" spans="1:15" x14ac:dyDescent="0.25">
      <c r="A478" s="10"/>
      <c r="G478" s="21"/>
      <c r="H478" s="21"/>
      <c r="I478" s="21"/>
      <c r="J478" s="21"/>
      <c r="K478" s="21"/>
      <c r="L478" s="21"/>
      <c r="M478" s="10"/>
      <c r="O478" s="11"/>
    </row>
    <row r="479" spans="1:15" x14ac:dyDescent="0.25">
      <c r="A479" s="6">
        <v>241</v>
      </c>
      <c r="B479" s="5" t="s">
        <v>555</v>
      </c>
      <c r="C479" s="5" t="s">
        <v>17</v>
      </c>
      <c r="D479" s="5" t="s">
        <v>76</v>
      </c>
      <c r="E479" s="5" t="s">
        <v>77</v>
      </c>
      <c r="F479" s="5" t="s">
        <v>556</v>
      </c>
      <c r="G479" s="22">
        <v>556.54999999999995</v>
      </c>
      <c r="H479" s="22">
        <v>0</v>
      </c>
      <c r="I479" s="22">
        <v>0</v>
      </c>
      <c r="J479" s="22">
        <v>0</v>
      </c>
      <c r="K479" s="22">
        <v>-11.13</v>
      </c>
      <c r="L479" s="22">
        <v>545.41999999999996</v>
      </c>
      <c r="M479" s="10"/>
      <c r="O479" s="11"/>
    </row>
    <row r="480" spans="1:15" s="4" customFormat="1" x14ac:dyDescent="0.25">
      <c r="A480" s="6">
        <v>242</v>
      </c>
      <c r="B480" s="5" t="s">
        <v>555</v>
      </c>
      <c r="C480" s="5" t="s">
        <v>13</v>
      </c>
      <c r="D480" s="5" t="s">
        <v>76</v>
      </c>
      <c r="E480" s="5" t="s">
        <v>77</v>
      </c>
      <c r="F480" s="5" t="s">
        <v>556</v>
      </c>
      <c r="G480" s="22">
        <v>0</v>
      </c>
      <c r="H480" s="22">
        <v>0</v>
      </c>
      <c r="I480" s="22">
        <v>0</v>
      </c>
      <c r="J480" s="22">
        <v>66.790000000000006</v>
      </c>
      <c r="K480" s="22">
        <v>0</v>
      </c>
      <c r="L480" s="22">
        <v>66.790000000000006</v>
      </c>
      <c r="M480" s="10"/>
      <c r="N480" s="67"/>
      <c r="O480" s="11"/>
    </row>
    <row r="481" spans="1:15" x14ac:dyDescent="0.25">
      <c r="A481" s="6"/>
      <c r="B481" s="5"/>
      <c r="C481" s="5"/>
      <c r="D481" s="5" t="s">
        <v>76</v>
      </c>
      <c r="E481" s="5" t="s">
        <v>77</v>
      </c>
      <c r="F481" s="5" t="s">
        <v>556</v>
      </c>
      <c r="G481" s="14">
        <f t="shared" ref="G481:L481" si="116">SUBTOTAL(9,G479:G480)</f>
        <v>556.54999999999995</v>
      </c>
      <c r="H481" s="14">
        <f t="shared" si="116"/>
        <v>0</v>
      </c>
      <c r="I481" s="14">
        <f t="shared" si="116"/>
        <v>0</v>
      </c>
      <c r="J481" s="14">
        <f t="shared" si="116"/>
        <v>66.790000000000006</v>
      </c>
      <c r="K481" s="14">
        <f t="shared" si="116"/>
        <v>-11.13</v>
      </c>
      <c r="L481" s="14">
        <f t="shared" si="116"/>
        <v>612.20999999999992</v>
      </c>
      <c r="M481" s="10">
        <v>2231</v>
      </c>
      <c r="N481" s="69"/>
      <c r="O481" s="11">
        <f>O474+1</f>
        <v>113</v>
      </c>
    </row>
    <row r="482" spans="1:15" x14ac:dyDescent="0.25">
      <c r="A482" s="10"/>
      <c r="G482" s="21"/>
      <c r="H482" s="21"/>
      <c r="I482" s="21"/>
      <c r="J482" s="21"/>
      <c r="K482" s="21"/>
      <c r="L482" s="21"/>
      <c r="M482" s="10"/>
      <c r="O482" s="11"/>
    </row>
    <row r="483" spans="1:15" s="4" customFormat="1" x14ac:dyDescent="0.25">
      <c r="A483" s="6">
        <v>243</v>
      </c>
      <c r="B483" s="5" t="s">
        <v>557</v>
      </c>
      <c r="C483" s="5" t="s">
        <v>17</v>
      </c>
      <c r="D483" s="5" t="s">
        <v>76</v>
      </c>
      <c r="E483" s="5" t="s">
        <v>77</v>
      </c>
      <c r="F483" s="5" t="s">
        <v>558</v>
      </c>
      <c r="G483" s="22">
        <v>61.06</v>
      </c>
      <c r="H483" s="22">
        <v>0</v>
      </c>
      <c r="I483" s="22">
        <v>0</v>
      </c>
      <c r="J483" s="22">
        <v>0</v>
      </c>
      <c r="K483" s="22">
        <v>-1.22</v>
      </c>
      <c r="L483" s="22">
        <v>59.84</v>
      </c>
      <c r="M483" s="10"/>
      <c r="N483" s="67"/>
      <c r="O483" s="11"/>
    </row>
    <row r="484" spans="1:15" s="4" customFormat="1" x14ac:dyDescent="0.25">
      <c r="A484" s="6">
        <v>244</v>
      </c>
      <c r="B484" s="5" t="s">
        <v>557</v>
      </c>
      <c r="C484" s="5" t="s">
        <v>13</v>
      </c>
      <c r="D484" s="5" t="s">
        <v>76</v>
      </c>
      <c r="E484" s="5" t="s">
        <v>77</v>
      </c>
      <c r="F484" s="5" t="s">
        <v>558</v>
      </c>
      <c r="G484" s="22">
        <v>0</v>
      </c>
      <c r="H484" s="22">
        <v>0</v>
      </c>
      <c r="I484" s="22">
        <v>0</v>
      </c>
      <c r="J484" s="22">
        <v>7.33</v>
      </c>
      <c r="K484" s="22">
        <v>0</v>
      </c>
      <c r="L484" s="22">
        <v>7.33</v>
      </c>
      <c r="M484" s="10"/>
      <c r="N484" s="67"/>
      <c r="O484" s="11"/>
    </row>
    <row r="485" spans="1:15" x14ac:dyDescent="0.25">
      <c r="A485" s="6"/>
      <c r="B485" s="5"/>
      <c r="C485" s="5"/>
      <c r="D485" s="5" t="s">
        <v>76</v>
      </c>
      <c r="E485" s="5" t="s">
        <v>77</v>
      </c>
      <c r="F485" s="5" t="s">
        <v>558</v>
      </c>
      <c r="G485" s="14">
        <f t="shared" ref="G485:L485" si="117">SUBTOTAL(9,G483:G484)</f>
        <v>61.06</v>
      </c>
      <c r="H485" s="14">
        <f t="shared" si="117"/>
        <v>0</v>
      </c>
      <c r="I485" s="14">
        <f t="shared" si="117"/>
        <v>0</v>
      </c>
      <c r="J485" s="14">
        <f t="shared" si="117"/>
        <v>7.33</v>
      </c>
      <c r="K485" s="14">
        <f t="shared" si="117"/>
        <v>-1.22</v>
      </c>
      <c r="L485" s="14">
        <f t="shared" si="117"/>
        <v>67.17</v>
      </c>
      <c r="M485" s="10">
        <v>2232</v>
      </c>
      <c r="N485" s="69"/>
      <c r="O485" s="11">
        <f>O481+1</f>
        <v>114</v>
      </c>
    </row>
    <row r="486" spans="1:15" x14ac:dyDescent="0.25">
      <c r="A486" s="10"/>
      <c r="G486" s="21"/>
      <c r="H486" s="21"/>
      <c r="I486" s="21"/>
      <c r="J486" s="21"/>
      <c r="K486" s="21"/>
      <c r="L486" s="21"/>
      <c r="M486" s="10"/>
      <c r="O486" s="11"/>
    </row>
    <row r="487" spans="1:15" s="4" customFormat="1" x14ac:dyDescent="0.25">
      <c r="A487" s="6">
        <v>245</v>
      </c>
      <c r="B487" s="5" t="s">
        <v>550</v>
      </c>
      <c r="C487" s="5" t="s">
        <v>17</v>
      </c>
      <c r="D487" s="5" t="s">
        <v>76</v>
      </c>
      <c r="E487" s="5" t="s">
        <v>77</v>
      </c>
      <c r="F487" s="5" t="s">
        <v>551</v>
      </c>
      <c r="G487" s="22">
        <v>25783.360000000001</v>
      </c>
      <c r="H487" s="22">
        <v>0</v>
      </c>
      <c r="I487" s="22">
        <v>0</v>
      </c>
      <c r="J487" s="22">
        <v>0</v>
      </c>
      <c r="K487" s="22">
        <v>-515.66999999999996</v>
      </c>
      <c r="L487" s="22">
        <v>25267.69</v>
      </c>
      <c r="M487" s="10"/>
      <c r="N487" s="67"/>
      <c r="O487" s="11"/>
    </row>
    <row r="488" spans="1:15" x14ac:dyDescent="0.25">
      <c r="A488" s="6">
        <v>246</v>
      </c>
      <c r="B488" s="5" t="s">
        <v>550</v>
      </c>
      <c r="C488" s="5" t="s">
        <v>13</v>
      </c>
      <c r="D488" s="5" t="s">
        <v>76</v>
      </c>
      <c r="E488" s="5" t="s">
        <v>77</v>
      </c>
      <c r="F488" s="5" t="s">
        <v>551</v>
      </c>
      <c r="G488" s="22">
        <v>0</v>
      </c>
      <c r="H488" s="22">
        <v>0</v>
      </c>
      <c r="I488" s="22">
        <v>0</v>
      </c>
      <c r="J488" s="22">
        <v>3094</v>
      </c>
      <c r="K488" s="22">
        <v>0</v>
      </c>
      <c r="L488" s="22">
        <v>3094</v>
      </c>
      <c r="M488" s="10"/>
      <c r="O488" s="11"/>
    </row>
    <row r="489" spans="1:15" x14ac:dyDescent="0.25">
      <c r="A489" s="6"/>
      <c r="B489" s="5"/>
      <c r="C489" s="5"/>
      <c r="D489" s="5" t="s">
        <v>76</v>
      </c>
      <c r="E489" s="5" t="s">
        <v>77</v>
      </c>
      <c r="F489" s="5" t="s">
        <v>551</v>
      </c>
      <c r="G489" s="14">
        <f t="shared" ref="G489:L489" si="118">SUBTOTAL(9,G487:G488)</f>
        <v>25783.360000000001</v>
      </c>
      <c r="H489" s="14">
        <f t="shared" si="118"/>
        <v>0</v>
      </c>
      <c r="I489" s="14">
        <f t="shared" si="118"/>
        <v>0</v>
      </c>
      <c r="J489" s="14">
        <f t="shared" si="118"/>
        <v>3094</v>
      </c>
      <c r="K489" s="14">
        <f t="shared" si="118"/>
        <v>-515.66999999999996</v>
      </c>
      <c r="L489" s="14">
        <f t="shared" si="118"/>
        <v>28361.69</v>
      </c>
      <c r="M489" s="10">
        <v>2233</v>
      </c>
      <c r="N489" s="69"/>
      <c r="O489" s="11">
        <f>O485+1</f>
        <v>115</v>
      </c>
    </row>
    <row r="490" spans="1:15" s="4" customFormat="1" x14ac:dyDescent="0.25">
      <c r="A490" s="10"/>
      <c r="B490"/>
      <c r="C490"/>
      <c r="D490"/>
      <c r="E490"/>
      <c r="F490"/>
      <c r="G490" s="21"/>
      <c r="H490" s="21"/>
      <c r="I490" s="21"/>
      <c r="J490" s="21"/>
      <c r="K490" s="21"/>
      <c r="L490" s="21"/>
      <c r="M490" s="10"/>
      <c r="N490" s="67"/>
      <c r="O490" s="11"/>
    </row>
    <row r="491" spans="1:15" s="4" customFormat="1" x14ac:dyDescent="0.25">
      <c r="A491" s="6">
        <v>247</v>
      </c>
      <c r="B491" s="5" t="s">
        <v>550</v>
      </c>
      <c r="C491" s="5" t="s">
        <v>17</v>
      </c>
      <c r="D491" s="5" t="s">
        <v>76</v>
      </c>
      <c r="E491" s="5" t="s">
        <v>77</v>
      </c>
      <c r="F491" s="5" t="s">
        <v>552</v>
      </c>
      <c r="G491" s="22">
        <v>1.85</v>
      </c>
      <c r="H491" s="22">
        <v>0</v>
      </c>
      <c r="I491" s="22">
        <v>0</v>
      </c>
      <c r="J491" s="22">
        <v>0</v>
      </c>
      <c r="K491" s="22">
        <v>-0.04</v>
      </c>
      <c r="L491" s="22">
        <v>1.81</v>
      </c>
      <c r="M491" s="10"/>
      <c r="N491" s="67"/>
      <c r="O491" s="11"/>
    </row>
    <row r="492" spans="1:15" x14ac:dyDescent="0.25">
      <c r="A492" s="6">
        <v>248</v>
      </c>
      <c r="B492" s="5" t="s">
        <v>550</v>
      </c>
      <c r="C492" s="5" t="s">
        <v>13</v>
      </c>
      <c r="D492" s="5" t="s">
        <v>76</v>
      </c>
      <c r="E492" s="5" t="s">
        <v>77</v>
      </c>
      <c r="F492" s="5" t="s">
        <v>552</v>
      </c>
      <c r="G492" s="22">
        <v>0</v>
      </c>
      <c r="H492" s="22">
        <v>0</v>
      </c>
      <c r="I492" s="22">
        <v>0</v>
      </c>
      <c r="J492" s="22">
        <v>0.22</v>
      </c>
      <c r="K492" s="22">
        <v>0</v>
      </c>
      <c r="L492" s="22">
        <v>0.22</v>
      </c>
      <c r="M492" s="10"/>
      <c r="O492" s="11"/>
    </row>
    <row r="493" spans="1:15" x14ac:dyDescent="0.25">
      <c r="A493" s="6"/>
      <c r="B493" s="5"/>
      <c r="C493" s="5"/>
      <c r="D493" s="5" t="s">
        <v>76</v>
      </c>
      <c r="E493" s="5" t="s">
        <v>77</v>
      </c>
      <c r="F493" s="5" t="s">
        <v>552</v>
      </c>
      <c r="G493" s="14">
        <f t="shared" ref="G493:L493" si="119">SUBTOTAL(9,G491:G492)</f>
        <v>1.85</v>
      </c>
      <c r="H493" s="14">
        <f t="shared" si="119"/>
        <v>0</v>
      </c>
      <c r="I493" s="14">
        <f t="shared" si="119"/>
        <v>0</v>
      </c>
      <c r="J493" s="14">
        <f t="shared" si="119"/>
        <v>0.22</v>
      </c>
      <c r="K493" s="14">
        <f t="shared" si="119"/>
        <v>-0.04</v>
      </c>
      <c r="L493" s="14">
        <f t="shared" si="119"/>
        <v>2.0300000000000002</v>
      </c>
      <c r="M493" s="10">
        <v>2234</v>
      </c>
      <c r="N493" s="69"/>
      <c r="O493" s="11">
        <f>O489+1</f>
        <v>116</v>
      </c>
    </row>
    <row r="494" spans="1:15" s="4" customFormat="1" x14ac:dyDescent="0.25">
      <c r="A494" s="10"/>
      <c r="B494"/>
      <c r="C494"/>
      <c r="D494"/>
      <c r="E494"/>
      <c r="F494"/>
      <c r="G494" s="21"/>
      <c r="H494" s="21"/>
      <c r="I494" s="21"/>
      <c r="J494" s="21"/>
      <c r="K494" s="21"/>
      <c r="L494" s="21"/>
      <c r="M494" s="10"/>
      <c r="N494" s="67"/>
      <c r="O494" s="11"/>
    </row>
    <row r="495" spans="1:15" s="4" customFormat="1" x14ac:dyDescent="0.25">
      <c r="A495" s="6">
        <v>249</v>
      </c>
      <c r="B495" s="5" t="s">
        <v>555</v>
      </c>
      <c r="C495" s="5" t="s">
        <v>17</v>
      </c>
      <c r="D495" s="5" t="s">
        <v>78</v>
      </c>
      <c r="E495" s="5" t="s">
        <v>79</v>
      </c>
      <c r="F495" s="5" t="s">
        <v>556</v>
      </c>
      <c r="G495" s="22">
        <v>1244.8599999999999</v>
      </c>
      <c r="H495" s="22">
        <v>0</v>
      </c>
      <c r="I495" s="22">
        <v>0</v>
      </c>
      <c r="J495" s="22">
        <v>0</v>
      </c>
      <c r="K495" s="22">
        <v>-24.9</v>
      </c>
      <c r="L495" s="22">
        <v>1219.96</v>
      </c>
      <c r="M495" s="10"/>
      <c r="N495" s="67"/>
      <c r="O495" s="11"/>
    </row>
    <row r="496" spans="1:15" x14ac:dyDescent="0.25">
      <c r="A496" s="6">
        <v>250</v>
      </c>
      <c r="B496" s="5" t="s">
        <v>555</v>
      </c>
      <c r="C496" s="5" t="s">
        <v>13</v>
      </c>
      <c r="D496" s="5" t="s">
        <v>78</v>
      </c>
      <c r="E496" s="5" t="s">
        <v>79</v>
      </c>
      <c r="F496" s="5" t="s">
        <v>556</v>
      </c>
      <c r="G496" s="22">
        <v>0</v>
      </c>
      <c r="H496" s="22">
        <v>0</v>
      </c>
      <c r="I496" s="22">
        <v>0</v>
      </c>
      <c r="J496" s="22">
        <v>149.38</v>
      </c>
      <c r="K496" s="22">
        <v>0</v>
      </c>
      <c r="L496" s="22">
        <v>149.38</v>
      </c>
      <c r="M496" s="10"/>
      <c r="O496" s="11"/>
    </row>
    <row r="497" spans="1:15" x14ac:dyDescent="0.25">
      <c r="A497" s="6"/>
      <c r="B497" s="5"/>
      <c r="C497" s="5"/>
      <c r="D497" s="5" t="s">
        <v>78</v>
      </c>
      <c r="E497" s="5" t="s">
        <v>79</v>
      </c>
      <c r="F497" s="5" t="s">
        <v>556</v>
      </c>
      <c r="G497" s="14">
        <f t="shared" ref="G497:L497" si="120">SUBTOTAL(9,G495:G496)</f>
        <v>1244.8599999999999</v>
      </c>
      <c r="H497" s="14">
        <f t="shared" si="120"/>
        <v>0</v>
      </c>
      <c r="I497" s="14">
        <f t="shared" si="120"/>
        <v>0</v>
      </c>
      <c r="J497" s="14">
        <f t="shared" si="120"/>
        <v>149.38</v>
      </c>
      <c r="K497" s="14">
        <f t="shared" si="120"/>
        <v>-24.9</v>
      </c>
      <c r="L497" s="14">
        <f t="shared" si="120"/>
        <v>1369.3400000000001</v>
      </c>
      <c r="M497" s="10">
        <v>2235</v>
      </c>
      <c r="N497" s="69"/>
      <c r="O497" s="11">
        <f>O493+1</f>
        <v>117</v>
      </c>
    </row>
    <row r="498" spans="1:15" s="4" customFormat="1" x14ac:dyDescent="0.25">
      <c r="A498" s="10"/>
      <c r="B498"/>
      <c r="C498"/>
      <c r="D498"/>
      <c r="E498"/>
      <c r="F498"/>
      <c r="G498" s="21"/>
      <c r="H498" s="21"/>
      <c r="I498" s="21"/>
      <c r="J498" s="21"/>
      <c r="K498" s="21"/>
      <c r="L498" s="21"/>
      <c r="M498" s="10"/>
      <c r="N498" s="67"/>
      <c r="O498" s="11"/>
    </row>
    <row r="499" spans="1:15" s="4" customFormat="1" x14ac:dyDescent="0.25">
      <c r="A499" s="6">
        <v>251</v>
      </c>
      <c r="B499" s="5" t="s">
        <v>550</v>
      </c>
      <c r="C499" s="5" t="s">
        <v>17</v>
      </c>
      <c r="D499" s="5" t="s">
        <v>78</v>
      </c>
      <c r="E499" s="5" t="s">
        <v>79</v>
      </c>
      <c r="F499" s="5" t="s">
        <v>551</v>
      </c>
      <c r="G499" s="22">
        <v>63885.68</v>
      </c>
      <c r="H499" s="22">
        <v>0</v>
      </c>
      <c r="I499" s="22">
        <v>0</v>
      </c>
      <c r="J499" s="22">
        <v>0</v>
      </c>
      <c r="K499" s="22">
        <v>-1277.71</v>
      </c>
      <c r="L499" s="22">
        <v>62607.97</v>
      </c>
      <c r="M499" s="10"/>
      <c r="N499" s="67"/>
      <c r="O499" s="11"/>
    </row>
    <row r="500" spans="1:15" x14ac:dyDescent="0.25">
      <c r="A500" s="6">
        <v>252</v>
      </c>
      <c r="B500" s="5" t="s">
        <v>550</v>
      </c>
      <c r="C500" s="5" t="s">
        <v>13</v>
      </c>
      <c r="D500" s="5" t="s">
        <v>78</v>
      </c>
      <c r="E500" s="5" t="s">
        <v>79</v>
      </c>
      <c r="F500" s="5" t="s">
        <v>551</v>
      </c>
      <c r="G500" s="22">
        <v>0</v>
      </c>
      <c r="H500" s="22">
        <v>0</v>
      </c>
      <c r="I500" s="22">
        <v>0</v>
      </c>
      <c r="J500" s="22">
        <v>7666.28</v>
      </c>
      <c r="K500" s="22">
        <v>0</v>
      </c>
      <c r="L500" s="22">
        <v>7666.28</v>
      </c>
      <c r="M500" s="10"/>
      <c r="O500" s="11"/>
    </row>
    <row r="501" spans="1:15" x14ac:dyDescent="0.25">
      <c r="A501" s="6"/>
      <c r="B501" s="5"/>
      <c r="C501" s="5"/>
      <c r="D501" s="5" t="s">
        <v>78</v>
      </c>
      <c r="E501" s="5" t="s">
        <v>79</v>
      </c>
      <c r="F501" s="5" t="s">
        <v>551</v>
      </c>
      <c r="G501" s="14">
        <f t="shared" ref="G501:L501" si="121">SUBTOTAL(9,G499:G500)</f>
        <v>63885.68</v>
      </c>
      <c r="H501" s="14">
        <f t="shared" si="121"/>
        <v>0</v>
      </c>
      <c r="I501" s="14">
        <f t="shared" si="121"/>
        <v>0</v>
      </c>
      <c r="J501" s="14">
        <f t="shared" si="121"/>
        <v>7666.28</v>
      </c>
      <c r="K501" s="14">
        <f t="shared" si="121"/>
        <v>-1277.71</v>
      </c>
      <c r="L501" s="14">
        <f t="shared" si="121"/>
        <v>70274.25</v>
      </c>
      <c r="M501" s="10">
        <v>2236</v>
      </c>
      <c r="N501" s="69"/>
      <c r="O501" s="11">
        <f>O497+1</f>
        <v>118</v>
      </c>
    </row>
    <row r="502" spans="1:15" s="4" customFormat="1" x14ac:dyDescent="0.25">
      <c r="A502" s="10"/>
      <c r="B502"/>
      <c r="C502"/>
      <c r="D502"/>
      <c r="E502"/>
      <c r="F502"/>
      <c r="G502" s="21"/>
      <c r="H502" s="21"/>
      <c r="I502" s="21"/>
      <c r="J502" s="21"/>
      <c r="K502" s="21"/>
      <c r="L502" s="21"/>
      <c r="M502" s="10"/>
      <c r="N502" s="67"/>
      <c r="O502" s="11"/>
    </row>
    <row r="503" spans="1:15" x14ac:dyDescent="0.25">
      <c r="A503" s="6">
        <v>253</v>
      </c>
      <c r="B503" s="5" t="s">
        <v>550</v>
      </c>
      <c r="C503" s="5" t="s">
        <v>17</v>
      </c>
      <c r="D503" s="5" t="s">
        <v>78</v>
      </c>
      <c r="E503" s="5" t="s">
        <v>79</v>
      </c>
      <c r="F503" s="5" t="s">
        <v>552</v>
      </c>
      <c r="G503" s="22">
        <v>4.5999999999999996</v>
      </c>
      <c r="H503" s="22">
        <v>0</v>
      </c>
      <c r="I503" s="22">
        <v>0</v>
      </c>
      <c r="J503" s="22">
        <v>0</v>
      </c>
      <c r="K503" s="22">
        <v>-0.09</v>
      </c>
      <c r="L503" s="22">
        <v>4.51</v>
      </c>
      <c r="M503" s="10"/>
      <c r="O503" s="11"/>
    </row>
    <row r="504" spans="1:15" x14ac:dyDescent="0.25">
      <c r="A504" s="6">
        <v>254</v>
      </c>
      <c r="B504" s="5" t="s">
        <v>550</v>
      </c>
      <c r="C504" s="5" t="s">
        <v>13</v>
      </c>
      <c r="D504" s="5" t="s">
        <v>78</v>
      </c>
      <c r="E504" s="5" t="s">
        <v>79</v>
      </c>
      <c r="F504" s="5" t="s">
        <v>552</v>
      </c>
      <c r="G504" s="22">
        <v>0</v>
      </c>
      <c r="H504" s="22">
        <v>0</v>
      </c>
      <c r="I504" s="22">
        <v>0</v>
      </c>
      <c r="J504" s="22">
        <v>0.55000000000000004</v>
      </c>
      <c r="K504" s="22">
        <v>0</v>
      </c>
      <c r="L504" s="22">
        <v>0.55000000000000004</v>
      </c>
      <c r="M504" s="10"/>
      <c r="O504" s="11"/>
    </row>
    <row r="505" spans="1:15" s="4" customFormat="1" x14ac:dyDescent="0.25">
      <c r="A505" s="6"/>
      <c r="B505" s="5"/>
      <c r="C505" s="5"/>
      <c r="D505" s="5" t="s">
        <v>78</v>
      </c>
      <c r="E505" s="5" t="s">
        <v>79</v>
      </c>
      <c r="F505" s="5" t="s">
        <v>552</v>
      </c>
      <c r="G505" s="14">
        <f t="shared" ref="G505:L505" si="122">SUBTOTAL(9,G503:G504)</f>
        <v>4.5999999999999996</v>
      </c>
      <c r="H505" s="14">
        <f t="shared" si="122"/>
        <v>0</v>
      </c>
      <c r="I505" s="14">
        <f t="shared" si="122"/>
        <v>0</v>
      </c>
      <c r="J505" s="14">
        <f t="shared" si="122"/>
        <v>0.55000000000000004</v>
      </c>
      <c r="K505" s="14">
        <f t="shared" si="122"/>
        <v>-0.09</v>
      </c>
      <c r="L505" s="14">
        <f t="shared" si="122"/>
        <v>5.0599999999999996</v>
      </c>
      <c r="M505" s="10">
        <v>2237</v>
      </c>
      <c r="N505" s="69"/>
      <c r="O505" s="11">
        <f>O501+1</f>
        <v>119</v>
      </c>
    </row>
    <row r="506" spans="1:15" s="4" customFormat="1" x14ac:dyDescent="0.25">
      <c r="A506" s="10"/>
      <c r="B506"/>
      <c r="C506"/>
      <c r="D506"/>
      <c r="E506"/>
      <c r="F506"/>
      <c r="G506" s="21"/>
      <c r="H506" s="21"/>
      <c r="I506" s="21"/>
      <c r="J506" s="21"/>
      <c r="K506" s="21"/>
      <c r="L506" s="21"/>
      <c r="M506" s="10"/>
      <c r="N506" s="67"/>
      <c r="O506" s="11"/>
    </row>
    <row r="507" spans="1:15" x14ac:dyDescent="0.25">
      <c r="A507" s="6">
        <v>255</v>
      </c>
      <c r="B507" s="5" t="s">
        <v>555</v>
      </c>
      <c r="C507" s="5" t="s">
        <v>17</v>
      </c>
      <c r="D507" s="5" t="s">
        <v>80</v>
      </c>
      <c r="E507" s="5" t="s">
        <v>81</v>
      </c>
      <c r="F507" s="5" t="s">
        <v>556</v>
      </c>
      <c r="G507" s="22">
        <v>851.26</v>
      </c>
      <c r="H507" s="22">
        <v>0</v>
      </c>
      <c r="I507" s="22">
        <v>0</v>
      </c>
      <c r="J507" s="22">
        <v>0</v>
      </c>
      <c r="K507" s="22">
        <v>-17.03</v>
      </c>
      <c r="L507" s="22">
        <v>834.23</v>
      </c>
      <c r="M507" s="10"/>
      <c r="O507" s="11"/>
    </row>
    <row r="508" spans="1:15" x14ac:dyDescent="0.25">
      <c r="A508" s="6">
        <v>256</v>
      </c>
      <c r="B508" s="5" t="s">
        <v>555</v>
      </c>
      <c r="C508" s="5" t="s">
        <v>13</v>
      </c>
      <c r="D508" s="5" t="s">
        <v>80</v>
      </c>
      <c r="E508" s="5" t="s">
        <v>81</v>
      </c>
      <c r="F508" s="5" t="s">
        <v>556</v>
      </c>
      <c r="G508" s="22">
        <v>0</v>
      </c>
      <c r="H508" s="22">
        <v>0</v>
      </c>
      <c r="I508" s="22">
        <v>0</v>
      </c>
      <c r="J508" s="22">
        <v>102.15</v>
      </c>
      <c r="K508" s="22">
        <v>0</v>
      </c>
      <c r="L508" s="22">
        <v>102.15</v>
      </c>
      <c r="M508" s="10"/>
      <c r="O508" s="11"/>
    </row>
    <row r="509" spans="1:15" s="4" customFormat="1" x14ac:dyDescent="0.25">
      <c r="A509" s="6"/>
      <c r="B509" s="5"/>
      <c r="C509" s="5"/>
      <c r="D509" s="5" t="s">
        <v>80</v>
      </c>
      <c r="E509" s="5" t="s">
        <v>81</v>
      </c>
      <c r="F509" s="5" t="s">
        <v>556</v>
      </c>
      <c r="G509" s="14">
        <f t="shared" ref="G509:L509" si="123">SUBTOTAL(9,G507:G508)</f>
        <v>851.26</v>
      </c>
      <c r="H509" s="14">
        <f t="shared" si="123"/>
        <v>0</v>
      </c>
      <c r="I509" s="14">
        <f t="shared" si="123"/>
        <v>0</v>
      </c>
      <c r="J509" s="14">
        <f t="shared" si="123"/>
        <v>102.15</v>
      </c>
      <c r="K509" s="14">
        <f t="shared" si="123"/>
        <v>-17.03</v>
      </c>
      <c r="L509" s="14">
        <f t="shared" si="123"/>
        <v>936.38</v>
      </c>
      <c r="M509" s="10">
        <v>2238</v>
      </c>
      <c r="N509" s="69"/>
      <c r="O509" s="11">
        <f>O505+1</f>
        <v>120</v>
      </c>
    </row>
    <row r="510" spans="1:15" s="4" customFormat="1" x14ac:dyDescent="0.25">
      <c r="A510" s="10"/>
      <c r="B510"/>
      <c r="C510"/>
      <c r="D510"/>
      <c r="E510"/>
      <c r="F510"/>
      <c r="G510" s="21"/>
      <c r="H510" s="21"/>
      <c r="I510" s="21"/>
      <c r="J510" s="21"/>
      <c r="K510" s="21"/>
      <c r="L510" s="21"/>
      <c r="M510" s="10"/>
      <c r="N510" s="67"/>
      <c r="O510" s="11"/>
    </row>
    <row r="511" spans="1:15" x14ac:dyDescent="0.25">
      <c r="A511" s="6">
        <v>257</v>
      </c>
      <c r="B511" s="5" t="s">
        <v>557</v>
      </c>
      <c r="C511" s="5" t="s">
        <v>17</v>
      </c>
      <c r="D511" s="5" t="s">
        <v>80</v>
      </c>
      <c r="E511" s="5" t="s">
        <v>81</v>
      </c>
      <c r="F511" s="5" t="s">
        <v>558</v>
      </c>
      <c r="G511" s="22">
        <v>100.5</v>
      </c>
      <c r="H511" s="22">
        <v>0</v>
      </c>
      <c r="I511" s="22">
        <v>0</v>
      </c>
      <c r="J511" s="22">
        <v>0</v>
      </c>
      <c r="K511" s="22">
        <v>-2.0099999999999998</v>
      </c>
      <c r="L511" s="22">
        <v>98.49</v>
      </c>
      <c r="M511" s="10"/>
      <c r="O511" s="11"/>
    </row>
    <row r="512" spans="1:15" x14ac:dyDescent="0.25">
      <c r="A512" s="6">
        <v>258</v>
      </c>
      <c r="B512" s="5" t="s">
        <v>557</v>
      </c>
      <c r="C512" s="5" t="s">
        <v>13</v>
      </c>
      <c r="D512" s="5" t="s">
        <v>80</v>
      </c>
      <c r="E512" s="5" t="s">
        <v>81</v>
      </c>
      <c r="F512" s="5" t="s">
        <v>558</v>
      </c>
      <c r="G512" s="22">
        <v>0</v>
      </c>
      <c r="H512" s="22">
        <v>0</v>
      </c>
      <c r="I512" s="22">
        <v>0</v>
      </c>
      <c r="J512" s="22">
        <v>12.06</v>
      </c>
      <c r="K512" s="22">
        <v>0</v>
      </c>
      <c r="L512" s="22">
        <v>12.06</v>
      </c>
      <c r="M512" s="10"/>
      <c r="O512" s="11"/>
    </row>
    <row r="513" spans="1:15" s="4" customFormat="1" x14ac:dyDescent="0.25">
      <c r="A513" s="6"/>
      <c r="B513" s="5"/>
      <c r="C513" s="5"/>
      <c r="D513" s="5" t="s">
        <v>80</v>
      </c>
      <c r="E513" s="5" t="s">
        <v>81</v>
      </c>
      <c r="F513" s="5" t="s">
        <v>558</v>
      </c>
      <c r="G513" s="14">
        <f t="shared" ref="G513:L513" si="124">SUBTOTAL(9,G511:G512)</f>
        <v>100.5</v>
      </c>
      <c r="H513" s="14">
        <f t="shared" si="124"/>
        <v>0</v>
      </c>
      <c r="I513" s="14">
        <f t="shared" si="124"/>
        <v>0</v>
      </c>
      <c r="J513" s="14">
        <f t="shared" si="124"/>
        <v>12.06</v>
      </c>
      <c r="K513" s="14">
        <f t="shared" si="124"/>
        <v>-2.0099999999999998</v>
      </c>
      <c r="L513" s="14">
        <f t="shared" si="124"/>
        <v>110.55</v>
      </c>
      <c r="M513" s="10">
        <v>2239</v>
      </c>
      <c r="N513" s="69"/>
      <c r="O513" s="11">
        <f>O509+1</f>
        <v>121</v>
      </c>
    </row>
    <row r="514" spans="1:15" s="4" customFormat="1" x14ac:dyDescent="0.25">
      <c r="A514" s="10"/>
      <c r="B514"/>
      <c r="C514"/>
      <c r="D514"/>
      <c r="E514"/>
      <c r="F514"/>
      <c r="G514" s="21"/>
      <c r="H514" s="21"/>
      <c r="I514" s="21"/>
      <c r="J514" s="21"/>
      <c r="K514" s="21"/>
      <c r="L514" s="21"/>
      <c r="M514" s="10"/>
      <c r="N514" s="67"/>
      <c r="O514" s="11"/>
    </row>
    <row r="515" spans="1:15" x14ac:dyDescent="0.25">
      <c r="A515" s="6">
        <v>259</v>
      </c>
      <c r="B515" s="5" t="s">
        <v>550</v>
      </c>
      <c r="C515" s="5" t="s">
        <v>17</v>
      </c>
      <c r="D515" s="5" t="s">
        <v>80</v>
      </c>
      <c r="E515" s="5" t="s">
        <v>81</v>
      </c>
      <c r="F515" s="5" t="s">
        <v>551</v>
      </c>
      <c r="G515" s="22">
        <v>25587.03</v>
      </c>
      <c r="H515" s="22">
        <v>0</v>
      </c>
      <c r="I515" s="22">
        <v>0</v>
      </c>
      <c r="J515" s="22">
        <v>0</v>
      </c>
      <c r="K515" s="22">
        <v>-511.74</v>
      </c>
      <c r="L515" s="22">
        <v>25075.29</v>
      </c>
      <c r="M515" s="10"/>
      <c r="O515" s="11"/>
    </row>
    <row r="516" spans="1:15" x14ac:dyDescent="0.25">
      <c r="A516" s="6">
        <v>260</v>
      </c>
      <c r="B516" s="5" t="s">
        <v>550</v>
      </c>
      <c r="C516" s="5" t="s">
        <v>13</v>
      </c>
      <c r="D516" s="5" t="s">
        <v>80</v>
      </c>
      <c r="E516" s="5" t="s">
        <v>81</v>
      </c>
      <c r="F516" s="5" t="s">
        <v>551</v>
      </c>
      <c r="G516" s="22">
        <v>0</v>
      </c>
      <c r="H516" s="22">
        <v>0</v>
      </c>
      <c r="I516" s="22">
        <v>0</v>
      </c>
      <c r="J516" s="22">
        <v>3070.44</v>
      </c>
      <c r="K516" s="22">
        <v>0</v>
      </c>
      <c r="L516" s="22">
        <v>3070.44</v>
      </c>
      <c r="M516" s="10"/>
      <c r="O516" s="11"/>
    </row>
    <row r="517" spans="1:15" s="4" customFormat="1" x14ac:dyDescent="0.25">
      <c r="A517" s="6"/>
      <c r="B517" s="5"/>
      <c r="C517" s="5"/>
      <c r="D517" s="5" t="s">
        <v>80</v>
      </c>
      <c r="E517" s="5" t="s">
        <v>81</v>
      </c>
      <c r="F517" s="5" t="s">
        <v>551</v>
      </c>
      <c r="G517" s="14">
        <f t="shared" ref="G517:L517" si="125">SUBTOTAL(9,G515:G516)</f>
        <v>25587.03</v>
      </c>
      <c r="H517" s="14">
        <f t="shared" si="125"/>
        <v>0</v>
      </c>
      <c r="I517" s="14">
        <f t="shared" si="125"/>
        <v>0</v>
      </c>
      <c r="J517" s="14">
        <f t="shared" si="125"/>
        <v>3070.44</v>
      </c>
      <c r="K517" s="34">
        <f t="shared" si="125"/>
        <v>-511.74</v>
      </c>
      <c r="L517" s="35">
        <f t="shared" si="125"/>
        <v>28145.73</v>
      </c>
      <c r="M517" s="10">
        <v>2240</v>
      </c>
      <c r="N517" s="69"/>
      <c r="O517" s="11">
        <f>O513+1</f>
        <v>122</v>
      </c>
    </row>
    <row r="518" spans="1:15" s="4" customFormat="1" x14ac:dyDescent="0.25">
      <c r="A518" s="10"/>
      <c r="B518"/>
      <c r="C518"/>
      <c r="D518"/>
      <c r="E518"/>
      <c r="F518"/>
      <c r="G518" s="21"/>
      <c r="H518" s="21"/>
      <c r="I518" s="21"/>
      <c r="J518" s="21"/>
      <c r="K518" s="21"/>
      <c r="L518" s="21"/>
      <c r="M518" s="10"/>
      <c r="N518" s="67"/>
      <c r="O518" s="11"/>
    </row>
    <row r="519" spans="1:15" x14ac:dyDescent="0.25">
      <c r="A519" s="6">
        <v>261</v>
      </c>
      <c r="B519" s="5" t="s">
        <v>550</v>
      </c>
      <c r="C519" s="5" t="s">
        <v>17</v>
      </c>
      <c r="D519" s="5" t="s">
        <v>80</v>
      </c>
      <c r="E519" s="5" t="s">
        <v>81</v>
      </c>
      <c r="F519" s="5" t="s">
        <v>552</v>
      </c>
      <c r="G519" s="22">
        <v>1.84</v>
      </c>
      <c r="H519" s="22">
        <v>0</v>
      </c>
      <c r="I519" s="22">
        <v>0</v>
      </c>
      <c r="J519" s="22">
        <v>0</v>
      </c>
      <c r="K519" s="22">
        <v>-0.04</v>
      </c>
      <c r="L519" s="22">
        <v>1.8</v>
      </c>
      <c r="M519" s="10"/>
      <c r="O519" s="11"/>
    </row>
    <row r="520" spans="1:15" x14ac:dyDescent="0.25">
      <c r="A520" s="6">
        <v>262</v>
      </c>
      <c r="B520" s="5" t="s">
        <v>550</v>
      </c>
      <c r="C520" s="5" t="s">
        <v>13</v>
      </c>
      <c r="D520" s="5" t="s">
        <v>80</v>
      </c>
      <c r="E520" s="5" t="s">
        <v>81</v>
      </c>
      <c r="F520" s="5" t="s">
        <v>552</v>
      </c>
      <c r="G520" s="22">
        <v>0</v>
      </c>
      <c r="H520" s="22">
        <v>0</v>
      </c>
      <c r="I520" s="22">
        <v>0</v>
      </c>
      <c r="J520" s="22">
        <v>0.22</v>
      </c>
      <c r="K520" s="22">
        <v>0</v>
      </c>
      <c r="L520" s="22">
        <v>0.22</v>
      </c>
      <c r="M520" s="10"/>
      <c r="O520" s="11"/>
    </row>
    <row r="521" spans="1:15" s="4" customFormat="1" x14ac:dyDescent="0.25">
      <c r="A521" s="6"/>
      <c r="B521" s="5"/>
      <c r="C521" s="5"/>
      <c r="D521" s="5" t="s">
        <v>80</v>
      </c>
      <c r="E521" s="5" t="s">
        <v>81</v>
      </c>
      <c r="F521" s="5" t="s">
        <v>552</v>
      </c>
      <c r="G521" s="14">
        <f t="shared" ref="G521:L521" si="126">SUBTOTAL(9,G519:G520)</f>
        <v>1.84</v>
      </c>
      <c r="H521" s="14">
        <f t="shared" si="126"/>
        <v>0</v>
      </c>
      <c r="I521" s="14">
        <f t="shared" si="126"/>
        <v>0</v>
      </c>
      <c r="J521" s="14">
        <f t="shared" si="126"/>
        <v>0.22</v>
      </c>
      <c r="K521" s="14">
        <f t="shared" si="126"/>
        <v>-0.04</v>
      </c>
      <c r="L521" s="14">
        <f t="shared" si="126"/>
        <v>2.02</v>
      </c>
      <c r="M521" s="10">
        <v>2241</v>
      </c>
      <c r="N521" s="69"/>
      <c r="O521" s="11">
        <f>O517+1</f>
        <v>123</v>
      </c>
    </row>
    <row r="522" spans="1:15" x14ac:dyDescent="0.25">
      <c r="A522" s="10"/>
      <c r="G522" s="21"/>
      <c r="H522" s="21"/>
      <c r="I522" s="21"/>
      <c r="J522" s="21"/>
      <c r="K522" s="21"/>
      <c r="L522" s="21"/>
      <c r="M522" s="10"/>
      <c r="O522" s="11"/>
    </row>
    <row r="523" spans="1:15" x14ac:dyDescent="0.25">
      <c r="A523" s="6">
        <v>263</v>
      </c>
      <c r="B523" s="5" t="s">
        <v>22</v>
      </c>
      <c r="C523" s="5" t="s">
        <v>17</v>
      </c>
      <c r="D523" s="5" t="s">
        <v>579</v>
      </c>
      <c r="E523" s="5" t="s">
        <v>580</v>
      </c>
      <c r="F523" s="5" t="s">
        <v>23</v>
      </c>
      <c r="G523" s="22">
        <v>0</v>
      </c>
      <c r="H523" s="22">
        <v>0</v>
      </c>
      <c r="I523" s="22">
        <v>0.03</v>
      </c>
      <c r="J523" s="22">
        <v>0</v>
      </c>
      <c r="K523" s="22">
        <v>0</v>
      </c>
      <c r="L523" s="22">
        <v>0.03</v>
      </c>
      <c r="M523" s="10"/>
      <c r="O523" s="11"/>
    </row>
    <row r="524" spans="1:15" s="4" customFormat="1" x14ac:dyDescent="0.25">
      <c r="A524" s="6"/>
      <c r="B524" s="5"/>
      <c r="C524" s="5"/>
      <c r="D524" s="5" t="s">
        <v>579</v>
      </c>
      <c r="E524" s="5" t="s">
        <v>580</v>
      </c>
      <c r="F524" s="5" t="s">
        <v>23</v>
      </c>
      <c r="G524" s="14">
        <f t="shared" ref="G524:L524" si="127">SUBTOTAL(9,G523:G523)</f>
        <v>0</v>
      </c>
      <c r="H524" s="14">
        <f t="shared" si="127"/>
        <v>0</v>
      </c>
      <c r="I524" s="14">
        <f t="shared" si="127"/>
        <v>0.03</v>
      </c>
      <c r="J524" s="14">
        <f t="shared" si="127"/>
        <v>0</v>
      </c>
      <c r="K524" s="14">
        <f t="shared" si="127"/>
        <v>0</v>
      </c>
      <c r="L524" s="14">
        <f t="shared" si="127"/>
        <v>0.03</v>
      </c>
      <c r="M524" s="10">
        <v>2242</v>
      </c>
      <c r="N524" s="69"/>
      <c r="O524" s="11">
        <f>O521+1</f>
        <v>124</v>
      </c>
    </row>
    <row r="525" spans="1:15" s="4" customFormat="1" x14ac:dyDescent="0.25">
      <c r="A525" s="10"/>
      <c r="B525"/>
      <c r="C525"/>
      <c r="D525"/>
      <c r="E525"/>
      <c r="F525"/>
      <c r="G525" s="21"/>
      <c r="H525" s="21"/>
      <c r="I525" s="21"/>
      <c r="J525" s="21"/>
      <c r="K525" s="21"/>
      <c r="L525" s="21"/>
      <c r="M525" s="10"/>
      <c r="N525" s="67"/>
      <c r="O525" s="11"/>
    </row>
    <row r="526" spans="1:15" x14ac:dyDescent="0.25">
      <c r="A526" s="6">
        <v>264</v>
      </c>
      <c r="B526" s="5" t="s">
        <v>550</v>
      </c>
      <c r="C526" s="5" t="s">
        <v>17</v>
      </c>
      <c r="D526" s="5" t="s">
        <v>579</v>
      </c>
      <c r="E526" s="5" t="s">
        <v>580</v>
      </c>
      <c r="F526" s="5" t="s">
        <v>551</v>
      </c>
      <c r="G526" s="22">
        <v>0</v>
      </c>
      <c r="H526" s="22">
        <v>0</v>
      </c>
      <c r="I526" s="22">
        <v>0.4</v>
      </c>
      <c r="J526" s="22">
        <v>0</v>
      </c>
      <c r="K526" s="22">
        <v>-0.01</v>
      </c>
      <c r="L526" s="22">
        <v>0.39</v>
      </c>
      <c r="M526" s="10"/>
      <c r="O526" s="11"/>
    </row>
    <row r="527" spans="1:15" x14ac:dyDescent="0.25">
      <c r="A527" s="6"/>
      <c r="B527" s="5"/>
      <c r="C527" s="5"/>
      <c r="D527" s="5" t="s">
        <v>579</v>
      </c>
      <c r="E527" s="5" t="s">
        <v>580</v>
      </c>
      <c r="F527" s="5" t="s">
        <v>551</v>
      </c>
      <c r="G527" s="14">
        <f t="shared" ref="G527:L527" si="128">SUBTOTAL(9,G526:G526)</f>
        <v>0</v>
      </c>
      <c r="H527" s="14">
        <f t="shared" si="128"/>
        <v>0</v>
      </c>
      <c r="I527" s="14">
        <f t="shared" si="128"/>
        <v>0.4</v>
      </c>
      <c r="J527" s="14">
        <f t="shared" si="128"/>
        <v>0</v>
      </c>
      <c r="K527" s="14">
        <f t="shared" si="128"/>
        <v>-0.01</v>
      </c>
      <c r="L527" s="14">
        <f t="shared" si="128"/>
        <v>0.39</v>
      </c>
      <c r="M527" s="10">
        <v>2243</v>
      </c>
      <c r="N527" s="69"/>
      <c r="O527" s="11">
        <f>O524+1</f>
        <v>125</v>
      </c>
    </row>
    <row r="528" spans="1:15" s="4" customFormat="1" x14ac:dyDescent="0.25">
      <c r="A528" s="10"/>
      <c r="B528"/>
      <c r="C528"/>
      <c r="D528"/>
      <c r="E528"/>
      <c r="F528"/>
      <c r="G528" s="21"/>
      <c r="H528" s="21"/>
      <c r="I528" s="21"/>
      <c r="J528" s="21"/>
      <c r="K528" s="21"/>
      <c r="L528" s="21"/>
      <c r="M528" s="10"/>
      <c r="N528" s="67"/>
      <c r="O528" s="11"/>
    </row>
    <row r="529" spans="1:15" s="4" customFormat="1" x14ac:dyDescent="0.25">
      <c r="A529" s="6">
        <v>265</v>
      </c>
      <c r="B529" s="5" t="s">
        <v>18</v>
      </c>
      <c r="C529" s="5" t="s">
        <v>17</v>
      </c>
      <c r="D529" s="5" t="s">
        <v>82</v>
      </c>
      <c r="E529" s="5" t="s">
        <v>83</v>
      </c>
      <c r="F529" s="5" t="s">
        <v>19</v>
      </c>
      <c r="G529" s="22">
        <v>0.36</v>
      </c>
      <c r="H529" s="22">
        <v>0</v>
      </c>
      <c r="I529" s="22">
        <v>0</v>
      </c>
      <c r="J529" s="22">
        <v>0</v>
      </c>
      <c r="K529" s="22">
        <v>-0.32</v>
      </c>
      <c r="L529" s="22">
        <v>0.04</v>
      </c>
      <c r="M529" s="10"/>
      <c r="N529" s="67"/>
      <c r="O529" s="11"/>
    </row>
    <row r="530" spans="1:15" x14ac:dyDescent="0.25">
      <c r="A530" s="6"/>
      <c r="B530" s="5"/>
      <c r="C530" s="5"/>
      <c r="D530" s="5" t="s">
        <v>82</v>
      </c>
      <c r="E530" s="5" t="s">
        <v>83</v>
      </c>
      <c r="F530" s="5" t="s">
        <v>19</v>
      </c>
      <c r="G530" s="14">
        <f t="shared" ref="G530:L530" si="129">SUBTOTAL(9,G529:G529)</f>
        <v>0.36</v>
      </c>
      <c r="H530" s="14">
        <f t="shared" si="129"/>
        <v>0</v>
      </c>
      <c r="I530" s="14">
        <f t="shared" si="129"/>
        <v>0</v>
      </c>
      <c r="J530" s="14">
        <f t="shared" si="129"/>
        <v>0</v>
      </c>
      <c r="K530" s="14">
        <f t="shared" si="129"/>
        <v>-0.32</v>
      </c>
      <c r="L530" s="14">
        <f t="shared" si="129"/>
        <v>0.04</v>
      </c>
      <c r="M530" s="10">
        <v>2244</v>
      </c>
      <c r="N530" s="69"/>
      <c r="O530" s="11">
        <f>O527+1</f>
        <v>126</v>
      </c>
    </row>
    <row r="531" spans="1:15" x14ac:dyDescent="0.25">
      <c r="A531" s="10"/>
      <c r="G531" s="21"/>
      <c r="H531" s="21"/>
      <c r="I531" s="21"/>
      <c r="J531" s="21"/>
      <c r="K531" s="21"/>
      <c r="L531" s="21"/>
      <c r="M531" s="10"/>
      <c r="O531" s="11"/>
    </row>
    <row r="532" spans="1:15" s="4" customFormat="1" x14ac:dyDescent="0.25">
      <c r="A532" s="6">
        <v>266</v>
      </c>
      <c r="B532" s="5" t="s">
        <v>550</v>
      </c>
      <c r="C532" s="5" t="s">
        <v>17</v>
      </c>
      <c r="D532" s="5" t="s">
        <v>82</v>
      </c>
      <c r="E532" s="5" t="s">
        <v>83</v>
      </c>
      <c r="F532" s="5" t="s">
        <v>551</v>
      </c>
      <c r="G532" s="22">
        <v>2498.09</v>
      </c>
      <c r="H532" s="22">
        <v>0</v>
      </c>
      <c r="I532" s="22">
        <v>0</v>
      </c>
      <c r="J532" s="22">
        <v>0</v>
      </c>
      <c r="K532" s="22">
        <v>-49.96</v>
      </c>
      <c r="L532" s="22">
        <v>2448.13</v>
      </c>
      <c r="M532" s="10"/>
      <c r="N532" s="67"/>
      <c r="O532" s="11"/>
    </row>
    <row r="533" spans="1:15" x14ac:dyDescent="0.25">
      <c r="A533" s="6">
        <v>267</v>
      </c>
      <c r="B533" s="5" t="s">
        <v>550</v>
      </c>
      <c r="C533" s="5" t="s">
        <v>13</v>
      </c>
      <c r="D533" s="5" t="s">
        <v>82</v>
      </c>
      <c r="E533" s="5" t="s">
        <v>83</v>
      </c>
      <c r="F533" s="5" t="s">
        <v>551</v>
      </c>
      <c r="G533" s="22">
        <v>0</v>
      </c>
      <c r="H533" s="22">
        <v>0</v>
      </c>
      <c r="I533" s="22">
        <v>0</v>
      </c>
      <c r="J533" s="22">
        <v>299.77</v>
      </c>
      <c r="K533" s="22">
        <v>0</v>
      </c>
      <c r="L533" s="22">
        <v>299.77</v>
      </c>
      <c r="M533" s="10"/>
      <c r="O533" s="11"/>
    </row>
    <row r="534" spans="1:15" x14ac:dyDescent="0.25">
      <c r="A534" s="6"/>
      <c r="B534" s="5"/>
      <c r="C534" s="5"/>
      <c r="D534" s="5" t="s">
        <v>82</v>
      </c>
      <c r="E534" s="5" t="s">
        <v>83</v>
      </c>
      <c r="F534" s="5" t="s">
        <v>551</v>
      </c>
      <c r="G534" s="14">
        <f t="shared" ref="G534:L534" si="130">SUBTOTAL(9,G532:G533)</f>
        <v>2498.09</v>
      </c>
      <c r="H534" s="14">
        <f t="shared" si="130"/>
        <v>0</v>
      </c>
      <c r="I534" s="14">
        <f t="shared" si="130"/>
        <v>0</v>
      </c>
      <c r="J534" s="14">
        <f t="shared" si="130"/>
        <v>299.77</v>
      </c>
      <c r="K534" s="14">
        <f t="shared" si="130"/>
        <v>-49.96</v>
      </c>
      <c r="L534" s="14">
        <f t="shared" si="130"/>
        <v>2747.9</v>
      </c>
      <c r="M534" s="10">
        <v>2245</v>
      </c>
      <c r="N534" s="69"/>
      <c r="O534" s="11">
        <f>O530+1</f>
        <v>127</v>
      </c>
    </row>
    <row r="535" spans="1:15" s="4" customFormat="1" x14ac:dyDescent="0.25">
      <c r="A535" s="10"/>
      <c r="B535"/>
      <c r="C535"/>
      <c r="D535"/>
      <c r="E535"/>
      <c r="F535"/>
      <c r="G535" s="21"/>
      <c r="H535" s="21"/>
      <c r="I535" s="21"/>
      <c r="J535" s="21"/>
      <c r="K535" s="21"/>
      <c r="L535" s="21"/>
      <c r="M535" s="10"/>
      <c r="N535" s="67"/>
      <c r="O535" s="11"/>
    </row>
    <row r="536" spans="1:15" x14ac:dyDescent="0.25">
      <c r="A536" s="6">
        <v>268</v>
      </c>
      <c r="B536" s="5" t="s">
        <v>550</v>
      </c>
      <c r="C536" s="5" t="s">
        <v>17</v>
      </c>
      <c r="D536" s="5" t="s">
        <v>82</v>
      </c>
      <c r="E536" s="5" t="s">
        <v>83</v>
      </c>
      <c r="F536" s="5" t="s">
        <v>552</v>
      </c>
      <c r="G536" s="22">
        <v>0.18</v>
      </c>
      <c r="H536" s="22">
        <v>0</v>
      </c>
      <c r="I536" s="22">
        <v>0</v>
      </c>
      <c r="J536" s="22">
        <v>0</v>
      </c>
      <c r="K536" s="22">
        <v>0</v>
      </c>
      <c r="L536" s="22">
        <v>0.18</v>
      </c>
      <c r="M536" s="10"/>
      <c r="O536" s="11"/>
    </row>
    <row r="537" spans="1:15" x14ac:dyDescent="0.25">
      <c r="A537" s="6">
        <v>269</v>
      </c>
      <c r="B537" s="5" t="s">
        <v>550</v>
      </c>
      <c r="C537" s="5" t="s">
        <v>13</v>
      </c>
      <c r="D537" s="5" t="s">
        <v>82</v>
      </c>
      <c r="E537" s="5" t="s">
        <v>83</v>
      </c>
      <c r="F537" s="5" t="s">
        <v>552</v>
      </c>
      <c r="G537" s="22">
        <v>0</v>
      </c>
      <c r="H537" s="22">
        <v>0</v>
      </c>
      <c r="I537" s="22">
        <v>0</v>
      </c>
      <c r="J537" s="22">
        <v>0.02</v>
      </c>
      <c r="K537" s="22">
        <v>0</v>
      </c>
      <c r="L537" s="22">
        <v>0.02</v>
      </c>
      <c r="M537" s="10"/>
      <c r="O537" s="11"/>
    </row>
    <row r="538" spans="1:15" s="4" customFormat="1" x14ac:dyDescent="0.25">
      <c r="A538" s="6"/>
      <c r="B538" s="5"/>
      <c r="C538" s="5"/>
      <c r="D538" s="5" t="s">
        <v>82</v>
      </c>
      <c r="E538" s="5" t="s">
        <v>83</v>
      </c>
      <c r="F538" s="5" t="s">
        <v>552</v>
      </c>
      <c r="G538" s="14">
        <f t="shared" ref="G538:L538" si="131">SUBTOTAL(9,G536:G537)</f>
        <v>0.18</v>
      </c>
      <c r="H538" s="14">
        <f t="shared" si="131"/>
        <v>0</v>
      </c>
      <c r="I538" s="14">
        <f t="shared" si="131"/>
        <v>0</v>
      </c>
      <c r="J538" s="14">
        <f t="shared" si="131"/>
        <v>0.02</v>
      </c>
      <c r="K538" s="14">
        <f t="shared" si="131"/>
        <v>0</v>
      </c>
      <c r="L538" s="14">
        <f t="shared" si="131"/>
        <v>0.19999999999999998</v>
      </c>
      <c r="M538" s="10">
        <v>2246</v>
      </c>
      <c r="N538" s="69"/>
      <c r="O538" s="11">
        <f>O534+1</f>
        <v>128</v>
      </c>
    </row>
    <row r="539" spans="1:15" s="4" customFormat="1" x14ac:dyDescent="0.25">
      <c r="A539" s="10"/>
      <c r="B539"/>
      <c r="C539"/>
      <c r="D539"/>
      <c r="E539"/>
      <c r="F539"/>
      <c r="G539" s="21"/>
      <c r="H539" s="21"/>
      <c r="I539" s="21"/>
      <c r="J539" s="21"/>
      <c r="K539" s="21"/>
      <c r="L539" s="21"/>
      <c r="M539" s="10"/>
      <c r="N539" s="67"/>
      <c r="O539" s="11"/>
    </row>
    <row r="540" spans="1:15" x14ac:dyDescent="0.25">
      <c r="A540" s="6">
        <v>270</v>
      </c>
      <c r="B540" s="5" t="s">
        <v>18</v>
      </c>
      <c r="C540" s="5" t="s">
        <v>17</v>
      </c>
      <c r="D540" s="5" t="s">
        <v>84</v>
      </c>
      <c r="E540" s="5" t="s">
        <v>85</v>
      </c>
      <c r="F540" s="5" t="s">
        <v>19</v>
      </c>
      <c r="G540" s="22">
        <v>0</v>
      </c>
      <c r="H540" s="22">
        <v>0</v>
      </c>
      <c r="I540" s="22">
        <v>0.01</v>
      </c>
      <c r="J540" s="22">
        <v>0</v>
      </c>
      <c r="K540" s="22">
        <v>0</v>
      </c>
      <c r="L540" s="22">
        <v>0.01</v>
      </c>
      <c r="M540" s="10"/>
      <c r="O540" s="11"/>
    </row>
    <row r="541" spans="1:15" x14ac:dyDescent="0.25">
      <c r="A541" s="6"/>
      <c r="B541" s="5"/>
      <c r="C541" s="5"/>
      <c r="D541" s="5" t="s">
        <v>84</v>
      </c>
      <c r="E541" s="5" t="s">
        <v>85</v>
      </c>
      <c r="F541" s="5" t="s">
        <v>19</v>
      </c>
      <c r="G541" s="14">
        <f t="shared" ref="G541:L541" si="132">SUBTOTAL(9,G540:G540)</f>
        <v>0</v>
      </c>
      <c r="H541" s="14">
        <f t="shared" si="132"/>
        <v>0</v>
      </c>
      <c r="I541" s="14">
        <f t="shared" si="132"/>
        <v>0.01</v>
      </c>
      <c r="J541" s="14">
        <f t="shared" si="132"/>
        <v>0</v>
      </c>
      <c r="K541" s="14">
        <f t="shared" si="132"/>
        <v>0</v>
      </c>
      <c r="L541" s="14">
        <f t="shared" si="132"/>
        <v>0.01</v>
      </c>
      <c r="M541" s="10">
        <v>2247</v>
      </c>
      <c r="N541" s="69"/>
      <c r="O541" s="11">
        <f>O538+1</f>
        <v>129</v>
      </c>
    </row>
    <row r="542" spans="1:15" s="4" customFormat="1" x14ac:dyDescent="0.25">
      <c r="A542" s="10"/>
      <c r="B542"/>
      <c r="C542"/>
      <c r="D542"/>
      <c r="E542"/>
      <c r="F542"/>
      <c r="G542" s="21"/>
      <c r="H542" s="21"/>
      <c r="I542" s="21"/>
      <c r="J542" s="21"/>
      <c r="K542" s="21"/>
      <c r="L542" s="21"/>
      <c r="M542" s="10"/>
      <c r="N542" s="67"/>
      <c r="O542" s="11"/>
    </row>
    <row r="543" spans="1:15" s="4" customFormat="1" x14ac:dyDescent="0.25">
      <c r="A543" s="6">
        <v>271</v>
      </c>
      <c r="B543" s="5" t="s">
        <v>550</v>
      </c>
      <c r="C543" s="5" t="s">
        <v>17</v>
      </c>
      <c r="D543" s="5" t="s">
        <v>84</v>
      </c>
      <c r="E543" s="5" t="s">
        <v>85</v>
      </c>
      <c r="F543" s="5" t="s">
        <v>551</v>
      </c>
      <c r="G543" s="22">
        <v>0</v>
      </c>
      <c r="H543" s="22">
        <v>0</v>
      </c>
      <c r="I543" s="22">
        <v>16.649999999999999</v>
      </c>
      <c r="J543" s="22">
        <v>0</v>
      </c>
      <c r="K543" s="22">
        <v>0</v>
      </c>
      <c r="L543" s="22">
        <v>16.649999999999999</v>
      </c>
      <c r="M543" s="10"/>
      <c r="N543" s="67"/>
      <c r="O543" s="11"/>
    </row>
    <row r="544" spans="1:15" x14ac:dyDescent="0.25">
      <c r="A544" s="6">
        <v>272</v>
      </c>
      <c r="B544" s="5" t="s">
        <v>550</v>
      </c>
      <c r="C544" s="5" t="s">
        <v>17</v>
      </c>
      <c r="D544" s="5" t="s">
        <v>84</v>
      </c>
      <c r="E544" s="5" t="s">
        <v>85</v>
      </c>
      <c r="F544" s="5" t="s">
        <v>551</v>
      </c>
      <c r="G544" s="22">
        <v>0</v>
      </c>
      <c r="H544" s="22">
        <v>0</v>
      </c>
      <c r="I544" s="22">
        <v>26.98</v>
      </c>
      <c r="J544" s="22">
        <v>0</v>
      </c>
      <c r="K544" s="22">
        <v>0</v>
      </c>
      <c r="L544" s="22">
        <v>26.98</v>
      </c>
      <c r="M544" s="10"/>
      <c r="O544" s="11"/>
    </row>
    <row r="545" spans="1:15" x14ac:dyDescent="0.25">
      <c r="A545" s="6"/>
      <c r="B545" s="5"/>
      <c r="C545" s="5"/>
      <c r="D545" s="5" t="s">
        <v>84</v>
      </c>
      <c r="E545" s="5" t="s">
        <v>85</v>
      </c>
      <c r="F545" s="5" t="s">
        <v>551</v>
      </c>
      <c r="G545" s="14">
        <f t="shared" ref="G545:L545" si="133">SUBTOTAL(9,G543:G544)</f>
        <v>0</v>
      </c>
      <c r="H545" s="14">
        <f t="shared" si="133"/>
        <v>0</v>
      </c>
      <c r="I545" s="14">
        <f t="shared" si="133"/>
        <v>43.629999999999995</v>
      </c>
      <c r="J545" s="14">
        <f t="shared" si="133"/>
        <v>0</v>
      </c>
      <c r="K545" s="14">
        <f t="shared" si="133"/>
        <v>0</v>
      </c>
      <c r="L545" s="14">
        <f t="shared" si="133"/>
        <v>43.629999999999995</v>
      </c>
      <c r="M545" s="10">
        <v>2248</v>
      </c>
      <c r="N545" s="69"/>
      <c r="O545" s="11">
        <f>O541+1</f>
        <v>130</v>
      </c>
    </row>
    <row r="546" spans="1:15" s="4" customFormat="1" x14ac:dyDescent="0.25">
      <c r="A546" s="10"/>
      <c r="B546"/>
      <c r="C546"/>
      <c r="D546"/>
      <c r="E546"/>
      <c r="F546"/>
      <c r="G546" s="21"/>
      <c r="H546" s="21"/>
      <c r="I546" s="21"/>
      <c r="J546" s="21"/>
      <c r="K546" s="21"/>
      <c r="L546" s="21"/>
      <c r="M546" s="10"/>
      <c r="N546" s="67"/>
      <c r="O546" s="11"/>
    </row>
    <row r="547" spans="1:15" x14ac:dyDescent="0.25">
      <c r="A547" s="6">
        <v>273</v>
      </c>
      <c r="B547" s="5" t="s">
        <v>18</v>
      </c>
      <c r="C547" s="5" t="s">
        <v>17</v>
      </c>
      <c r="D547" s="5" t="s">
        <v>86</v>
      </c>
      <c r="E547" s="5" t="s">
        <v>66</v>
      </c>
      <c r="F547" s="5" t="s">
        <v>19</v>
      </c>
      <c r="G547" s="22">
        <v>0</v>
      </c>
      <c r="H547" s="22">
        <v>0</v>
      </c>
      <c r="I547" s="22">
        <v>0</v>
      </c>
      <c r="J547" s="22">
        <v>0</v>
      </c>
      <c r="K547" s="22">
        <v>0</v>
      </c>
      <c r="L547" s="22">
        <v>0</v>
      </c>
      <c r="M547" s="10"/>
      <c r="O547" s="11"/>
    </row>
    <row r="548" spans="1:15" x14ac:dyDescent="0.25">
      <c r="A548" s="28"/>
      <c r="B548" s="29"/>
      <c r="C548" s="29"/>
      <c r="D548" s="29"/>
      <c r="E548" s="29"/>
      <c r="F548" s="29" t="s">
        <v>657</v>
      </c>
      <c r="G548" s="31">
        <f t="shared" ref="G548:L548" si="134">SUBTOTAL(9,G547:G547)</f>
        <v>0</v>
      </c>
      <c r="H548" s="31">
        <f t="shared" si="134"/>
        <v>0</v>
      </c>
      <c r="I548" s="31">
        <f t="shared" si="134"/>
        <v>0</v>
      </c>
      <c r="J548" s="31">
        <f t="shared" si="134"/>
        <v>0</v>
      </c>
      <c r="K548" s="31">
        <f t="shared" si="134"/>
        <v>0</v>
      </c>
      <c r="L548" s="31">
        <f t="shared" si="134"/>
        <v>0</v>
      </c>
      <c r="M548" s="15"/>
      <c r="O548" s="11"/>
    </row>
    <row r="549" spans="1:15" s="4" customFormat="1" x14ac:dyDescent="0.25">
      <c r="A549" s="10"/>
      <c r="B549"/>
      <c r="C549"/>
      <c r="D549"/>
      <c r="E549"/>
      <c r="F549"/>
      <c r="G549" s="21"/>
      <c r="H549" s="21"/>
      <c r="I549" s="21"/>
      <c r="J549" s="21"/>
      <c r="K549" s="21"/>
      <c r="L549" s="21"/>
      <c r="M549" s="10"/>
      <c r="N549" s="67"/>
      <c r="O549" s="11"/>
    </row>
    <row r="550" spans="1:15" x14ac:dyDescent="0.25">
      <c r="A550" s="6">
        <v>274</v>
      </c>
      <c r="B550" s="5" t="s">
        <v>550</v>
      </c>
      <c r="C550" s="5" t="s">
        <v>17</v>
      </c>
      <c r="D550" s="5" t="s">
        <v>86</v>
      </c>
      <c r="E550" s="5" t="s">
        <v>66</v>
      </c>
      <c r="F550" s="5" t="s">
        <v>551</v>
      </c>
      <c r="G550" s="22">
        <v>233.62</v>
      </c>
      <c r="H550" s="22">
        <v>0</v>
      </c>
      <c r="I550" s="22">
        <v>0</v>
      </c>
      <c r="J550" s="22">
        <v>0</v>
      </c>
      <c r="K550" s="22">
        <v>-4.67</v>
      </c>
      <c r="L550" s="22">
        <v>228.95</v>
      </c>
      <c r="M550" s="10"/>
      <c r="O550" s="11"/>
    </row>
    <row r="551" spans="1:15" x14ac:dyDescent="0.25">
      <c r="A551" s="6">
        <v>275</v>
      </c>
      <c r="B551" s="5" t="s">
        <v>550</v>
      </c>
      <c r="C551" s="5" t="s">
        <v>13</v>
      </c>
      <c r="D551" s="5" t="s">
        <v>86</v>
      </c>
      <c r="E551" s="5" t="s">
        <v>66</v>
      </c>
      <c r="F551" s="5" t="s">
        <v>551</v>
      </c>
      <c r="G551" s="22">
        <v>0</v>
      </c>
      <c r="H551" s="22">
        <v>0</v>
      </c>
      <c r="I551" s="22">
        <v>0</v>
      </c>
      <c r="J551" s="22">
        <v>28.03</v>
      </c>
      <c r="K551" s="22">
        <v>0</v>
      </c>
      <c r="L551" s="22">
        <v>28.03</v>
      </c>
      <c r="M551" s="10"/>
      <c r="O551" s="11"/>
    </row>
    <row r="552" spans="1:15" s="4" customFormat="1" x14ac:dyDescent="0.25">
      <c r="A552" s="6"/>
      <c r="B552" s="5"/>
      <c r="C552" s="5"/>
      <c r="D552" s="5" t="s">
        <v>86</v>
      </c>
      <c r="E552" s="5" t="s">
        <v>66</v>
      </c>
      <c r="F552" s="5" t="s">
        <v>551</v>
      </c>
      <c r="G552" s="14">
        <f t="shared" ref="G552:L552" si="135">SUBTOTAL(9,G550:G551)</f>
        <v>233.62</v>
      </c>
      <c r="H552" s="14">
        <f t="shared" si="135"/>
        <v>0</v>
      </c>
      <c r="I552" s="14">
        <f t="shared" si="135"/>
        <v>0</v>
      </c>
      <c r="J552" s="14">
        <f t="shared" si="135"/>
        <v>28.03</v>
      </c>
      <c r="K552" s="14">
        <f t="shared" si="135"/>
        <v>-4.67</v>
      </c>
      <c r="L552" s="14">
        <f t="shared" si="135"/>
        <v>256.98</v>
      </c>
      <c r="M552" s="10">
        <v>2249</v>
      </c>
      <c r="N552" s="69"/>
      <c r="O552" s="11">
        <f>O545+1</f>
        <v>131</v>
      </c>
    </row>
    <row r="553" spans="1:15" x14ac:dyDescent="0.25">
      <c r="A553" s="10"/>
      <c r="G553" s="21"/>
      <c r="H553" s="21"/>
      <c r="I553" s="21"/>
      <c r="J553" s="21"/>
      <c r="K553" s="21"/>
      <c r="L553" s="21"/>
      <c r="M553" s="10"/>
      <c r="O553" s="11"/>
    </row>
    <row r="554" spans="1:15" x14ac:dyDescent="0.25">
      <c r="A554" s="6">
        <v>276</v>
      </c>
      <c r="B554" s="5" t="s">
        <v>550</v>
      </c>
      <c r="C554" s="5" t="s">
        <v>17</v>
      </c>
      <c r="D554" s="5" t="s">
        <v>86</v>
      </c>
      <c r="E554" s="5" t="s">
        <v>66</v>
      </c>
      <c r="F554" s="5" t="s">
        <v>552</v>
      </c>
      <c r="G554" s="22">
        <v>0.02</v>
      </c>
      <c r="H554" s="22">
        <v>0</v>
      </c>
      <c r="I554" s="22">
        <v>0</v>
      </c>
      <c r="J554" s="22">
        <v>0</v>
      </c>
      <c r="K554" s="22">
        <v>0</v>
      </c>
      <c r="L554" s="22">
        <v>0.02</v>
      </c>
      <c r="M554" s="10"/>
      <c r="O554" s="11"/>
    </row>
    <row r="555" spans="1:15" s="4" customFormat="1" x14ac:dyDescent="0.25">
      <c r="A555" s="6">
        <v>277</v>
      </c>
      <c r="B555" s="5" t="s">
        <v>550</v>
      </c>
      <c r="C555" s="5" t="s">
        <v>13</v>
      </c>
      <c r="D555" s="5" t="s">
        <v>86</v>
      </c>
      <c r="E555" s="5" t="s">
        <v>66</v>
      </c>
      <c r="F555" s="5" t="s">
        <v>552</v>
      </c>
      <c r="G555" s="22">
        <v>0</v>
      </c>
      <c r="H555" s="22">
        <v>0</v>
      </c>
      <c r="I555" s="22">
        <v>0</v>
      </c>
      <c r="J555" s="22">
        <v>0</v>
      </c>
      <c r="K555" s="22">
        <v>0</v>
      </c>
      <c r="L555" s="22">
        <v>0</v>
      </c>
      <c r="M555" s="10"/>
      <c r="N555" s="67"/>
      <c r="O555" s="11"/>
    </row>
    <row r="556" spans="1:15" x14ac:dyDescent="0.25">
      <c r="A556" s="6"/>
      <c r="B556" s="5"/>
      <c r="C556" s="5"/>
      <c r="D556" s="5" t="s">
        <v>86</v>
      </c>
      <c r="E556" s="5" t="s">
        <v>66</v>
      </c>
      <c r="F556" s="5" t="s">
        <v>552</v>
      </c>
      <c r="G556" s="14">
        <f t="shared" ref="G556:L556" si="136">SUBTOTAL(9,G554:G555)</f>
        <v>0.02</v>
      </c>
      <c r="H556" s="14">
        <f t="shared" si="136"/>
        <v>0</v>
      </c>
      <c r="I556" s="14">
        <f t="shared" si="136"/>
        <v>0</v>
      </c>
      <c r="J556" s="14">
        <f t="shared" si="136"/>
        <v>0</v>
      </c>
      <c r="K556" s="14">
        <f t="shared" si="136"/>
        <v>0</v>
      </c>
      <c r="L556" s="14">
        <f t="shared" si="136"/>
        <v>0.02</v>
      </c>
      <c r="M556" s="10">
        <v>2250</v>
      </c>
      <c r="N556" s="69"/>
      <c r="O556" s="11">
        <f>O552+1</f>
        <v>132</v>
      </c>
    </row>
    <row r="557" spans="1:15" x14ac:dyDescent="0.25">
      <c r="A557" s="10"/>
      <c r="G557" s="21"/>
      <c r="H557" s="21"/>
      <c r="I557" s="21"/>
      <c r="J557" s="21"/>
      <c r="K557" s="21"/>
      <c r="L557" s="21"/>
      <c r="M557" s="10"/>
      <c r="O557" s="11"/>
    </row>
    <row r="558" spans="1:15" s="4" customFormat="1" x14ac:dyDescent="0.25">
      <c r="A558" s="6">
        <v>278</v>
      </c>
      <c r="B558" s="5" t="s">
        <v>550</v>
      </c>
      <c r="C558" s="5" t="s">
        <v>17</v>
      </c>
      <c r="D558" s="5" t="s">
        <v>581</v>
      </c>
      <c r="E558" s="5" t="s">
        <v>88</v>
      </c>
      <c r="F558" s="5" t="s">
        <v>551</v>
      </c>
      <c r="G558" s="22">
        <v>28.43</v>
      </c>
      <c r="H558" s="22">
        <v>0</v>
      </c>
      <c r="I558" s="22">
        <v>0</v>
      </c>
      <c r="J558" s="22">
        <v>0</v>
      </c>
      <c r="K558" s="22">
        <v>-0.56999999999999995</v>
      </c>
      <c r="L558" s="22">
        <v>27.86</v>
      </c>
      <c r="M558" s="10"/>
      <c r="N558" s="67"/>
      <c r="O558" s="11"/>
    </row>
    <row r="559" spans="1:15" s="4" customFormat="1" x14ac:dyDescent="0.25">
      <c r="A559" s="6">
        <v>279</v>
      </c>
      <c r="B559" s="5" t="s">
        <v>550</v>
      </c>
      <c r="C559" s="5" t="s">
        <v>17</v>
      </c>
      <c r="D559" s="5" t="s">
        <v>581</v>
      </c>
      <c r="E559" s="5" t="s">
        <v>88</v>
      </c>
      <c r="F559" s="5" t="s">
        <v>551</v>
      </c>
      <c r="G559" s="22">
        <v>360.05</v>
      </c>
      <c r="H559" s="22">
        <v>0</v>
      </c>
      <c r="I559" s="22">
        <v>0</v>
      </c>
      <c r="J559" s="22">
        <v>0</v>
      </c>
      <c r="K559" s="22">
        <v>-7.2</v>
      </c>
      <c r="L559" s="22">
        <v>352.85</v>
      </c>
      <c r="M559" s="10"/>
      <c r="N559" s="67"/>
      <c r="O559" s="11"/>
    </row>
    <row r="560" spans="1:15" x14ac:dyDescent="0.25">
      <c r="A560" s="6">
        <v>280</v>
      </c>
      <c r="B560" s="5" t="s">
        <v>550</v>
      </c>
      <c r="C560" s="5" t="s">
        <v>13</v>
      </c>
      <c r="D560" s="5" t="s">
        <v>581</v>
      </c>
      <c r="E560" s="5" t="s">
        <v>88</v>
      </c>
      <c r="F560" s="5" t="s">
        <v>551</v>
      </c>
      <c r="G560" s="22">
        <v>0</v>
      </c>
      <c r="H560" s="22">
        <v>0</v>
      </c>
      <c r="I560" s="22">
        <v>0</v>
      </c>
      <c r="J560" s="22">
        <v>3.41</v>
      </c>
      <c r="K560" s="22">
        <v>0</v>
      </c>
      <c r="L560" s="22">
        <v>3.41</v>
      </c>
      <c r="M560" s="10"/>
      <c r="O560" s="11"/>
    </row>
    <row r="561" spans="1:15" x14ac:dyDescent="0.25">
      <c r="A561" s="6">
        <v>281</v>
      </c>
      <c r="B561" s="5" t="s">
        <v>550</v>
      </c>
      <c r="C561" s="5" t="s">
        <v>13</v>
      </c>
      <c r="D561" s="5" t="s">
        <v>581</v>
      </c>
      <c r="E561" s="5" t="s">
        <v>88</v>
      </c>
      <c r="F561" s="5" t="s">
        <v>551</v>
      </c>
      <c r="G561" s="22">
        <v>0</v>
      </c>
      <c r="H561" s="22">
        <v>0</v>
      </c>
      <c r="I561" s="22">
        <v>0</v>
      </c>
      <c r="J561" s="22">
        <v>43.21</v>
      </c>
      <c r="K561" s="22">
        <v>0</v>
      </c>
      <c r="L561" s="22">
        <v>43.21</v>
      </c>
      <c r="M561" s="10"/>
      <c r="O561" s="11"/>
    </row>
    <row r="562" spans="1:15" s="4" customFormat="1" x14ac:dyDescent="0.25">
      <c r="A562" s="6"/>
      <c r="B562" s="5"/>
      <c r="C562" s="5"/>
      <c r="D562" s="5" t="s">
        <v>87</v>
      </c>
      <c r="E562" s="5" t="s">
        <v>88</v>
      </c>
      <c r="F562" s="5" t="s">
        <v>551</v>
      </c>
      <c r="G562" s="14">
        <f t="shared" ref="G562:L562" si="137">SUBTOTAL(9,G558:G561)</f>
        <v>388.48</v>
      </c>
      <c r="H562" s="14">
        <f t="shared" si="137"/>
        <v>0</v>
      </c>
      <c r="I562" s="14">
        <f t="shared" si="137"/>
        <v>0</v>
      </c>
      <c r="J562" s="14">
        <f t="shared" si="137"/>
        <v>46.620000000000005</v>
      </c>
      <c r="K562" s="14">
        <f t="shared" si="137"/>
        <v>-7.7700000000000005</v>
      </c>
      <c r="L562" s="14">
        <f t="shared" si="137"/>
        <v>427.33000000000004</v>
      </c>
      <c r="M562" s="10">
        <v>2251</v>
      </c>
      <c r="N562" s="69"/>
      <c r="O562" s="11">
        <f>O556+1</f>
        <v>133</v>
      </c>
    </row>
    <row r="563" spans="1:15" x14ac:dyDescent="0.25">
      <c r="A563" s="10"/>
      <c r="G563" s="21"/>
      <c r="H563" s="21"/>
      <c r="I563" s="21"/>
      <c r="J563" s="21"/>
      <c r="K563" s="21"/>
      <c r="L563" s="21"/>
      <c r="M563" s="10"/>
      <c r="O563" s="11"/>
    </row>
    <row r="564" spans="1:15" x14ac:dyDescent="0.25">
      <c r="A564" s="6">
        <v>282</v>
      </c>
      <c r="B564" s="5" t="s">
        <v>550</v>
      </c>
      <c r="C564" s="5" t="s">
        <v>17</v>
      </c>
      <c r="D564" s="5" t="s">
        <v>581</v>
      </c>
      <c r="E564" s="5" t="s">
        <v>88</v>
      </c>
      <c r="F564" s="5" t="s">
        <v>552</v>
      </c>
      <c r="G564" s="22">
        <v>0.03</v>
      </c>
      <c r="H564" s="22">
        <v>0</v>
      </c>
      <c r="I564" s="22">
        <v>0</v>
      </c>
      <c r="J564" s="22">
        <v>0</v>
      </c>
      <c r="K564" s="22">
        <v>0</v>
      </c>
      <c r="L564" s="22">
        <v>0.03</v>
      </c>
      <c r="M564" s="10"/>
      <c r="O564" s="11"/>
    </row>
    <row r="565" spans="1:15" s="4" customFormat="1" x14ac:dyDescent="0.25">
      <c r="A565" s="6">
        <v>283</v>
      </c>
      <c r="B565" s="5" t="s">
        <v>550</v>
      </c>
      <c r="C565" s="5" t="s">
        <v>13</v>
      </c>
      <c r="D565" s="5" t="s">
        <v>581</v>
      </c>
      <c r="E565" s="5" t="s">
        <v>88</v>
      </c>
      <c r="F565" s="5" t="s">
        <v>552</v>
      </c>
      <c r="G565" s="22">
        <v>0</v>
      </c>
      <c r="H565" s="22">
        <v>0</v>
      </c>
      <c r="I565" s="22">
        <v>0</v>
      </c>
      <c r="J565" s="22">
        <v>0</v>
      </c>
      <c r="K565" s="22">
        <v>0</v>
      </c>
      <c r="L565" s="22">
        <v>0</v>
      </c>
      <c r="M565" s="10"/>
      <c r="N565" s="67"/>
      <c r="O565" s="11"/>
    </row>
    <row r="566" spans="1:15" x14ac:dyDescent="0.25">
      <c r="A566" s="6"/>
      <c r="B566" s="5"/>
      <c r="C566" s="5"/>
      <c r="D566" s="5" t="s">
        <v>87</v>
      </c>
      <c r="E566" s="5" t="s">
        <v>88</v>
      </c>
      <c r="F566" s="5" t="s">
        <v>552</v>
      </c>
      <c r="G566" s="14">
        <f t="shared" ref="G566:L566" si="138">SUBTOTAL(9,G564:G565)</f>
        <v>0.03</v>
      </c>
      <c r="H566" s="14">
        <f t="shared" si="138"/>
        <v>0</v>
      </c>
      <c r="I566" s="14">
        <f t="shared" si="138"/>
        <v>0</v>
      </c>
      <c r="J566" s="14">
        <f t="shared" si="138"/>
        <v>0</v>
      </c>
      <c r="K566" s="14">
        <f t="shared" si="138"/>
        <v>0</v>
      </c>
      <c r="L566" s="14">
        <f t="shared" si="138"/>
        <v>0.03</v>
      </c>
      <c r="M566" s="10">
        <v>2252</v>
      </c>
      <c r="N566" s="69"/>
      <c r="O566" s="11">
        <f>O562+1</f>
        <v>134</v>
      </c>
    </row>
    <row r="567" spans="1:15" x14ac:dyDescent="0.25">
      <c r="A567" s="10"/>
      <c r="G567" s="21"/>
      <c r="H567" s="21"/>
      <c r="I567" s="21"/>
      <c r="J567" s="21"/>
      <c r="K567" s="21"/>
      <c r="L567" s="21"/>
      <c r="M567" s="10"/>
      <c r="O567" s="11"/>
    </row>
    <row r="568" spans="1:15" s="4" customFormat="1" x14ac:dyDescent="0.25">
      <c r="A568" s="6">
        <v>284</v>
      </c>
      <c r="B568" s="5" t="s">
        <v>550</v>
      </c>
      <c r="C568" s="5" t="s">
        <v>17</v>
      </c>
      <c r="D568" s="5" t="s">
        <v>582</v>
      </c>
      <c r="E568" s="5" t="s">
        <v>90</v>
      </c>
      <c r="F568" s="5" t="s">
        <v>551</v>
      </c>
      <c r="G568" s="22">
        <v>0</v>
      </c>
      <c r="H568" s="22">
        <v>0</v>
      </c>
      <c r="I568" s="22">
        <v>11.34</v>
      </c>
      <c r="J568" s="22">
        <v>0</v>
      </c>
      <c r="K568" s="22">
        <v>-0.23</v>
      </c>
      <c r="L568" s="22">
        <v>11.11</v>
      </c>
      <c r="M568" s="10"/>
      <c r="N568" s="67"/>
      <c r="O568" s="11"/>
    </row>
    <row r="569" spans="1:15" s="4" customFormat="1" x14ac:dyDescent="0.25">
      <c r="A569" s="6"/>
      <c r="B569" s="5"/>
      <c r="C569" s="5"/>
      <c r="D569" s="5" t="s">
        <v>89</v>
      </c>
      <c r="E569" s="5" t="s">
        <v>90</v>
      </c>
      <c r="F569" s="5" t="s">
        <v>551</v>
      </c>
      <c r="G569" s="14">
        <f t="shared" ref="G569:L569" si="139">SUBTOTAL(9,G568:G568)</f>
        <v>0</v>
      </c>
      <c r="H569" s="14">
        <f t="shared" si="139"/>
        <v>0</v>
      </c>
      <c r="I569" s="14">
        <f t="shared" si="139"/>
        <v>11.34</v>
      </c>
      <c r="J569" s="14">
        <f t="shared" si="139"/>
        <v>0</v>
      </c>
      <c r="K569" s="14">
        <f t="shared" si="139"/>
        <v>-0.23</v>
      </c>
      <c r="L569" s="14">
        <f t="shared" si="139"/>
        <v>11.11</v>
      </c>
      <c r="M569" s="10">
        <v>2253</v>
      </c>
      <c r="N569" s="69"/>
      <c r="O569" s="11">
        <f>O566+1</f>
        <v>135</v>
      </c>
    </row>
    <row r="570" spans="1:15" x14ac:dyDescent="0.25">
      <c r="A570" s="10"/>
      <c r="G570" s="21"/>
      <c r="H570" s="21"/>
      <c r="I570" s="21"/>
      <c r="J570" s="21"/>
      <c r="K570" s="21"/>
      <c r="L570" s="21"/>
      <c r="M570" s="10"/>
      <c r="O570" s="11"/>
    </row>
    <row r="571" spans="1:15" x14ac:dyDescent="0.25">
      <c r="A571" s="6">
        <v>285</v>
      </c>
      <c r="B571" s="5" t="s">
        <v>555</v>
      </c>
      <c r="C571" s="5" t="s">
        <v>17</v>
      </c>
      <c r="D571" s="5" t="s">
        <v>91</v>
      </c>
      <c r="E571" s="5" t="s">
        <v>92</v>
      </c>
      <c r="F571" s="5" t="s">
        <v>556</v>
      </c>
      <c r="G571" s="22">
        <v>0.01</v>
      </c>
      <c r="H571" s="22">
        <v>0</v>
      </c>
      <c r="I571" s="22">
        <v>0</v>
      </c>
      <c r="J571" s="22">
        <v>0</v>
      </c>
      <c r="K571" s="22">
        <v>0</v>
      </c>
      <c r="L571" s="22">
        <v>0.01</v>
      </c>
      <c r="M571" s="10"/>
      <c r="O571" s="11"/>
    </row>
    <row r="572" spans="1:15" s="4" customFormat="1" x14ac:dyDescent="0.25">
      <c r="A572" s="6"/>
      <c r="B572" s="5"/>
      <c r="C572" s="5"/>
      <c r="D572" s="5" t="s">
        <v>91</v>
      </c>
      <c r="E572" s="5" t="s">
        <v>92</v>
      </c>
      <c r="F572" s="5" t="s">
        <v>556</v>
      </c>
      <c r="G572" s="14">
        <f t="shared" ref="G572:L572" si="140">SUBTOTAL(9,G571:G571)</f>
        <v>0.01</v>
      </c>
      <c r="H572" s="14">
        <f t="shared" si="140"/>
        <v>0</v>
      </c>
      <c r="I572" s="14">
        <f t="shared" si="140"/>
        <v>0</v>
      </c>
      <c r="J572" s="14">
        <f t="shared" si="140"/>
        <v>0</v>
      </c>
      <c r="K572" s="14">
        <f t="shared" si="140"/>
        <v>0</v>
      </c>
      <c r="L572" s="14">
        <f t="shared" si="140"/>
        <v>0.01</v>
      </c>
      <c r="M572" s="10">
        <v>2254</v>
      </c>
      <c r="N572" s="69"/>
      <c r="O572" s="11">
        <f>O569+1</f>
        <v>136</v>
      </c>
    </row>
    <row r="573" spans="1:15" s="4" customFormat="1" x14ac:dyDescent="0.25">
      <c r="A573" s="10"/>
      <c r="B573"/>
      <c r="C573"/>
      <c r="D573"/>
      <c r="E573"/>
      <c r="F573"/>
      <c r="G573" s="21"/>
      <c r="H573" s="21"/>
      <c r="I573" s="21"/>
      <c r="J573" s="21"/>
      <c r="K573" s="21"/>
      <c r="L573" s="21"/>
      <c r="M573" s="10"/>
      <c r="N573" s="67"/>
      <c r="O573" s="11"/>
    </row>
    <row r="574" spans="1:15" x14ac:dyDescent="0.25">
      <c r="A574" s="6">
        <v>286</v>
      </c>
      <c r="B574" s="5" t="s">
        <v>557</v>
      </c>
      <c r="C574" s="5" t="s">
        <v>17</v>
      </c>
      <c r="D574" s="5" t="s">
        <v>91</v>
      </c>
      <c r="E574" s="5" t="s">
        <v>92</v>
      </c>
      <c r="F574" s="5" t="s">
        <v>558</v>
      </c>
      <c r="G574" s="22">
        <v>0.01</v>
      </c>
      <c r="H574" s="22">
        <v>0</v>
      </c>
      <c r="I574" s="22">
        <v>0</v>
      </c>
      <c r="J574" s="22">
        <v>0</v>
      </c>
      <c r="K574" s="22">
        <v>0</v>
      </c>
      <c r="L574" s="22">
        <v>0.01</v>
      </c>
      <c r="M574" s="10"/>
      <c r="O574" s="11"/>
    </row>
    <row r="575" spans="1:15" x14ac:dyDescent="0.25">
      <c r="A575" s="6"/>
      <c r="B575" s="5"/>
      <c r="C575" s="5"/>
      <c r="D575" s="5" t="s">
        <v>91</v>
      </c>
      <c r="E575" s="5" t="s">
        <v>92</v>
      </c>
      <c r="F575" s="5" t="s">
        <v>558</v>
      </c>
      <c r="G575" s="14">
        <f t="shared" ref="G575:L575" si="141">SUBTOTAL(9,G574:G574)</f>
        <v>0.01</v>
      </c>
      <c r="H575" s="14">
        <f t="shared" si="141"/>
        <v>0</v>
      </c>
      <c r="I575" s="14">
        <f t="shared" si="141"/>
        <v>0</v>
      </c>
      <c r="J575" s="14">
        <f t="shared" si="141"/>
        <v>0</v>
      </c>
      <c r="K575" s="14">
        <f t="shared" si="141"/>
        <v>0</v>
      </c>
      <c r="L575" s="14">
        <f t="shared" si="141"/>
        <v>0.01</v>
      </c>
      <c r="M575" s="10">
        <v>2255</v>
      </c>
      <c r="N575" s="69"/>
      <c r="O575" s="11">
        <f>O572+1</f>
        <v>137</v>
      </c>
    </row>
    <row r="576" spans="1:15" s="4" customFormat="1" x14ac:dyDescent="0.25">
      <c r="A576" s="10"/>
      <c r="B576"/>
      <c r="C576"/>
      <c r="D576"/>
      <c r="E576"/>
      <c r="F576"/>
      <c r="G576" s="21"/>
      <c r="H576" s="21"/>
      <c r="I576" s="21"/>
      <c r="J576" s="21"/>
      <c r="K576" s="21"/>
      <c r="L576" s="21"/>
      <c r="M576" s="10"/>
      <c r="N576" s="67"/>
      <c r="O576" s="11"/>
    </row>
    <row r="577" spans="1:15" x14ac:dyDescent="0.25">
      <c r="A577" s="6">
        <v>287</v>
      </c>
      <c r="B577" s="5" t="s">
        <v>29</v>
      </c>
      <c r="C577" s="5" t="s">
        <v>13</v>
      </c>
      <c r="D577" s="5" t="s">
        <v>91</v>
      </c>
      <c r="E577" s="5" t="s">
        <v>92</v>
      </c>
      <c r="F577" s="5" t="s">
        <v>30</v>
      </c>
      <c r="G577" s="22">
        <v>0</v>
      </c>
      <c r="H577" s="22">
        <v>0</v>
      </c>
      <c r="I577" s="22">
        <v>0</v>
      </c>
      <c r="J577" s="22">
        <v>0</v>
      </c>
      <c r="K577" s="22">
        <v>0</v>
      </c>
      <c r="L577" s="22">
        <v>0</v>
      </c>
      <c r="M577" s="10"/>
      <c r="O577" s="11"/>
    </row>
    <row r="578" spans="1:15" x14ac:dyDescent="0.25">
      <c r="A578" s="28"/>
      <c r="B578" s="29"/>
      <c r="C578" s="29"/>
      <c r="D578" s="29"/>
      <c r="E578" s="29"/>
      <c r="F578" s="29" t="s">
        <v>659</v>
      </c>
      <c r="G578" s="31">
        <f t="shared" ref="G578:L578" si="142">SUBTOTAL(9,G577:G577)</f>
        <v>0</v>
      </c>
      <c r="H578" s="31">
        <f t="shared" si="142"/>
        <v>0</v>
      </c>
      <c r="I578" s="31">
        <f t="shared" si="142"/>
        <v>0</v>
      </c>
      <c r="J578" s="31">
        <f t="shared" si="142"/>
        <v>0</v>
      </c>
      <c r="K578" s="31">
        <f t="shared" si="142"/>
        <v>0</v>
      </c>
      <c r="L578" s="31">
        <f t="shared" si="142"/>
        <v>0</v>
      </c>
      <c r="M578" s="15"/>
      <c r="O578" s="11"/>
    </row>
    <row r="579" spans="1:15" s="4" customFormat="1" x14ac:dyDescent="0.25">
      <c r="A579" s="10"/>
      <c r="B579"/>
      <c r="C579"/>
      <c r="D579"/>
      <c r="E579"/>
      <c r="F579"/>
      <c r="G579" s="21"/>
      <c r="H579" s="21"/>
      <c r="I579" s="21"/>
      <c r="J579" s="21"/>
      <c r="K579" s="21"/>
      <c r="L579" s="21"/>
      <c r="M579" s="10"/>
      <c r="N579" s="67"/>
      <c r="O579" s="11"/>
    </row>
    <row r="580" spans="1:15" x14ac:dyDescent="0.25">
      <c r="A580" s="6">
        <v>288</v>
      </c>
      <c r="B580" s="5" t="s">
        <v>18</v>
      </c>
      <c r="C580" s="5" t="s">
        <v>17</v>
      </c>
      <c r="D580" s="5" t="s">
        <v>91</v>
      </c>
      <c r="E580" s="5" t="s">
        <v>92</v>
      </c>
      <c r="F580" s="5" t="s">
        <v>19</v>
      </c>
      <c r="G580" s="22">
        <v>0.05</v>
      </c>
      <c r="H580" s="22">
        <v>0</v>
      </c>
      <c r="I580" s="22">
        <v>0</v>
      </c>
      <c r="J580" s="22">
        <v>0</v>
      </c>
      <c r="K580" s="22">
        <v>-0.04</v>
      </c>
      <c r="L580" s="22">
        <v>0.01</v>
      </c>
      <c r="M580" s="10"/>
      <c r="O580" s="11"/>
    </row>
    <row r="581" spans="1:15" x14ac:dyDescent="0.25">
      <c r="A581" s="6"/>
      <c r="B581" s="5"/>
      <c r="C581" s="5"/>
      <c r="D581" s="5" t="s">
        <v>91</v>
      </c>
      <c r="E581" s="5" t="s">
        <v>92</v>
      </c>
      <c r="F581" s="5" t="s">
        <v>19</v>
      </c>
      <c r="G581" s="14">
        <f t="shared" ref="G581:L581" si="143">SUBTOTAL(9,G580:G580)</f>
        <v>0.05</v>
      </c>
      <c r="H581" s="14">
        <f t="shared" si="143"/>
        <v>0</v>
      </c>
      <c r="I581" s="14">
        <f t="shared" si="143"/>
        <v>0</v>
      </c>
      <c r="J581" s="14">
        <f t="shared" si="143"/>
        <v>0</v>
      </c>
      <c r="K581" s="14">
        <f t="shared" si="143"/>
        <v>-0.04</v>
      </c>
      <c r="L581" s="14">
        <f t="shared" si="143"/>
        <v>0.01</v>
      </c>
      <c r="M581" s="10">
        <v>2256</v>
      </c>
      <c r="N581" s="69"/>
      <c r="O581" s="11">
        <f>O575+1</f>
        <v>138</v>
      </c>
    </row>
    <row r="582" spans="1:15" s="4" customFormat="1" x14ac:dyDescent="0.25">
      <c r="A582" s="10"/>
      <c r="B582"/>
      <c r="C582"/>
      <c r="D582"/>
      <c r="E582"/>
      <c r="F582"/>
      <c r="G582" s="21"/>
      <c r="H582" s="21"/>
      <c r="I582" s="21"/>
      <c r="J582" s="21"/>
      <c r="K582" s="21"/>
      <c r="L582" s="21"/>
      <c r="M582" s="10"/>
      <c r="N582" s="67"/>
      <c r="O582" s="11"/>
    </row>
    <row r="583" spans="1:15" x14ac:dyDescent="0.25">
      <c r="A583" s="6">
        <v>289</v>
      </c>
      <c r="B583" s="5" t="s">
        <v>550</v>
      </c>
      <c r="C583" s="5" t="s">
        <v>17</v>
      </c>
      <c r="D583" s="5" t="s">
        <v>91</v>
      </c>
      <c r="E583" s="5" t="s">
        <v>92</v>
      </c>
      <c r="F583" s="5" t="s">
        <v>551</v>
      </c>
      <c r="G583" s="22">
        <v>316.13</v>
      </c>
      <c r="H583" s="22">
        <v>0</v>
      </c>
      <c r="I583" s="22">
        <v>0</v>
      </c>
      <c r="J583" s="22">
        <v>0</v>
      </c>
      <c r="K583" s="22">
        <v>-6.32</v>
      </c>
      <c r="L583" s="22">
        <v>309.81</v>
      </c>
      <c r="M583" s="10"/>
      <c r="O583" s="11"/>
    </row>
    <row r="584" spans="1:15" x14ac:dyDescent="0.25">
      <c r="A584" s="6">
        <v>290</v>
      </c>
      <c r="B584" s="5" t="s">
        <v>550</v>
      </c>
      <c r="C584" s="5" t="s">
        <v>13</v>
      </c>
      <c r="D584" s="5" t="s">
        <v>91</v>
      </c>
      <c r="E584" s="5" t="s">
        <v>92</v>
      </c>
      <c r="F584" s="5" t="s">
        <v>551</v>
      </c>
      <c r="G584" s="22">
        <v>0</v>
      </c>
      <c r="H584" s="22">
        <v>0</v>
      </c>
      <c r="I584" s="22">
        <v>0</v>
      </c>
      <c r="J584" s="22">
        <v>37.94</v>
      </c>
      <c r="K584" s="22">
        <v>0</v>
      </c>
      <c r="L584" s="22">
        <v>37.94</v>
      </c>
      <c r="M584" s="10"/>
      <c r="O584" s="11"/>
    </row>
    <row r="585" spans="1:15" s="4" customFormat="1" x14ac:dyDescent="0.25">
      <c r="A585" s="6"/>
      <c r="B585" s="5"/>
      <c r="C585" s="5"/>
      <c r="D585" s="5" t="s">
        <v>91</v>
      </c>
      <c r="E585" s="5" t="s">
        <v>92</v>
      </c>
      <c r="F585" s="5" t="s">
        <v>551</v>
      </c>
      <c r="G585" s="14">
        <f t="shared" ref="G585:L585" si="144">SUBTOTAL(9,G583:G584)</f>
        <v>316.13</v>
      </c>
      <c r="H585" s="14">
        <f t="shared" si="144"/>
        <v>0</v>
      </c>
      <c r="I585" s="14">
        <f t="shared" si="144"/>
        <v>0</v>
      </c>
      <c r="J585" s="14">
        <f t="shared" si="144"/>
        <v>37.94</v>
      </c>
      <c r="K585" s="14">
        <f t="shared" si="144"/>
        <v>-6.32</v>
      </c>
      <c r="L585" s="14">
        <f t="shared" si="144"/>
        <v>347.75</v>
      </c>
      <c r="M585" s="10">
        <v>2257</v>
      </c>
      <c r="N585" s="69"/>
      <c r="O585" s="11">
        <f>O581+1</f>
        <v>139</v>
      </c>
    </row>
    <row r="586" spans="1:15" x14ac:dyDescent="0.25">
      <c r="A586" s="10"/>
      <c r="G586" s="21"/>
      <c r="H586" s="21"/>
      <c r="I586" s="21"/>
      <c r="J586" s="21"/>
      <c r="K586" s="21"/>
      <c r="L586" s="21"/>
      <c r="M586" s="10"/>
      <c r="O586" s="11"/>
    </row>
    <row r="587" spans="1:15" x14ac:dyDescent="0.25">
      <c r="A587" s="6">
        <v>291</v>
      </c>
      <c r="B587" s="5" t="s">
        <v>550</v>
      </c>
      <c r="C587" s="5" t="s">
        <v>17</v>
      </c>
      <c r="D587" s="5" t="s">
        <v>91</v>
      </c>
      <c r="E587" s="5" t="s">
        <v>92</v>
      </c>
      <c r="F587" s="5" t="s">
        <v>552</v>
      </c>
      <c r="G587" s="22">
        <v>0.02</v>
      </c>
      <c r="H587" s="22">
        <v>0</v>
      </c>
      <c r="I587" s="22">
        <v>0</v>
      </c>
      <c r="J587" s="22">
        <v>0</v>
      </c>
      <c r="K587" s="22">
        <v>0</v>
      </c>
      <c r="L587" s="22">
        <v>0.02</v>
      </c>
      <c r="M587" s="10"/>
      <c r="O587" s="11"/>
    </row>
    <row r="588" spans="1:15" s="4" customFormat="1" x14ac:dyDescent="0.25">
      <c r="A588" s="6">
        <v>292</v>
      </c>
      <c r="B588" s="5" t="s">
        <v>550</v>
      </c>
      <c r="C588" s="5" t="s">
        <v>13</v>
      </c>
      <c r="D588" s="5" t="s">
        <v>91</v>
      </c>
      <c r="E588" s="5" t="s">
        <v>92</v>
      </c>
      <c r="F588" s="5" t="s">
        <v>552</v>
      </c>
      <c r="G588" s="22">
        <v>0</v>
      </c>
      <c r="H588" s="22">
        <v>0</v>
      </c>
      <c r="I588" s="22">
        <v>0</v>
      </c>
      <c r="J588" s="22">
        <v>0</v>
      </c>
      <c r="K588" s="22">
        <v>0</v>
      </c>
      <c r="L588" s="22">
        <v>0</v>
      </c>
      <c r="M588" s="10"/>
      <c r="N588" s="67"/>
      <c r="O588" s="11"/>
    </row>
    <row r="589" spans="1:15" x14ac:dyDescent="0.25">
      <c r="A589" s="6"/>
      <c r="B589" s="5"/>
      <c r="C589" s="5"/>
      <c r="D589" s="5" t="s">
        <v>91</v>
      </c>
      <c r="E589" s="5" t="s">
        <v>92</v>
      </c>
      <c r="F589" s="5" t="s">
        <v>552</v>
      </c>
      <c r="G589" s="14">
        <f t="shared" ref="G589:L589" si="145">SUBTOTAL(9,G587:G588)</f>
        <v>0.02</v>
      </c>
      <c r="H589" s="14">
        <f t="shared" si="145"/>
        <v>0</v>
      </c>
      <c r="I589" s="14">
        <f t="shared" si="145"/>
        <v>0</v>
      </c>
      <c r="J589" s="14">
        <f t="shared" si="145"/>
        <v>0</v>
      </c>
      <c r="K589" s="14">
        <f t="shared" si="145"/>
        <v>0</v>
      </c>
      <c r="L589" s="14">
        <f t="shared" si="145"/>
        <v>0.02</v>
      </c>
      <c r="M589" s="10">
        <v>2258</v>
      </c>
      <c r="N589" s="69"/>
      <c r="O589" s="11">
        <f>O585+1</f>
        <v>140</v>
      </c>
    </row>
    <row r="590" spans="1:15" x14ac:dyDescent="0.25">
      <c r="A590" s="10"/>
      <c r="G590" s="21"/>
      <c r="H590" s="21"/>
      <c r="I590" s="21"/>
      <c r="J590" s="21"/>
      <c r="K590" s="21"/>
      <c r="L590" s="21"/>
      <c r="M590" s="10"/>
      <c r="O590" s="11"/>
    </row>
    <row r="591" spans="1:15" s="4" customFormat="1" x14ac:dyDescent="0.25">
      <c r="A591" s="6">
        <v>293</v>
      </c>
      <c r="B591" s="5" t="s">
        <v>18</v>
      </c>
      <c r="C591" s="5" t="s">
        <v>17</v>
      </c>
      <c r="D591" s="5" t="s">
        <v>93</v>
      </c>
      <c r="E591" s="5" t="s">
        <v>94</v>
      </c>
      <c r="F591" s="5" t="s">
        <v>19</v>
      </c>
      <c r="G591" s="22">
        <v>0.3</v>
      </c>
      <c r="H591" s="22">
        <v>0</v>
      </c>
      <c r="I591" s="22">
        <v>0</v>
      </c>
      <c r="J591" s="22">
        <v>0</v>
      </c>
      <c r="K591" s="22">
        <v>-0.27</v>
      </c>
      <c r="L591" s="22">
        <v>0.03</v>
      </c>
      <c r="M591" s="10"/>
      <c r="N591" s="67"/>
      <c r="O591" s="11"/>
    </row>
    <row r="592" spans="1:15" x14ac:dyDescent="0.25">
      <c r="A592" s="6">
        <v>294</v>
      </c>
      <c r="B592" s="5" t="s">
        <v>18</v>
      </c>
      <c r="C592" s="5" t="s">
        <v>13</v>
      </c>
      <c r="D592" s="5" t="s">
        <v>93</v>
      </c>
      <c r="E592" s="5" t="s">
        <v>94</v>
      </c>
      <c r="F592" s="5" t="s">
        <v>19</v>
      </c>
      <c r="G592" s="22">
        <v>0</v>
      </c>
      <c r="H592" s="22">
        <v>0</v>
      </c>
      <c r="I592" s="22">
        <v>0</v>
      </c>
      <c r="J592" s="22">
        <v>0.82</v>
      </c>
      <c r="K592" s="22">
        <v>0</v>
      </c>
      <c r="L592" s="22">
        <v>0.82</v>
      </c>
      <c r="M592" s="10"/>
      <c r="O592" s="11"/>
    </row>
    <row r="593" spans="1:15" x14ac:dyDescent="0.25">
      <c r="A593" s="6"/>
      <c r="B593" s="5"/>
      <c r="C593" s="5"/>
      <c r="D593" s="5" t="s">
        <v>93</v>
      </c>
      <c r="E593" s="5" t="s">
        <v>94</v>
      </c>
      <c r="F593" s="5" t="s">
        <v>19</v>
      </c>
      <c r="G593" s="14">
        <f t="shared" ref="G593:L593" si="146">SUBTOTAL(9,G591:G592)</f>
        <v>0.3</v>
      </c>
      <c r="H593" s="14">
        <f t="shared" si="146"/>
        <v>0</v>
      </c>
      <c r="I593" s="14">
        <f t="shared" si="146"/>
        <v>0</v>
      </c>
      <c r="J593" s="14">
        <f t="shared" si="146"/>
        <v>0.82</v>
      </c>
      <c r="K593" s="14">
        <f t="shared" si="146"/>
        <v>-0.27</v>
      </c>
      <c r="L593" s="14">
        <f t="shared" si="146"/>
        <v>0.85</v>
      </c>
      <c r="M593" s="10">
        <v>2259</v>
      </c>
      <c r="N593" s="69"/>
      <c r="O593" s="11">
        <f>O589+1</f>
        <v>141</v>
      </c>
    </row>
    <row r="594" spans="1:15" s="4" customFormat="1" x14ac:dyDescent="0.25">
      <c r="A594" s="10"/>
      <c r="B594"/>
      <c r="C594"/>
      <c r="D594"/>
      <c r="E594"/>
      <c r="F594"/>
      <c r="G594" s="21"/>
      <c r="H594" s="21"/>
      <c r="I594" s="21"/>
      <c r="J594" s="21"/>
      <c r="K594" s="21"/>
      <c r="L594" s="21"/>
      <c r="M594" s="10"/>
      <c r="N594" s="67"/>
      <c r="O594" s="11"/>
    </row>
    <row r="595" spans="1:15" x14ac:dyDescent="0.25">
      <c r="A595" s="6">
        <v>295</v>
      </c>
      <c r="B595" s="5" t="s">
        <v>20</v>
      </c>
      <c r="C595" s="5" t="s">
        <v>13</v>
      </c>
      <c r="D595" s="5" t="s">
        <v>93</v>
      </c>
      <c r="E595" s="5" t="s">
        <v>94</v>
      </c>
      <c r="F595" s="5" t="s">
        <v>21</v>
      </c>
      <c r="G595" s="22">
        <v>0</v>
      </c>
      <c r="H595" s="22">
        <v>0</v>
      </c>
      <c r="I595" s="22">
        <v>0</v>
      </c>
      <c r="J595" s="22">
        <v>9.2200000000000006</v>
      </c>
      <c r="K595" s="22">
        <v>0</v>
      </c>
      <c r="L595" s="22">
        <v>9.2200000000000006</v>
      </c>
      <c r="M595" s="10"/>
      <c r="O595" s="11"/>
    </row>
    <row r="596" spans="1:15" x14ac:dyDescent="0.25">
      <c r="A596" s="6"/>
      <c r="B596" s="5"/>
      <c r="C596" s="5"/>
      <c r="D596" s="5" t="s">
        <v>93</v>
      </c>
      <c r="E596" s="5" t="s">
        <v>94</v>
      </c>
      <c r="F596" s="5" t="s">
        <v>21</v>
      </c>
      <c r="G596" s="14">
        <f t="shared" ref="G596:L596" si="147">SUBTOTAL(9,G595:G595)</f>
        <v>0</v>
      </c>
      <c r="H596" s="14">
        <f t="shared" si="147"/>
        <v>0</v>
      </c>
      <c r="I596" s="14">
        <f t="shared" si="147"/>
        <v>0</v>
      </c>
      <c r="J596" s="14">
        <f t="shared" si="147"/>
        <v>9.2200000000000006</v>
      </c>
      <c r="K596" s="14">
        <f t="shared" si="147"/>
        <v>0</v>
      </c>
      <c r="L596" s="14">
        <f t="shared" si="147"/>
        <v>9.2200000000000006</v>
      </c>
      <c r="M596" s="10">
        <v>2260</v>
      </c>
      <c r="N596" s="69"/>
      <c r="O596" s="11">
        <f>O593+1</f>
        <v>142</v>
      </c>
    </row>
    <row r="597" spans="1:15" s="4" customFormat="1" x14ac:dyDescent="0.25">
      <c r="A597" s="10"/>
      <c r="B597"/>
      <c r="C597"/>
      <c r="D597"/>
      <c r="E597"/>
      <c r="F597"/>
      <c r="G597" s="21"/>
      <c r="H597" s="21"/>
      <c r="I597" s="21"/>
      <c r="J597" s="21"/>
      <c r="K597" s="21"/>
      <c r="L597" s="21"/>
      <c r="M597" s="10"/>
      <c r="N597" s="67"/>
      <c r="O597" s="11"/>
    </row>
    <row r="598" spans="1:15" x14ac:dyDescent="0.25">
      <c r="A598" s="6">
        <v>296</v>
      </c>
      <c r="B598" s="5" t="s">
        <v>22</v>
      </c>
      <c r="C598" s="5" t="s">
        <v>17</v>
      </c>
      <c r="D598" s="5" t="s">
        <v>93</v>
      </c>
      <c r="E598" s="5" t="s">
        <v>94</v>
      </c>
      <c r="F598" s="5" t="s">
        <v>23</v>
      </c>
      <c r="G598" s="22">
        <v>3.03</v>
      </c>
      <c r="H598" s="22">
        <v>0</v>
      </c>
      <c r="I598" s="22">
        <v>0</v>
      </c>
      <c r="J598" s="22">
        <v>0</v>
      </c>
      <c r="K598" s="22">
        <v>-0.06</v>
      </c>
      <c r="L598" s="22">
        <v>2.97</v>
      </c>
      <c r="M598" s="10"/>
      <c r="O598" s="11"/>
    </row>
    <row r="599" spans="1:15" x14ac:dyDescent="0.25">
      <c r="A599" s="6">
        <v>297</v>
      </c>
      <c r="B599" s="5" t="s">
        <v>22</v>
      </c>
      <c r="C599" s="5" t="s">
        <v>13</v>
      </c>
      <c r="D599" s="5" t="s">
        <v>93</v>
      </c>
      <c r="E599" s="5" t="s">
        <v>94</v>
      </c>
      <c r="F599" s="5" t="s">
        <v>23</v>
      </c>
      <c r="G599" s="22">
        <v>0</v>
      </c>
      <c r="H599" s="22">
        <v>0</v>
      </c>
      <c r="I599" s="22">
        <v>0</v>
      </c>
      <c r="J599" s="22">
        <v>140.13</v>
      </c>
      <c r="K599" s="22">
        <v>0</v>
      </c>
      <c r="L599" s="22">
        <v>140.13</v>
      </c>
      <c r="M599" s="10"/>
      <c r="O599" s="11"/>
    </row>
    <row r="600" spans="1:15" s="4" customFormat="1" x14ac:dyDescent="0.25">
      <c r="A600" s="6"/>
      <c r="B600" s="5"/>
      <c r="C600" s="5"/>
      <c r="D600" s="5" t="s">
        <v>93</v>
      </c>
      <c r="E600" s="5" t="s">
        <v>94</v>
      </c>
      <c r="F600" s="5" t="s">
        <v>23</v>
      </c>
      <c r="G600" s="14">
        <f t="shared" ref="G600:L600" si="148">SUBTOTAL(9,G598:G599)</f>
        <v>3.03</v>
      </c>
      <c r="H600" s="14">
        <f t="shared" si="148"/>
        <v>0</v>
      </c>
      <c r="I600" s="14">
        <f t="shared" si="148"/>
        <v>0</v>
      </c>
      <c r="J600" s="14">
        <f t="shared" si="148"/>
        <v>140.13</v>
      </c>
      <c r="K600" s="14">
        <f t="shared" si="148"/>
        <v>-0.06</v>
      </c>
      <c r="L600" s="14">
        <f t="shared" si="148"/>
        <v>143.1</v>
      </c>
      <c r="M600" s="10">
        <v>2261</v>
      </c>
      <c r="N600" s="69"/>
      <c r="O600" s="11">
        <f>O596+1</f>
        <v>143</v>
      </c>
    </row>
    <row r="601" spans="1:15" s="4" customFormat="1" x14ac:dyDescent="0.25">
      <c r="A601" s="10"/>
      <c r="B601"/>
      <c r="C601"/>
      <c r="D601"/>
      <c r="E601"/>
      <c r="F601"/>
      <c r="G601" s="21"/>
      <c r="H601" s="21"/>
      <c r="I601" s="21"/>
      <c r="J601" s="21"/>
      <c r="K601" s="21"/>
      <c r="L601" s="21"/>
      <c r="M601" s="10"/>
      <c r="N601" s="67"/>
      <c r="O601" s="11"/>
    </row>
    <row r="602" spans="1:15" x14ac:dyDescent="0.25">
      <c r="A602" s="6">
        <v>298</v>
      </c>
      <c r="B602" s="5" t="s">
        <v>22</v>
      </c>
      <c r="C602" s="5" t="s">
        <v>17</v>
      </c>
      <c r="D602" s="5" t="s">
        <v>93</v>
      </c>
      <c r="E602" s="5" t="s">
        <v>94</v>
      </c>
      <c r="F602" s="5" t="s">
        <v>24</v>
      </c>
      <c r="G602" s="22">
        <v>0.01</v>
      </c>
      <c r="H602" s="22">
        <v>0</v>
      </c>
      <c r="I602" s="22">
        <v>0</v>
      </c>
      <c r="J602" s="22">
        <v>0</v>
      </c>
      <c r="K602" s="22">
        <v>0</v>
      </c>
      <c r="L602" s="22">
        <v>0.01</v>
      </c>
      <c r="M602" s="10"/>
      <c r="O602" s="11"/>
    </row>
    <row r="603" spans="1:15" x14ac:dyDescent="0.25">
      <c r="A603" s="6">
        <v>299</v>
      </c>
      <c r="B603" s="5" t="s">
        <v>22</v>
      </c>
      <c r="C603" s="5" t="s">
        <v>13</v>
      </c>
      <c r="D603" s="5" t="s">
        <v>93</v>
      </c>
      <c r="E603" s="5" t="s">
        <v>94</v>
      </c>
      <c r="F603" s="5" t="s">
        <v>24</v>
      </c>
      <c r="G603" s="22">
        <v>0</v>
      </c>
      <c r="H603" s="22">
        <v>0</v>
      </c>
      <c r="I603" s="22">
        <v>0</v>
      </c>
      <c r="J603" s="22">
        <v>0.27</v>
      </c>
      <c r="K603" s="22">
        <v>0</v>
      </c>
      <c r="L603" s="22">
        <v>0.27</v>
      </c>
      <c r="M603" s="10"/>
      <c r="O603" s="11"/>
    </row>
    <row r="604" spans="1:15" s="4" customFormat="1" x14ac:dyDescent="0.25">
      <c r="A604" s="6"/>
      <c r="B604" s="5"/>
      <c r="C604" s="5"/>
      <c r="D604" s="5" t="s">
        <v>93</v>
      </c>
      <c r="E604" s="5" t="s">
        <v>94</v>
      </c>
      <c r="F604" s="5" t="s">
        <v>24</v>
      </c>
      <c r="G604" s="14">
        <f t="shared" ref="G604:L604" si="149">SUBTOTAL(9,G602:G603)</f>
        <v>0.01</v>
      </c>
      <c r="H604" s="14">
        <f t="shared" si="149"/>
        <v>0</v>
      </c>
      <c r="I604" s="14">
        <f t="shared" si="149"/>
        <v>0</v>
      </c>
      <c r="J604" s="14">
        <f t="shared" si="149"/>
        <v>0.27</v>
      </c>
      <c r="K604" s="14">
        <f t="shared" si="149"/>
        <v>0</v>
      </c>
      <c r="L604" s="14">
        <f t="shared" si="149"/>
        <v>0.28000000000000003</v>
      </c>
      <c r="M604" s="10">
        <v>2262</v>
      </c>
      <c r="N604" s="69"/>
      <c r="O604" s="11">
        <f>O600+1</f>
        <v>144</v>
      </c>
    </row>
    <row r="605" spans="1:15" s="4" customFormat="1" x14ac:dyDescent="0.25">
      <c r="A605" s="10"/>
      <c r="B605"/>
      <c r="C605"/>
      <c r="D605"/>
      <c r="E605"/>
      <c r="F605"/>
      <c r="G605" s="21"/>
      <c r="H605" s="21"/>
      <c r="I605" s="21"/>
      <c r="J605" s="21"/>
      <c r="K605" s="21"/>
      <c r="L605" s="21"/>
      <c r="M605" s="10"/>
      <c r="N605" s="67"/>
      <c r="O605" s="11"/>
    </row>
    <row r="606" spans="1:15" x14ac:dyDescent="0.25">
      <c r="A606" s="6">
        <v>300</v>
      </c>
      <c r="B606" s="5" t="s">
        <v>550</v>
      </c>
      <c r="C606" s="5" t="s">
        <v>17</v>
      </c>
      <c r="D606" s="5" t="s">
        <v>93</v>
      </c>
      <c r="E606" s="5" t="s">
        <v>94</v>
      </c>
      <c r="F606" s="5" t="s">
        <v>551</v>
      </c>
      <c r="G606" s="22">
        <v>3836.56</v>
      </c>
      <c r="H606" s="22">
        <v>0</v>
      </c>
      <c r="I606" s="22">
        <v>0</v>
      </c>
      <c r="J606" s="22">
        <v>0</v>
      </c>
      <c r="K606" s="22">
        <v>-76.73</v>
      </c>
      <c r="L606" s="22">
        <v>3759.83</v>
      </c>
      <c r="M606" s="10"/>
      <c r="O606" s="11"/>
    </row>
    <row r="607" spans="1:15" x14ac:dyDescent="0.25">
      <c r="A607" s="6">
        <v>301</v>
      </c>
      <c r="B607" s="5" t="s">
        <v>550</v>
      </c>
      <c r="C607" s="5" t="s">
        <v>13</v>
      </c>
      <c r="D607" s="5" t="s">
        <v>93</v>
      </c>
      <c r="E607" s="5" t="s">
        <v>94</v>
      </c>
      <c r="F607" s="5" t="s">
        <v>551</v>
      </c>
      <c r="G607" s="22">
        <v>0</v>
      </c>
      <c r="H607" s="22">
        <v>0</v>
      </c>
      <c r="I607" s="22">
        <v>0</v>
      </c>
      <c r="J607" s="22">
        <v>460.39</v>
      </c>
      <c r="K607" s="22">
        <v>0</v>
      </c>
      <c r="L607" s="22">
        <v>460.39</v>
      </c>
      <c r="M607" s="10"/>
      <c r="O607" s="11"/>
    </row>
    <row r="608" spans="1:15" s="4" customFormat="1" x14ac:dyDescent="0.25">
      <c r="A608" s="6"/>
      <c r="B608" s="5"/>
      <c r="C608" s="5"/>
      <c r="D608" s="5" t="s">
        <v>93</v>
      </c>
      <c r="E608" s="5" t="s">
        <v>94</v>
      </c>
      <c r="F608" s="5" t="s">
        <v>551</v>
      </c>
      <c r="G608" s="14">
        <f t="shared" ref="G608:L608" si="150">SUBTOTAL(9,G606:G607)</f>
        <v>3836.56</v>
      </c>
      <c r="H608" s="14">
        <f t="shared" si="150"/>
        <v>0</v>
      </c>
      <c r="I608" s="14">
        <f t="shared" si="150"/>
        <v>0</v>
      </c>
      <c r="J608" s="14">
        <f t="shared" si="150"/>
        <v>460.39</v>
      </c>
      <c r="K608" s="14">
        <f t="shared" si="150"/>
        <v>-76.73</v>
      </c>
      <c r="L608" s="14">
        <f t="shared" si="150"/>
        <v>4220.22</v>
      </c>
      <c r="M608" s="10">
        <v>2263</v>
      </c>
      <c r="N608" s="69"/>
      <c r="O608" s="11">
        <f>O604+1</f>
        <v>145</v>
      </c>
    </row>
    <row r="609" spans="1:15" x14ac:dyDescent="0.25">
      <c r="A609" s="10"/>
      <c r="G609" s="21"/>
      <c r="H609" s="21"/>
      <c r="I609" s="21"/>
      <c r="J609" s="21"/>
      <c r="K609" s="21"/>
      <c r="L609" s="21"/>
      <c r="M609" s="10"/>
      <c r="O609" s="11"/>
    </row>
    <row r="610" spans="1:15" x14ac:dyDescent="0.25">
      <c r="A610" s="6">
        <v>302</v>
      </c>
      <c r="B610" s="5" t="s">
        <v>550</v>
      </c>
      <c r="C610" s="5" t="s">
        <v>17</v>
      </c>
      <c r="D610" s="5" t="s">
        <v>93</v>
      </c>
      <c r="E610" s="5" t="s">
        <v>94</v>
      </c>
      <c r="F610" s="5" t="s">
        <v>552</v>
      </c>
      <c r="G610" s="22">
        <v>0.28000000000000003</v>
      </c>
      <c r="H610" s="22">
        <v>0</v>
      </c>
      <c r="I610" s="22">
        <v>0</v>
      </c>
      <c r="J610" s="22">
        <v>0</v>
      </c>
      <c r="K610" s="22">
        <v>-0.01</v>
      </c>
      <c r="L610" s="22">
        <v>0.27</v>
      </c>
      <c r="M610" s="10"/>
      <c r="O610" s="11"/>
    </row>
    <row r="611" spans="1:15" s="4" customFormat="1" x14ac:dyDescent="0.25">
      <c r="A611" s="6">
        <v>303</v>
      </c>
      <c r="B611" s="5" t="s">
        <v>550</v>
      </c>
      <c r="C611" s="5" t="s">
        <v>13</v>
      </c>
      <c r="D611" s="5" t="s">
        <v>93</v>
      </c>
      <c r="E611" s="5" t="s">
        <v>94</v>
      </c>
      <c r="F611" s="5" t="s">
        <v>552</v>
      </c>
      <c r="G611" s="22">
        <v>0</v>
      </c>
      <c r="H611" s="22">
        <v>0</v>
      </c>
      <c r="I611" s="22">
        <v>0</v>
      </c>
      <c r="J611" s="22">
        <v>0.03</v>
      </c>
      <c r="K611" s="22">
        <v>0</v>
      </c>
      <c r="L611" s="22">
        <v>0.03</v>
      </c>
      <c r="M611" s="10"/>
      <c r="N611" s="67"/>
      <c r="O611" s="11"/>
    </row>
    <row r="612" spans="1:15" x14ac:dyDescent="0.25">
      <c r="A612" s="6"/>
      <c r="B612" s="5"/>
      <c r="C612" s="5"/>
      <c r="D612" s="5" t="s">
        <v>93</v>
      </c>
      <c r="E612" s="5" t="s">
        <v>94</v>
      </c>
      <c r="F612" s="5" t="s">
        <v>552</v>
      </c>
      <c r="G612" s="14">
        <f t="shared" ref="G612:L612" si="151">SUBTOTAL(9,G610:G611)</f>
        <v>0.28000000000000003</v>
      </c>
      <c r="H612" s="14">
        <f t="shared" si="151"/>
        <v>0</v>
      </c>
      <c r="I612" s="14">
        <f t="shared" si="151"/>
        <v>0</v>
      </c>
      <c r="J612" s="14">
        <f t="shared" si="151"/>
        <v>0.03</v>
      </c>
      <c r="K612" s="14">
        <f t="shared" si="151"/>
        <v>-0.01</v>
      </c>
      <c r="L612" s="14">
        <f t="shared" si="151"/>
        <v>0.30000000000000004</v>
      </c>
      <c r="M612" s="10">
        <v>2264</v>
      </c>
      <c r="N612" s="69"/>
      <c r="O612" s="11">
        <f>O608+1</f>
        <v>146</v>
      </c>
    </row>
    <row r="613" spans="1:15" x14ac:dyDescent="0.25">
      <c r="A613" s="10"/>
      <c r="G613" s="21"/>
      <c r="H613" s="21"/>
      <c r="I613" s="21"/>
      <c r="J613" s="21"/>
      <c r="K613" s="21"/>
      <c r="L613" s="21"/>
      <c r="M613" s="10"/>
      <c r="O613" s="11"/>
    </row>
    <row r="614" spans="1:15" s="4" customFormat="1" x14ac:dyDescent="0.25">
      <c r="A614" s="6">
        <v>304</v>
      </c>
      <c r="B614" s="5" t="s">
        <v>559</v>
      </c>
      <c r="C614" s="5" t="s">
        <v>17</v>
      </c>
      <c r="D614" s="5" t="s">
        <v>95</v>
      </c>
      <c r="E614" s="5" t="s">
        <v>96</v>
      </c>
      <c r="F614" s="5" t="s">
        <v>560</v>
      </c>
      <c r="G614" s="22">
        <v>3.95</v>
      </c>
      <c r="H614" s="22">
        <v>0</v>
      </c>
      <c r="I614" s="22">
        <v>0</v>
      </c>
      <c r="J614" s="22">
        <v>0</v>
      </c>
      <c r="K614" s="22">
        <v>-0.08</v>
      </c>
      <c r="L614" s="22">
        <v>3.87</v>
      </c>
      <c r="M614" s="10"/>
      <c r="N614" s="67"/>
      <c r="O614" s="11"/>
    </row>
    <row r="615" spans="1:15" x14ac:dyDescent="0.25">
      <c r="A615" s="6">
        <v>305</v>
      </c>
      <c r="B615" s="5" t="s">
        <v>559</v>
      </c>
      <c r="C615" s="5" t="s">
        <v>13</v>
      </c>
      <c r="D615" s="5" t="s">
        <v>95</v>
      </c>
      <c r="E615" s="5" t="s">
        <v>96</v>
      </c>
      <c r="F615" s="5" t="s">
        <v>560</v>
      </c>
      <c r="G615" s="22">
        <v>0</v>
      </c>
      <c r="H615" s="22">
        <v>0</v>
      </c>
      <c r="I615" s="22">
        <v>0</v>
      </c>
      <c r="J615" s="22">
        <v>0.47</v>
      </c>
      <c r="K615" s="22">
        <v>0</v>
      </c>
      <c r="L615" s="22">
        <v>0.47</v>
      </c>
      <c r="M615" s="10"/>
      <c r="O615" s="11"/>
    </row>
    <row r="616" spans="1:15" x14ac:dyDescent="0.25">
      <c r="A616" s="6"/>
      <c r="B616" s="5"/>
      <c r="C616" s="5"/>
      <c r="D616" s="5" t="s">
        <v>95</v>
      </c>
      <c r="E616" s="5" t="s">
        <v>96</v>
      </c>
      <c r="F616" s="5" t="s">
        <v>560</v>
      </c>
      <c r="G616" s="14">
        <f t="shared" ref="G616:L616" si="152">SUBTOTAL(9,G614:G615)</f>
        <v>3.95</v>
      </c>
      <c r="H616" s="14">
        <f t="shared" si="152"/>
        <v>0</v>
      </c>
      <c r="I616" s="14">
        <f t="shared" si="152"/>
        <v>0</v>
      </c>
      <c r="J616" s="14">
        <f t="shared" si="152"/>
        <v>0.47</v>
      </c>
      <c r="K616" s="14">
        <f t="shared" si="152"/>
        <v>-0.08</v>
      </c>
      <c r="L616" s="14">
        <f t="shared" si="152"/>
        <v>4.34</v>
      </c>
      <c r="M616" s="10">
        <v>2265</v>
      </c>
      <c r="N616" s="69"/>
      <c r="O616" s="11">
        <f>O612+1</f>
        <v>147</v>
      </c>
    </row>
    <row r="617" spans="1:15" s="4" customFormat="1" x14ac:dyDescent="0.25">
      <c r="A617" s="10"/>
      <c r="B617"/>
      <c r="C617"/>
      <c r="D617"/>
      <c r="E617"/>
      <c r="F617"/>
      <c r="G617" s="21"/>
      <c r="H617" s="21"/>
      <c r="I617" s="21"/>
      <c r="J617" s="21"/>
      <c r="K617" s="21"/>
      <c r="L617" s="21"/>
      <c r="M617" s="10"/>
      <c r="N617" s="67"/>
      <c r="O617" s="11"/>
    </row>
    <row r="618" spans="1:15" x14ac:dyDescent="0.25">
      <c r="A618" s="6">
        <v>306</v>
      </c>
      <c r="B618" s="5" t="s">
        <v>18</v>
      </c>
      <c r="C618" s="5" t="s">
        <v>17</v>
      </c>
      <c r="D618" s="5" t="s">
        <v>95</v>
      </c>
      <c r="E618" s="5" t="s">
        <v>96</v>
      </c>
      <c r="F618" s="5" t="s">
        <v>19</v>
      </c>
      <c r="G618" s="22">
        <v>1.71</v>
      </c>
      <c r="H618" s="22">
        <v>0</v>
      </c>
      <c r="I618" s="22">
        <v>0</v>
      </c>
      <c r="J618" s="22">
        <v>0</v>
      </c>
      <c r="K618" s="22">
        <v>-1.51</v>
      </c>
      <c r="L618" s="22">
        <v>0.2</v>
      </c>
      <c r="M618" s="10"/>
      <c r="O618" s="11"/>
    </row>
    <row r="619" spans="1:15" x14ac:dyDescent="0.25">
      <c r="A619" s="6"/>
      <c r="B619" s="5"/>
      <c r="C619" s="5"/>
      <c r="D619" s="5" t="s">
        <v>95</v>
      </c>
      <c r="E619" s="5" t="s">
        <v>96</v>
      </c>
      <c r="F619" s="5" t="s">
        <v>19</v>
      </c>
      <c r="G619" s="14">
        <f t="shared" ref="G619:L619" si="153">SUBTOTAL(9,G618:G618)</f>
        <v>1.71</v>
      </c>
      <c r="H619" s="14">
        <f t="shared" si="153"/>
        <v>0</v>
      </c>
      <c r="I619" s="14">
        <f t="shared" si="153"/>
        <v>0</v>
      </c>
      <c r="J619" s="14">
        <f t="shared" si="153"/>
        <v>0</v>
      </c>
      <c r="K619" s="14">
        <f t="shared" si="153"/>
        <v>-1.51</v>
      </c>
      <c r="L619" s="14">
        <f t="shared" si="153"/>
        <v>0.2</v>
      </c>
      <c r="M619" s="10">
        <v>2266</v>
      </c>
      <c r="N619" s="69"/>
      <c r="O619" s="11">
        <f>O616+1</f>
        <v>148</v>
      </c>
    </row>
    <row r="620" spans="1:15" s="4" customFormat="1" x14ac:dyDescent="0.25">
      <c r="A620" s="10"/>
      <c r="B620"/>
      <c r="C620"/>
      <c r="D620"/>
      <c r="E620"/>
      <c r="F620"/>
      <c r="G620" s="21"/>
      <c r="H620" s="21"/>
      <c r="I620" s="21"/>
      <c r="J620" s="21"/>
      <c r="K620" s="21"/>
      <c r="L620" s="21"/>
      <c r="M620" s="10"/>
      <c r="N620" s="67"/>
      <c r="O620" s="11"/>
    </row>
    <row r="621" spans="1:15" s="4" customFormat="1" x14ac:dyDescent="0.25">
      <c r="A621" s="6">
        <v>307</v>
      </c>
      <c r="B621" s="5" t="s">
        <v>550</v>
      </c>
      <c r="C621" s="5" t="s">
        <v>17</v>
      </c>
      <c r="D621" s="5" t="s">
        <v>95</v>
      </c>
      <c r="E621" s="5" t="s">
        <v>96</v>
      </c>
      <c r="F621" s="5" t="s">
        <v>551</v>
      </c>
      <c r="G621" s="22">
        <v>42839.19</v>
      </c>
      <c r="H621" s="22">
        <v>0</v>
      </c>
      <c r="I621" s="22">
        <v>0</v>
      </c>
      <c r="J621" s="22">
        <v>0</v>
      </c>
      <c r="K621" s="22">
        <v>-856.78</v>
      </c>
      <c r="L621" s="22">
        <v>41982.41</v>
      </c>
      <c r="M621" s="10"/>
      <c r="N621" s="67"/>
      <c r="O621" s="11"/>
    </row>
    <row r="622" spans="1:15" x14ac:dyDescent="0.25">
      <c r="A622" s="6">
        <v>308</v>
      </c>
      <c r="B622" s="5" t="s">
        <v>550</v>
      </c>
      <c r="C622" s="5" t="s">
        <v>13</v>
      </c>
      <c r="D622" s="5" t="s">
        <v>95</v>
      </c>
      <c r="E622" s="5" t="s">
        <v>96</v>
      </c>
      <c r="F622" s="5" t="s">
        <v>551</v>
      </c>
      <c r="G622" s="22">
        <v>0</v>
      </c>
      <c r="H622" s="22">
        <v>0</v>
      </c>
      <c r="I622" s="22">
        <v>0</v>
      </c>
      <c r="J622" s="22">
        <v>5140.7</v>
      </c>
      <c r="K622" s="22">
        <v>0</v>
      </c>
      <c r="L622" s="22">
        <v>5140.7</v>
      </c>
      <c r="M622" s="10"/>
      <c r="O622" s="11"/>
    </row>
    <row r="623" spans="1:15" x14ac:dyDescent="0.25">
      <c r="A623" s="6"/>
      <c r="B623" s="5"/>
      <c r="C623" s="5"/>
      <c r="D623" s="5" t="s">
        <v>95</v>
      </c>
      <c r="E623" s="5" t="s">
        <v>96</v>
      </c>
      <c r="F623" s="5" t="s">
        <v>551</v>
      </c>
      <c r="G623" s="14">
        <f t="shared" ref="G623:L623" si="154">SUBTOTAL(9,G621:G622)</f>
        <v>42839.19</v>
      </c>
      <c r="H623" s="14">
        <f t="shared" si="154"/>
        <v>0</v>
      </c>
      <c r="I623" s="14">
        <f t="shared" si="154"/>
        <v>0</v>
      </c>
      <c r="J623" s="14">
        <f t="shared" si="154"/>
        <v>5140.7</v>
      </c>
      <c r="K623" s="14">
        <f t="shared" si="154"/>
        <v>-856.78</v>
      </c>
      <c r="L623" s="14">
        <f t="shared" si="154"/>
        <v>47123.11</v>
      </c>
      <c r="M623" s="10">
        <v>2267</v>
      </c>
      <c r="N623" s="69"/>
      <c r="O623" s="11">
        <f>O619+1</f>
        <v>149</v>
      </c>
    </row>
    <row r="624" spans="1:15" s="4" customFormat="1" x14ac:dyDescent="0.25">
      <c r="A624" s="10"/>
      <c r="B624"/>
      <c r="C624"/>
      <c r="D624"/>
      <c r="E624"/>
      <c r="F624"/>
      <c r="G624" s="21"/>
      <c r="H624" s="21"/>
      <c r="I624" s="21"/>
      <c r="J624" s="21"/>
      <c r="K624" s="21"/>
      <c r="L624" s="21"/>
      <c r="M624" s="10"/>
      <c r="N624" s="67"/>
      <c r="O624" s="11"/>
    </row>
    <row r="625" spans="1:15" x14ac:dyDescent="0.25">
      <c r="A625" s="6">
        <v>309</v>
      </c>
      <c r="B625" s="5" t="s">
        <v>550</v>
      </c>
      <c r="C625" s="5" t="s">
        <v>17</v>
      </c>
      <c r="D625" s="5" t="s">
        <v>95</v>
      </c>
      <c r="E625" s="5" t="s">
        <v>96</v>
      </c>
      <c r="F625" s="5" t="s">
        <v>552</v>
      </c>
      <c r="G625" s="22">
        <v>3.08</v>
      </c>
      <c r="H625" s="22">
        <v>0</v>
      </c>
      <c r="I625" s="22">
        <v>0</v>
      </c>
      <c r="J625" s="22">
        <v>0</v>
      </c>
      <c r="K625" s="22">
        <v>-0.06</v>
      </c>
      <c r="L625" s="22">
        <v>3.02</v>
      </c>
      <c r="M625" s="10"/>
      <c r="O625" s="11"/>
    </row>
    <row r="626" spans="1:15" x14ac:dyDescent="0.25">
      <c r="A626" s="6">
        <v>310</v>
      </c>
      <c r="B626" s="5" t="s">
        <v>550</v>
      </c>
      <c r="C626" s="5" t="s">
        <v>13</v>
      </c>
      <c r="D626" s="5" t="s">
        <v>95</v>
      </c>
      <c r="E626" s="5" t="s">
        <v>96</v>
      </c>
      <c r="F626" s="5" t="s">
        <v>552</v>
      </c>
      <c r="G626" s="22">
        <v>0</v>
      </c>
      <c r="H626" s="22">
        <v>0</v>
      </c>
      <c r="I626" s="22">
        <v>0</v>
      </c>
      <c r="J626" s="22">
        <v>0.37</v>
      </c>
      <c r="K626" s="22">
        <v>0</v>
      </c>
      <c r="L626" s="22">
        <v>0.37</v>
      </c>
      <c r="M626" s="10"/>
      <c r="O626" s="11"/>
    </row>
    <row r="627" spans="1:15" s="4" customFormat="1" x14ac:dyDescent="0.25">
      <c r="A627" s="6"/>
      <c r="B627" s="5"/>
      <c r="C627" s="5"/>
      <c r="D627" s="5" t="s">
        <v>95</v>
      </c>
      <c r="E627" s="5" t="s">
        <v>96</v>
      </c>
      <c r="F627" s="5" t="s">
        <v>552</v>
      </c>
      <c r="G627" s="14">
        <f t="shared" ref="G627:L627" si="155">SUBTOTAL(9,G625:G626)</f>
        <v>3.08</v>
      </c>
      <c r="H627" s="14">
        <f t="shared" si="155"/>
        <v>0</v>
      </c>
      <c r="I627" s="14">
        <f t="shared" si="155"/>
        <v>0</v>
      </c>
      <c r="J627" s="14">
        <f t="shared" si="155"/>
        <v>0.37</v>
      </c>
      <c r="K627" s="14">
        <f t="shared" si="155"/>
        <v>-0.06</v>
      </c>
      <c r="L627" s="14">
        <f t="shared" si="155"/>
        <v>3.39</v>
      </c>
      <c r="M627" s="10">
        <v>2268</v>
      </c>
      <c r="N627" s="69"/>
      <c r="O627" s="11">
        <f>O623+1</f>
        <v>150</v>
      </c>
    </row>
    <row r="628" spans="1:15" x14ac:dyDescent="0.25">
      <c r="A628" s="10"/>
      <c r="G628" s="21"/>
      <c r="H628" s="21"/>
      <c r="I628" s="21"/>
      <c r="J628" s="21"/>
      <c r="K628" s="21"/>
      <c r="L628" s="21"/>
      <c r="M628" s="10"/>
      <c r="O628" s="11"/>
    </row>
    <row r="629" spans="1:15" x14ac:dyDescent="0.25">
      <c r="A629" s="6">
        <v>311</v>
      </c>
      <c r="B629" s="5" t="s">
        <v>559</v>
      </c>
      <c r="C629" s="5" t="s">
        <v>17</v>
      </c>
      <c r="D629" s="5" t="s">
        <v>97</v>
      </c>
      <c r="E629" s="5" t="s">
        <v>98</v>
      </c>
      <c r="F629" s="5" t="s">
        <v>560</v>
      </c>
      <c r="G629" s="22">
        <v>2.29</v>
      </c>
      <c r="H629" s="22">
        <v>0</v>
      </c>
      <c r="I629" s="22">
        <v>0</v>
      </c>
      <c r="J629" s="22">
        <v>0</v>
      </c>
      <c r="K629" s="22">
        <v>-0.05</v>
      </c>
      <c r="L629" s="22">
        <v>2.2400000000000002</v>
      </c>
      <c r="M629" s="10"/>
      <c r="O629" s="11"/>
    </row>
    <row r="630" spans="1:15" s="4" customFormat="1" x14ac:dyDescent="0.25">
      <c r="A630" s="6">
        <v>312</v>
      </c>
      <c r="B630" s="5" t="s">
        <v>559</v>
      </c>
      <c r="C630" s="5" t="s">
        <v>13</v>
      </c>
      <c r="D630" s="5" t="s">
        <v>97</v>
      </c>
      <c r="E630" s="5" t="s">
        <v>98</v>
      </c>
      <c r="F630" s="5" t="s">
        <v>560</v>
      </c>
      <c r="G630" s="22">
        <v>0</v>
      </c>
      <c r="H630" s="22">
        <v>0</v>
      </c>
      <c r="I630" s="22">
        <v>0</v>
      </c>
      <c r="J630" s="22">
        <v>0.27</v>
      </c>
      <c r="K630" s="22">
        <v>0</v>
      </c>
      <c r="L630" s="22">
        <v>0.27</v>
      </c>
      <c r="M630" s="10"/>
      <c r="N630" s="67"/>
      <c r="O630" s="11"/>
    </row>
    <row r="631" spans="1:15" s="4" customFormat="1" x14ac:dyDescent="0.25">
      <c r="A631" s="6"/>
      <c r="B631" s="5"/>
      <c r="C631" s="5"/>
      <c r="D631" s="5" t="s">
        <v>97</v>
      </c>
      <c r="E631" s="5" t="s">
        <v>98</v>
      </c>
      <c r="F631" s="5" t="s">
        <v>560</v>
      </c>
      <c r="G631" s="14">
        <f t="shared" ref="G631:L631" si="156">SUBTOTAL(9,G629:G630)</f>
        <v>2.29</v>
      </c>
      <c r="H631" s="14">
        <f t="shared" si="156"/>
        <v>0</v>
      </c>
      <c r="I631" s="14">
        <f t="shared" si="156"/>
        <v>0</v>
      </c>
      <c r="J631" s="14">
        <f t="shared" si="156"/>
        <v>0.27</v>
      </c>
      <c r="K631" s="14">
        <f t="shared" si="156"/>
        <v>-0.05</v>
      </c>
      <c r="L631" s="14">
        <f t="shared" si="156"/>
        <v>2.5100000000000002</v>
      </c>
      <c r="M631" s="10">
        <v>2269</v>
      </c>
      <c r="N631" s="69"/>
      <c r="O631" s="11">
        <f>O627+1</f>
        <v>151</v>
      </c>
    </row>
    <row r="632" spans="1:15" x14ac:dyDescent="0.25">
      <c r="A632" s="10"/>
      <c r="G632" s="21"/>
      <c r="H632" s="21"/>
      <c r="I632" s="21"/>
      <c r="J632" s="21"/>
      <c r="K632" s="21"/>
      <c r="L632" s="21"/>
      <c r="M632" s="10"/>
      <c r="O632" s="11"/>
    </row>
    <row r="633" spans="1:15" x14ac:dyDescent="0.25">
      <c r="A633" s="6">
        <v>313</v>
      </c>
      <c r="B633" s="5" t="s">
        <v>18</v>
      </c>
      <c r="C633" s="5" t="s">
        <v>17</v>
      </c>
      <c r="D633" s="5" t="s">
        <v>97</v>
      </c>
      <c r="E633" s="5" t="s">
        <v>98</v>
      </c>
      <c r="F633" s="5" t="s">
        <v>19</v>
      </c>
      <c r="G633" s="22">
        <v>2.74</v>
      </c>
      <c r="H633" s="22">
        <v>0</v>
      </c>
      <c r="I633" s="22">
        <v>0</v>
      </c>
      <c r="J633" s="22">
        <v>0</v>
      </c>
      <c r="K633" s="22">
        <v>-2.4300000000000002</v>
      </c>
      <c r="L633" s="22">
        <v>0.31</v>
      </c>
      <c r="M633" s="10"/>
      <c r="O633" s="11"/>
    </row>
    <row r="634" spans="1:15" s="4" customFormat="1" x14ac:dyDescent="0.25">
      <c r="A634" s="6"/>
      <c r="B634" s="5"/>
      <c r="C634" s="5"/>
      <c r="D634" s="5" t="s">
        <v>97</v>
      </c>
      <c r="E634" s="5" t="s">
        <v>98</v>
      </c>
      <c r="F634" s="5" t="s">
        <v>19</v>
      </c>
      <c r="G634" s="14">
        <f t="shared" ref="G634:L634" si="157">SUBTOTAL(9,G633:G633)</f>
        <v>2.74</v>
      </c>
      <c r="H634" s="14">
        <f t="shared" si="157"/>
        <v>0</v>
      </c>
      <c r="I634" s="14">
        <f t="shared" si="157"/>
        <v>0</v>
      </c>
      <c r="J634" s="14">
        <f t="shared" si="157"/>
        <v>0</v>
      </c>
      <c r="K634" s="14">
        <f t="shared" si="157"/>
        <v>-2.4300000000000002</v>
      </c>
      <c r="L634" s="14">
        <f t="shared" si="157"/>
        <v>0.31</v>
      </c>
      <c r="M634" s="10">
        <v>2270</v>
      </c>
      <c r="N634" s="69"/>
      <c r="O634" s="11">
        <f>O631+1</f>
        <v>152</v>
      </c>
    </row>
    <row r="635" spans="1:15" s="4" customFormat="1" x14ac:dyDescent="0.25">
      <c r="A635" s="10"/>
      <c r="B635"/>
      <c r="C635"/>
      <c r="D635"/>
      <c r="E635"/>
      <c r="F635"/>
      <c r="G635" s="21"/>
      <c r="H635" s="21"/>
      <c r="I635" s="21"/>
      <c r="J635" s="21"/>
      <c r="K635" s="21"/>
      <c r="L635" s="21"/>
      <c r="M635" s="10"/>
      <c r="N635" s="67"/>
      <c r="O635" s="11"/>
    </row>
    <row r="636" spans="1:15" x14ac:dyDescent="0.25">
      <c r="A636" s="6">
        <v>314</v>
      </c>
      <c r="B636" s="5" t="s">
        <v>550</v>
      </c>
      <c r="C636" s="5" t="s">
        <v>17</v>
      </c>
      <c r="D636" s="5" t="s">
        <v>97</v>
      </c>
      <c r="E636" s="5" t="s">
        <v>98</v>
      </c>
      <c r="F636" s="5" t="s">
        <v>551</v>
      </c>
      <c r="G636" s="22">
        <v>21265.66</v>
      </c>
      <c r="H636" s="22">
        <v>0</v>
      </c>
      <c r="I636" s="22">
        <v>0</v>
      </c>
      <c r="J636" s="22">
        <v>0</v>
      </c>
      <c r="K636" s="22">
        <v>-425.31</v>
      </c>
      <c r="L636" s="22">
        <v>20840.349999999999</v>
      </c>
      <c r="M636" s="10"/>
      <c r="O636" s="11"/>
    </row>
    <row r="637" spans="1:15" x14ac:dyDescent="0.25">
      <c r="A637" s="6">
        <v>315</v>
      </c>
      <c r="B637" s="5" t="s">
        <v>550</v>
      </c>
      <c r="C637" s="5" t="s">
        <v>13</v>
      </c>
      <c r="D637" s="5" t="s">
        <v>97</v>
      </c>
      <c r="E637" s="5" t="s">
        <v>98</v>
      </c>
      <c r="F637" s="5" t="s">
        <v>551</v>
      </c>
      <c r="G637" s="22">
        <v>0</v>
      </c>
      <c r="H637" s="22">
        <v>0</v>
      </c>
      <c r="I637" s="22">
        <v>0</v>
      </c>
      <c r="J637" s="22">
        <v>2551.88</v>
      </c>
      <c r="K637" s="22">
        <v>0</v>
      </c>
      <c r="L637" s="22">
        <v>2551.88</v>
      </c>
      <c r="M637" s="10"/>
      <c r="O637" s="11"/>
    </row>
    <row r="638" spans="1:15" s="4" customFormat="1" x14ac:dyDescent="0.25">
      <c r="A638" s="6"/>
      <c r="B638" s="5"/>
      <c r="C638" s="5"/>
      <c r="D638" s="5" t="s">
        <v>97</v>
      </c>
      <c r="E638" s="5" t="s">
        <v>98</v>
      </c>
      <c r="F638" s="5" t="s">
        <v>551</v>
      </c>
      <c r="G638" s="14">
        <f t="shared" ref="G638:L638" si="158">SUBTOTAL(9,G636:G637)</f>
        <v>21265.66</v>
      </c>
      <c r="H638" s="14">
        <f t="shared" si="158"/>
        <v>0</v>
      </c>
      <c r="I638" s="14">
        <f t="shared" si="158"/>
        <v>0</v>
      </c>
      <c r="J638" s="14">
        <f t="shared" si="158"/>
        <v>2551.88</v>
      </c>
      <c r="K638" s="14">
        <f t="shared" si="158"/>
        <v>-425.31</v>
      </c>
      <c r="L638" s="14">
        <f t="shared" si="158"/>
        <v>23392.23</v>
      </c>
      <c r="M638" s="10">
        <v>2271</v>
      </c>
      <c r="N638" s="69"/>
      <c r="O638" s="11">
        <f>O634+1</f>
        <v>153</v>
      </c>
    </row>
    <row r="639" spans="1:15" s="4" customFormat="1" x14ac:dyDescent="0.25">
      <c r="A639" s="10"/>
      <c r="B639"/>
      <c r="C639"/>
      <c r="D639"/>
      <c r="E639"/>
      <c r="F639"/>
      <c r="G639" s="21"/>
      <c r="H639" s="21"/>
      <c r="I639" s="21"/>
      <c r="J639" s="21"/>
      <c r="K639" s="21"/>
      <c r="L639" s="21"/>
      <c r="M639" s="10"/>
      <c r="N639" s="67"/>
      <c r="O639" s="11"/>
    </row>
    <row r="640" spans="1:15" x14ac:dyDescent="0.25">
      <c r="A640" s="6">
        <v>316</v>
      </c>
      <c r="B640" s="5" t="s">
        <v>550</v>
      </c>
      <c r="C640" s="5" t="s">
        <v>17</v>
      </c>
      <c r="D640" s="5" t="s">
        <v>97</v>
      </c>
      <c r="E640" s="5" t="s">
        <v>98</v>
      </c>
      <c r="F640" s="5" t="s">
        <v>552</v>
      </c>
      <c r="G640" s="22">
        <v>1.53</v>
      </c>
      <c r="H640" s="22">
        <v>0</v>
      </c>
      <c r="I640" s="22">
        <v>0</v>
      </c>
      <c r="J640" s="22">
        <v>0</v>
      </c>
      <c r="K640" s="22">
        <v>-0.03</v>
      </c>
      <c r="L640" s="22">
        <v>1.5</v>
      </c>
      <c r="M640" s="10"/>
      <c r="O640" s="11"/>
    </row>
    <row r="641" spans="1:15" x14ac:dyDescent="0.25">
      <c r="A641" s="6">
        <v>317</v>
      </c>
      <c r="B641" s="5" t="s">
        <v>550</v>
      </c>
      <c r="C641" s="5" t="s">
        <v>13</v>
      </c>
      <c r="D641" s="5" t="s">
        <v>97</v>
      </c>
      <c r="E641" s="5" t="s">
        <v>98</v>
      </c>
      <c r="F641" s="5" t="s">
        <v>552</v>
      </c>
      <c r="G641" s="22">
        <v>0</v>
      </c>
      <c r="H641" s="22">
        <v>0</v>
      </c>
      <c r="I641" s="22">
        <v>0</v>
      </c>
      <c r="J641" s="22">
        <v>0.18</v>
      </c>
      <c r="K641" s="22">
        <v>0</v>
      </c>
      <c r="L641" s="22">
        <v>0.18</v>
      </c>
      <c r="M641" s="10"/>
      <c r="O641" s="11"/>
    </row>
    <row r="642" spans="1:15" s="4" customFormat="1" x14ac:dyDescent="0.25">
      <c r="A642" s="6"/>
      <c r="B642" s="5"/>
      <c r="C642" s="5"/>
      <c r="D642" s="5" t="s">
        <v>97</v>
      </c>
      <c r="E642" s="5" t="s">
        <v>98</v>
      </c>
      <c r="F642" s="5" t="s">
        <v>552</v>
      </c>
      <c r="G642" s="14">
        <f t="shared" ref="G642:L642" si="159">SUBTOTAL(9,G640:G641)</f>
        <v>1.53</v>
      </c>
      <c r="H642" s="14">
        <f t="shared" si="159"/>
        <v>0</v>
      </c>
      <c r="I642" s="14">
        <f t="shared" si="159"/>
        <v>0</v>
      </c>
      <c r="J642" s="14">
        <f t="shared" si="159"/>
        <v>0.18</v>
      </c>
      <c r="K642" s="14">
        <f t="shared" si="159"/>
        <v>-0.03</v>
      </c>
      <c r="L642" s="14">
        <f t="shared" si="159"/>
        <v>1.68</v>
      </c>
      <c r="M642" s="10">
        <v>2272</v>
      </c>
      <c r="N642" s="69"/>
      <c r="O642" s="11">
        <f>O638+1</f>
        <v>154</v>
      </c>
    </row>
    <row r="643" spans="1:15" s="4" customFormat="1" x14ac:dyDescent="0.25">
      <c r="A643" s="10"/>
      <c r="B643"/>
      <c r="C643"/>
      <c r="D643"/>
      <c r="E643"/>
      <c r="F643"/>
      <c r="G643" s="21"/>
      <c r="H643" s="21"/>
      <c r="I643" s="21"/>
      <c r="J643" s="21"/>
      <c r="K643" s="21"/>
      <c r="L643" s="21"/>
      <c r="M643" s="10"/>
      <c r="N643" s="67"/>
      <c r="O643" s="11"/>
    </row>
    <row r="644" spans="1:15" x14ac:dyDescent="0.25">
      <c r="A644" s="6">
        <v>318</v>
      </c>
      <c r="B644" s="5" t="s">
        <v>29</v>
      </c>
      <c r="C644" s="5" t="s">
        <v>13</v>
      </c>
      <c r="D644" s="5" t="s">
        <v>99</v>
      </c>
      <c r="E644" s="5" t="s">
        <v>100</v>
      </c>
      <c r="F644" s="5" t="s">
        <v>30</v>
      </c>
      <c r="G644" s="22">
        <v>0</v>
      </c>
      <c r="H644" s="22">
        <v>0</v>
      </c>
      <c r="I644" s="22">
        <v>0</v>
      </c>
      <c r="J644" s="22">
        <v>0.15</v>
      </c>
      <c r="K644" s="22">
        <v>0</v>
      </c>
      <c r="L644" s="22">
        <v>0.15</v>
      </c>
      <c r="M644" s="10"/>
      <c r="O644" s="11"/>
    </row>
    <row r="645" spans="1:15" x14ac:dyDescent="0.25">
      <c r="A645" s="6"/>
      <c r="B645" s="5"/>
      <c r="C645" s="5"/>
      <c r="D645" s="5" t="s">
        <v>99</v>
      </c>
      <c r="E645" s="5" t="s">
        <v>100</v>
      </c>
      <c r="F645" s="5" t="s">
        <v>30</v>
      </c>
      <c r="G645" s="14">
        <f t="shared" ref="G645:L645" si="160">SUBTOTAL(9,G644:G644)</f>
        <v>0</v>
      </c>
      <c r="H645" s="14">
        <f t="shared" si="160"/>
        <v>0</v>
      </c>
      <c r="I645" s="14">
        <f t="shared" si="160"/>
        <v>0</v>
      </c>
      <c r="J645" s="14">
        <f t="shared" si="160"/>
        <v>0.15</v>
      </c>
      <c r="K645" s="14">
        <f t="shared" si="160"/>
        <v>0</v>
      </c>
      <c r="L645" s="14">
        <f t="shared" si="160"/>
        <v>0.15</v>
      </c>
      <c r="M645" s="10">
        <v>2273</v>
      </c>
      <c r="N645" s="69"/>
      <c r="O645" s="11">
        <f>O642+1</f>
        <v>155</v>
      </c>
    </row>
    <row r="646" spans="1:15" s="4" customFormat="1" x14ac:dyDescent="0.25">
      <c r="A646" s="10"/>
      <c r="B646"/>
      <c r="C646"/>
      <c r="D646"/>
      <c r="E646"/>
      <c r="F646"/>
      <c r="G646" s="21"/>
      <c r="H646" s="21"/>
      <c r="I646" s="21"/>
      <c r="J646" s="21"/>
      <c r="K646" s="21"/>
      <c r="L646" s="21"/>
      <c r="M646" s="10"/>
      <c r="N646" s="67"/>
      <c r="O646" s="11"/>
    </row>
    <row r="647" spans="1:15" x14ac:dyDescent="0.25">
      <c r="A647" s="6">
        <v>319</v>
      </c>
      <c r="B647" s="5" t="s">
        <v>18</v>
      </c>
      <c r="C647" s="5" t="s">
        <v>17</v>
      </c>
      <c r="D647" s="5" t="s">
        <v>99</v>
      </c>
      <c r="E647" s="5" t="s">
        <v>100</v>
      </c>
      <c r="F647" s="5" t="s">
        <v>19</v>
      </c>
      <c r="G647" s="22">
        <v>1.19</v>
      </c>
      <c r="H647" s="22">
        <v>0</v>
      </c>
      <c r="I647" s="22">
        <v>0</v>
      </c>
      <c r="J647" s="22">
        <v>0</v>
      </c>
      <c r="K647" s="22">
        <v>-1.06</v>
      </c>
      <c r="L647" s="22">
        <v>0.13</v>
      </c>
      <c r="M647" s="10"/>
      <c r="O647" s="11"/>
    </row>
    <row r="648" spans="1:15" x14ac:dyDescent="0.25">
      <c r="A648" s="6"/>
      <c r="B648" s="5"/>
      <c r="C648" s="5"/>
      <c r="D648" s="5" t="s">
        <v>99</v>
      </c>
      <c r="E648" s="5" t="s">
        <v>100</v>
      </c>
      <c r="F648" s="5" t="s">
        <v>19</v>
      </c>
      <c r="G648" s="14">
        <f t="shared" ref="G648:L648" si="161">SUBTOTAL(9,G647:G647)</f>
        <v>1.19</v>
      </c>
      <c r="H648" s="14">
        <f t="shared" si="161"/>
        <v>0</v>
      </c>
      <c r="I648" s="14">
        <f t="shared" si="161"/>
        <v>0</v>
      </c>
      <c r="J648" s="14">
        <f t="shared" si="161"/>
        <v>0</v>
      </c>
      <c r="K648" s="14">
        <f t="shared" si="161"/>
        <v>-1.06</v>
      </c>
      <c r="L648" s="14">
        <f t="shared" si="161"/>
        <v>0.13</v>
      </c>
      <c r="M648" s="10">
        <v>2274</v>
      </c>
      <c r="N648" s="69"/>
      <c r="O648" s="11">
        <f>O645+1</f>
        <v>156</v>
      </c>
    </row>
    <row r="649" spans="1:15" s="4" customFormat="1" x14ac:dyDescent="0.25">
      <c r="A649" s="10"/>
      <c r="B649"/>
      <c r="C649"/>
      <c r="D649"/>
      <c r="E649"/>
      <c r="F649"/>
      <c r="G649" s="21"/>
      <c r="H649" s="21"/>
      <c r="I649" s="21"/>
      <c r="J649" s="21"/>
      <c r="K649" s="21"/>
      <c r="L649" s="21"/>
      <c r="M649" s="10"/>
      <c r="N649" s="67"/>
      <c r="O649" s="11"/>
    </row>
    <row r="650" spans="1:15" x14ac:dyDescent="0.25">
      <c r="A650" s="6">
        <v>320</v>
      </c>
      <c r="B650" s="5" t="s">
        <v>550</v>
      </c>
      <c r="C650" s="5" t="s">
        <v>17</v>
      </c>
      <c r="D650" s="5" t="s">
        <v>99</v>
      </c>
      <c r="E650" s="5" t="s">
        <v>100</v>
      </c>
      <c r="F650" s="5" t="s">
        <v>551</v>
      </c>
      <c r="G650" s="22">
        <v>23418.21</v>
      </c>
      <c r="H650" s="22">
        <v>0</v>
      </c>
      <c r="I650" s="22">
        <v>0</v>
      </c>
      <c r="J650" s="22">
        <v>0</v>
      </c>
      <c r="K650" s="22">
        <v>-468.36</v>
      </c>
      <c r="L650" s="22">
        <v>22949.85</v>
      </c>
      <c r="M650" s="10"/>
      <c r="O650" s="11"/>
    </row>
    <row r="651" spans="1:15" x14ac:dyDescent="0.25">
      <c r="A651" s="6">
        <v>321</v>
      </c>
      <c r="B651" s="5" t="s">
        <v>550</v>
      </c>
      <c r="C651" s="5" t="s">
        <v>13</v>
      </c>
      <c r="D651" s="5" t="s">
        <v>99</v>
      </c>
      <c r="E651" s="5" t="s">
        <v>100</v>
      </c>
      <c r="F651" s="5" t="s">
        <v>551</v>
      </c>
      <c r="G651" s="22">
        <v>0</v>
      </c>
      <c r="H651" s="22">
        <v>0</v>
      </c>
      <c r="I651" s="22">
        <v>0</v>
      </c>
      <c r="J651" s="22">
        <v>2810.19</v>
      </c>
      <c r="K651" s="22">
        <v>0</v>
      </c>
      <c r="L651" s="22">
        <v>2810.19</v>
      </c>
      <c r="M651" s="10"/>
      <c r="O651" s="11"/>
    </row>
    <row r="652" spans="1:15" s="4" customFormat="1" x14ac:dyDescent="0.25">
      <c r="A652" s="6"/>
      <c r="B652" s="5"/>
      <c r="C652" s="5"/>
      <c r="D652" s="5" t="s">
        <v>99</v>
      </c>
      <c r="E652" s="5" t="s">
        <v>100</v>
      </c>
      <c r="F652" s="5" t="s">
        <v>551</v>
      </c>
      <c r="G652" s="14">
        <f t="shared" ref="G652:L652" si="162">SUBTOTAL(9,G650:G651)</f>
        <v>23418.21</v>
      </c>
      <c r="H652" s="14">
        <f t="shared" si="162"/>
        <v>0</v>
      </c>
      <c r="I652" s="14">
        <f t="shared" si="162"/>
        <v>0</v>
      </c>
      <c r="J652" s="14">
        <f t="shared" si="162"/>
        <v>2810.19</v>
      </c>
      <c r="K652" s="14">
        <f t="shared" si="162"/>
        <v>-468.36</v>
      </c>
      <c r="L652" s="14">
        <f t="shared" si="162"/>
        <v>25760.039999999997</v>
      </c>
      <c r="M652" s="10">
        <v>2275</v>
      </c>
      <c r="N652" s="69"/>
      <c r="O652" s="11">
        <f>O648+1</f>
        <v>157</v>
      </c>
    </row>
    <row r="653" spans="1:15" s="4" customFormat="1" x14ac:dyDescent="0.25">
      <c r="A653" s="10"/>
      <c r="B653"/>
      <c r="C653"/>
      <c r="D653"/>
      <c r="E653"/>
      <c r="F653"/>
      <c r="G653" s="21"/>
      <c r="H653" s="21"/>
      <c r="I653" s="21"/>
      <c r="J653" s="21"/>
      <c r="K653" s="21"/>
      <c r="L653" s="21"/>
      <c r="M653" s="10"/>
      <c r="N653" s="67"/>
      <c r="O653" s="11"/>
    </row>
    <row r="654" spans="1:15" x14ac:dyDescent="0.25">
      <c r="A654" s="6">
        <v>322</v>
      </c>
      <c r="B654" s="5" t="s">
        <v>550</v>
      </c>
      <c r="C654" s="5" t="s">
        <v>17</v>
      </c>
      <c r="D654" s="5" t="s">
        <v>99</v>
      </c>
      <c r="E654" s="5" t="s">
        <v>100</v>
      </c>
      <c r="F654" s="5" t="s">
        <v>552</v>
      </c>
      <c r="G654" s="22">
        <v>1.68</v>
      </c>
      <c r="H654" s="22">
        <v>0</v>
      </c>
      <c r="I654" s="22">
        <v>0</v>
      </c>
      <c r="J654" s="22">
        <v>0</v>
      </c>
      <c r="K654" s="22">
        <v>-0.03</v>
      </c>
      <c r="L654" s="22">
        <v>1.65</v>
      </c>
      <c r="M654" s="10"/>
      <c r="O654" s="11"/>
    </row>
    <row r="655" spans="1:15" x14ac:dyDescent="0.25">
      <c r="A655" s="6">
        <v>323</v>
      </c>
      <c r="B655" s="5" t="s">
        <v>550</v>
      </c>
      <c r="C655" s="5" t="s">
        <v>13</v>
      </c>
      <c r="D655" s="5" t="s">
        <v>99</v>
      </c>
      <c r="E655" s="5" t="s">
        <v>100</v>
      </c>
      <c r="F655" s="5" t="s">
        <v>552</v>
      </c>
      <c r="G655" s="22">
        <v>0</v>
      </c>
      <c r="H655" s="22">
        <v>0</v>
      </c>
      <c r="I655" s="22">
        <v>0</v>
      </c>
      <c r="J655" s="22">
        <v>0.2</v>
      </c>
      <c r="K655" s="22">
        <v>0</v>
      </c>
      <c r="L655" s="22">
        <v>0.2</v>
      </c>
      <c r="M655" s="10"/>
      <c r="O655" s="11"/>
    </row>
    <row r="656" spans="1:15" s="4" customFormat="1" x14ac:dyDescent="0.25">
      <c r="A656" s="6"/>
      <c r="B656" s="5"/>
      <c r="C656" s="5"/>
      <c r="D656" s="5" t="s">
        <v>99</v>
      </c>
      <c r="E656" s="5" t="s">
        <v>100</v>
      </c>
      <c r="F656" s="5" t="s">
        <v>552</v>
      </c>
      <c r="G656" s="14">
        <f t="shared" ref="G656:L656" si="163">SUBTOTAL(9,G654:G655)</f>
        <v>1.68</v>
      </c>
      <c r="H656" s="14">
        <f t="shared" si="163"/>
        <v>0</v>
      </c>
      <c r="I656" s="14">
        <f t="shared" si="163"/>
        <v>0</v>
      </c>
      <c r="J656" s="14">
        <f t="shared" si="163"/>
        <v>0.2</v>
      </c>
      <c r="K656" s="14">
        <f t="shared" si="163"/>
        <v>-0.03</v>
      </c>
      <c r="L656" s="14">
        <f t="shared" si="163"/>
        <v>1.8499999999999999</v>
      </c>
      <c r="M656" s="10">
        <v>2276</v>
      </c>
      <c r="N656" s="69"/>
      <c r="O656" s="11">
        <f>O652+1</f>
        <v>158</v>
      </c>
    </row>
    <row r="657" spans="1:15" s="4" customFormat="1" x14ac:dyDescent="0.25">
      <c r="A657" s="10"/>
      <c r="B657"/>
      <c r="C657"/>
      <c r="D657"/>
      <c r="E657"/>
      <c r="F657"/>
      <c r="G657" s="21"/>
      <c r="H657" s="21"/>
      <c r="I657" s="21"/>
      <c r="J657" s="21"/>
      <c r="K657" s="21"/>
      <c r="L657" s="21"/>
      <c r="M657" s="10"/>
      <c r="N657" s="67"/>
      <c r="O657" s="11"/>
    </row>
    <row r="658" spans="1:15" x14ac:dyDescent="0.25">
      <c r="A658" s="6">
        <v>324</v>
      </c>
      <c r="B658" s="5" t="s">
        <v>555</v>
      </c>
      <c r="C658" s="5" t="s">
        <v>17</v>
      </c>
      <c r="D658" s="5" t="s">
        <v>101</v>
      </c>
      <c r="E658" s="5" t="s">
        <v>102</v>
      </c>
      <c r="F658" s="5" t="s">
        <v>556</v>
      </c>
      <c r="G658" s="22">
        <v>1215.1099999999999</v>
      </c>
      <c r="H658" s="22">
        <v>0</v>
      </c>
      <c r="I658" s="22">
        <v>0</v>
      </c>
      <c r="J658" s="22">
        <v>0</v>
      </c>
      <c r="K658" s="22">
        <v>-24.3</v>
      </c>
      <c r="L658" s="22">
        <v>1190.81</v>
      </c>
      <c r="M658" s="10"/>
      <c r="O658" s="11"/>
    </row>
    <row r="659" spans="1:15" x14ac:dyDescent="0.25">
      <c r="A659" s="6">
        <v>325</v>
      </c>
      <c r="B659" s="5" t="s">
        <v>555</v>
      </c>
      <c r="C659" s="5" t="s">
        <v>13</v>
      </c>
      <c r="D659" s="5" t="s">
        <v>101</v>
      </c>
      <c r="E659" s="5" t="s">
        <v>102</v>
      </c>
      <c r="F659" s="5" t="s">
        <v>556</v>
      </c>
      <c r="G659" s="22">
        <v>0</v>
      </c>
      <c r="H659" s="22">
        <v>0</v>
      </c>
      <c r="I659" s="22">
        <v>0</v>
      </c>
      <c r="J659" s="22">
        <v>145.81</v>
      </c>
      <c r="K659" s="22">
        <v>0</v>
      </c>
      <c r="L659" s="22">
        <v>145.81</v>
      </c>
      <c r="M659" s="10"/>
      <c r="O659" s="11"/>
    </row>
    <row r="660" spans="1:15" s="4" customFormat="1" x14ac:dyDescent="0.25">
      <c r="A660" s="6"/>
      <c r="B660" s="5"/>
      <c r="C660" s="5"/>
      <c r="D660" s="5" t="s">
        <v>101</v>
      </c>
      <c r="E660" s="5" t="s">
        <v>102</v>
      </c>
      <c r="F660" s="5" t="s">
        <v>556</v>
      </c>
      <c r="G660" s="14">
        <f t="shared" ref="G660:L660" si="164">SUBTOTAL(9,G658:G659)</f>
        <v>1215.1099999999999</v>
      </c>
      <c r="H660" s="14">
        <f t="shared" si="164"/>
        <v>0</v>
      </c>
      <c r="I660" s="14">
        <f t="shared" si="164"/>
        <v>0</v>
      </c>
      <c r="J660" s="14">
        <f t="shared" si="164"/>
        <v>145.81</v>
      </c>
      <c r="K660" s="14">
        <f t="shared" si="164"/>
        <v>-24.3</v>
      </c>
      <c r="L660" s="14">
        <f t="shared" si="164"/>
        <v>1336.62</v>
      </c>
      <c r="M660" s="10">
        <v>2277</v>
      </c>
      <c r="N660" s="69"/>
      <c r="O660" s="11">
        <f>O656+1</f>
        <v>159</v>
      </c>
    </row>
    <row r="661" spans="1:15" s="4" customFormat="1" x14ac:dyDescent="0.25">
      <c r="A661" s="10"/>
      <c r="B661"/>
      <c r="C661"/>
      <c r="D661"/>
      <c r="E661"/>
      <c r="F661"/>
      <c r="G661" s="21"/>
      <c r="H661" s="21"/>
      <c r="I661" s="21"/>
      <c r="J661" s="21"/>
      <c r="K661" s="21"/>
      <c r="L661" s="21"/>
      <c r="M661" s="10"/>
      <c r="N661" s="67"/>
      <c r="O661" s="11"/>
    </row>
    <row r="662" spans="1:15" x14ac:dyDescent="0.25">
      <c r="A662" s="6">
        <v>326</v>
      </c>
      <c r="B662" s="5" t="s">
        <v>557</v>
      </c>
      <c r="C662" s="5" t="s">
        <v>17</v>
      </c>
      <c r="D662" s="5" t="s">
        <v>101</v>
      </c>
      <c r="E662" s="5" t="s">
        <v>102</v>
      </c>
      <c r="F662" s="5" t="s">
        <v>558</v>
      </c>
      <c r="G662" s="22">
        <v>994.53</v>
      </c>
      <c r="H662" s="22">
        <v>0</v>
      </c>
      <c r="I662" s="22">
        <v>0</v>
      </c>
      <c r="J662" s="22">
        <v>0</v>
      </c>
      <c r="K662" s="22">
        <v>-19.89</v>
      </c>
      <c r="L662" s="22">
        <v>974.64</v>
      </c>
      <c r="M662" s="10"/>
      <c r="O662" s="11"/>
    </row>
    <row r="663" spans="1:15" x14ac:dyDescent="0.25">
      <c r="A663" s="6">
        <v>327</v>
      </c>
      <c r="B663" s="5" t="s">
        <v>557</v>
      </c>
      <c r="C663" s="5" t="s">
        <v>13</v>
      </c>
      <c r="D663" s="5" t="s">
        <v>101</v>
      </c>
      <c r="E663" s="5" t="s">
        <v>102</v>
      </c>
      <c r="F663" s="5" t="s">
        <v>558</v>
      </c>
      <c r="G663" s="22">
        <v>0</v>
      </c>
      <c r="H663" s="22">
        <v>0</v>
      </c>
      <c r="I663" s="22">
        <v>0</v>
      </c>
      <c r="J663" s="22">
        <v>119.34</v>
      </c>
      <c r="K663" s="22">
        <v>0</v>
      </c>
      <c r="L663" s="22">
        <v>119.34</v>
      </c>
      <c r="M663" s="10"/>
      <c r="O663" s="11"/>
    </row>
    <row r="664" spans="1:15" s="4" customFormat="1" x14ac:dyDescent="0.25">
      <c r="A664" s="6"/>
      <c r="B664" s="5"/>
      <c r="C664" s="5"/>
      <c r="D664" s="5" t="s">
        <v>101</v>
      </c>
      <c r="E664" s="5" t="s">
        <v>102</v>
      </c>
      <c r="F664" s="5" t="s">
        <v>558</v>
      </c>
      <c r="G664" s="14">
        <f t="shared" ref="G664:L664" si="165">SUBTOTAL(9,G662:G663)</f>
        <v>994.53</v>
      </c>
      <c r="H664" s="14">
        <f t="shared" si="165"/>
        <v>0</v>
      </c>
      <c r="I664" s="14">
        <f t="shared" si="165"/>
        <v>0</v>
      </c>
      <c r="J664" s="14">
        <f t="shared" si="165"/>
        <v>119.34</v>
      </c>
      <c r="K664" s="14">
        <f t="shared" si="165"/>
        <v>-19.89</v>
      </c>
      <c r="L664" s="14">
        <f t="shared" si="165"/>
        <v>1093.98</v>
      </c>
      <c r="M664" s="10">
        <v>2278</v>
      </c>
      <c r="N664" s="69"/>
      <c r="O664" s="11">
        <f>O660+1</f>
        <v>160</v>
      </c>
    </row>
    <row r="665" spans="1:15" x14ac:dyDescent="0.25">
      <c r="A665" s="10"/>
      <c r="G665" s="21"/>
      <c r="H665" s="21"/>
      <c r="I665" s="21"/>
      <c r="J665" s="21"/>
      <c r="K665" s="21"/>
      <c r="L665" s="21"/>
      <c r="M665" s="10"/>
      <c r="O665" s="11"/>
    </row>
    <row r="666" spans="1:15" x14ac:dyDescent="0.25">
      <c r="A666" s="6">
        <v>328</v>
      </c>
      <c r="B666" s="5" t="s">
        <v>18</v>
      </c>
      <c r="C666" s="5" t="s">
        <v>17</v>
      </c>
      <c r="D666" s="5" t="s">
        <v>101</v>
      </c>
      <c r="E666" s="5" t="s">
        <v>102</v>
      </c>
      <c r="F666" s="5" t="s">
        <v>19</v>
      </c>
      <c r="G666" s="22">
        <v>4.9800000000000004</v>
      </c>
      <c r="H666" s="22">
        <v>0</v>
      </c>
      <c r="I666" s="22">
        <v>0</v>
      </c>
      <c r="J666" s="22">
        <v>0</v>
      </c>
      <c r="K666" s="22">
        <v>-4.42</v>
      </c>
      <c r="L666" s="22">
        <v>0.56000000000000005</v>
      </c>
      <c r="M666" s="10"/>
      <c r="O666" s="11"/>
    </row>
    <row r="667" spans="1:15" s="4" customFormat="1" x14ac:dyDescent="0.25">
      <c r="A667" s="6"/>
      <c r="B667" s="5"/>
      <c r="C667" s="5"/>
      <c r="D667" s="5" t="s">
        <v>101</v>
      </c>
      <c r="E667" s="5" t="s">
        <v>102</v>
      </c>
      <c r="F667" s="5" t="s">
        <v>19</v>
      </c>
      <c r="G667" s="14">
        <f t="shared" ref="G667:L667" si="166">SUBTOTAL(9,G666:G666)</f>
        <v>4.9800000000000004</v>
      </c>
      <c r="H667" s="14">
        <f t="shared" si="166"/>
        <v>0</v>
      </c>
      <c r="I667" s="14">
        <f t="shared" si="166"/>
        <v>0</v>
      </c>
      <c r="J667" s="14">
        <f t="shared" si="166"/>
        <v>0</v>
      </c>
      <c r="K667" s="14">
        <f t="shared" si="166"/>
        <v>-4.42</v>
      </c>
      <c r="L667" s="14">
        <f t="shared" si="166"/>
        <v>0.56000000000000005</v>
      </c>
      <c r="M667" s="10">
        <v>2279</v>
      </c>
      <c r="N667" s="69"/>
      <c r="O667" s="11">
        <f>O664+1</f>
        <v>161</v>
      </c>
    </row>
    <row r="668" spans="1:15" x14ac:dyDescent="0.25">
      <c r="A668" s="10"/>
      <c r="G668" s="21"/>
      <c r="H668" s="21"/>
      <c r="I668" s="21"/>
      <c r="J668" s="21"/>
      <c r="K668" s="21"/>
      <c r="L668" s="21"/>
      <c r="M668" s="10"/>
      <c r="O668" s="11"/>
    </row>
    <row r="669" spans="1:15" x14ac:dyDescent="0.25">
      <c r="A669" s="6">
        <v>329</v>
      </c>
      <c r="B669" s="5" t="s">
        <v>550</v>
      </c>
      <c r="C669" s="5" t="s">
        <v>17</v>
      </c>
      <c r="D669" s="5" t="s">
        <v>101</v>
      </c>
      <c r="E669" s="5" t="s">
        <v>102</v>
      </c>
      <c r="F669" s="5" t="s">
        <v>551</v>
      </c>
      <c r="G669" s="22">
        <v>108018.3</v>
      </c>
      <c r="H669" s="22">
        <v>0</v>
      </c>
      <c r="I669" s="22">
        <v>0</v>
      </c>
      <c r="J669" s="22">
        <v>0</v>
      </c>
      <c r="K669" s="22">
        <v>-2160.37</v>
      </c>
      <c r="L669" s="22">
        <v>105857.93</v>
      </c>
      <c r="M669" s="10"/>
      <c r="O669" s="11"/>
    </row>
    <row r="670" spans="1:15" s="4" customFormat="1" x14ac:dyDescent="0.25">
      <c r="A670" s="6">
        <v>330</v>
      </c>
      <c r="B670" s="5" t="s">
        <v>550</v>
      </c>
      <c r="C670" s="5" t="s">
        <v>13</v>
      </c>
      <c r="D670" s="5" t="s">
        <v>101</v>
      </c>
      <c r="E670" s="5" t="s">
        <v>102</v>
      </c>
      <c r="F670" s="5" t="s">
        <v>551</v>
      </c>
      <c r="G670" s="22">
        <v>0</v>
      </c>
      <c r="H670" s="22">
        <v>0</v>
      </c>
      <c r="I670" s="22">
        <v>0</v>
      </c>
      <c r="J670" s="22">
        <v>12962.2</v>
      </c>
      <c r="K670" s="22">
        <v>0</v>
      </c>
      <c r="L670" s="22">
        <v>12962.2</v>
      </c>
      <c r="M670" s="10"/>
      <c r="N670" s="67"/>
      <c r="O670" s="11"/>
    </row>
    <row r="671" spans="1:15" x14ac:dyDescent="0.25">
      <c r="A671" s="6"/>
      <c r="B671" s="5"/>
      <c r="C671" s="5"/>
      <c r="D671" s="5" t="s">
        <v>101</v>
      </c>
      <c r="E671" s="5" t="s">
        <v>102</v>
      </c>
      <c r="F671" s="5" t="s">
        <v>551</v>
      </c>
      <c r="G671" s="14">
        <f t="shared" ref="G671:L671" si="167">SUBTOTAL(9,G669:G670)</f>
        <v>108018.3</v>
      </c>
      <c r="H671" s="14">
        <f t="shared" si="167"/>
        <v>0</v>
      </c>
      <c r="I671" s="14">
        <f t="shared" si="167"/>
        <v>0</v>
      </c>
      <c r="J671" s="14">
        <f t="shared" si="167"/>
        <v>12962.2</v>
      </c>
      <c r="K671" s="14">
        <f t="shared" si="167"/>
        <v>-2160.37</v>
      </c>
      <c r="L671" s="14">
        <f t="shared" si="167"/>
        <v>118820.12999999999</v>
      </c>
      <c r="M671" s="10">
        <v>2280</v>
      </c>
      <c r="N671" s="69"/>
      <c r="O671" s="11">
        <f>O667+1</f>
        <v>162</v>
      </c>
    </row>
    <row r="672" spans="1:15" x14ac:dyDescent="0.25">
      <c r="A672" s="10"/>
      <c r="G672" s="21"/>
      <c r="H672" s="21"/>
      <c r="I672" s="21"/>
      <c r="J672" s="21"/>
      <c r="K672" s="21"/>
      <c r="L672" s="21"/>
      <c r="M672" s="10"/>
      <c r="O672" s="11"/>
    </row>
    <row r="673" spans="1:15" s="4" customFormat="1" x14ac:dyDescent="0.25">
      <c r="A673" s="6">
        <v>331</v>
      </c>
      <c r="B673" s="5" t="s">
        <v>550</v>
      </c>
      <c r="C673" s="5" t="s">
        <v>17</v>
      </c>
      <c r="D673" s="5" t="s">
        <v>101</v>
      </c>
      <c r="E673" s="5" t="s">
        <v>102</v>
      </c>
      <c r="F673" s="5" t="s">
        <v>552</v>
      </c>
      <c r="G673" s="22">
        <v>7.77</v>
      </c>
      <c r="H673" s="22">
        <v>0</v>
      </c>
      <c r="I673" s="22">
        <v>0</v>
      </c>
      <c r="J673" s="22">
        <v>0</v>
      </c>
      <c r="K673" s="22">
        <v>-0.16</v>
      </c>
      <c r="L673" s="22">
        <v>7.61</v>
      </c>
      <c r="M673" s="10"/>
      <c r="N673" s="67"/>
      <c r="O673" s="11"/>
    </row>
    <row r="674" spans="1:15" s="4" customFormat="1" x14ac:dyDescent="0.25">
      <c r="A674" s="6">
        <v>332</v>
      </c>
      <c r="B674" s="5" t="s">
        <v>550</v>
      </c>
      <c r="C674" s="5" t="s">
        <v>13</v>
      </c>
      <c r="D674" s="5" t="s">
        <v>101</v>
      </c>
      <c r="E674" s="5" t="s">
        <v>102</v>
      </c>
      <c r="F674" s="5" t="s">
        <v>552</v>
      </c>
      <c r="G674" s="22">
        <v>0</v>
      </c>
      <c r="H674" s="22">
        <v>0</v>
      </c>
      <c r="I674" s="22">
        <v>0</v>
      </c>
      <c r="J674" s="22">
        <v>0.93</v>
      </c>
      <c r="K674" s="22">
        <v>0</v>
      </c>
      <c r="L674" s="22">
        <v>0.93</v>
      </c>
      <c r="M674" s="10"/>
      <c r="N674" s="67"/>
      <c r="O674" s="11"/>
    </row>
    <row r="675" spans="1:15" x14ac:dyDescent="0.25">
      <c r="A675" s="6"/>
      <c r="B675" s="5"/>
      <c r="C675" s="5"/>
      <c r="D675" s="5" t="s">
        <v>101</v>
      </c>
      <c r="E675" s="5" t="s">
        <v>102</v>
      </c>
      <c r="F675" s="5" t="s">
        <v>552</v>
      </c>
      <c r="G675" s="14">
        <f t="shared" ref="G675:L675" si="168">SUBTOTAL(9,G673:G674)</f>
        <v>7.77</v>
      </c>
      <c r="H675" s="14">
        <f t="shared" si="168"/>
        <v>0</v>
      </c>
      <c r="I675" s="14">
        <f t="shared" si="168"/>
        <v>0</v>
      </c>
      <c r="J675" s="14">
        <f t="shared" si="168"/>
        <v>0.93</v>
      </c>
      <c r="K675" s="14">
        <f t="shared" si="168"/>
        <v>-0.16</v>
      </c>
      <c r="L675" s="14">
        <f t="shared" si="168"/>
        <v>8.5400000000000009</v>
      </c>
      <c r="M675" s="10">
        <v>2281</v>
      </c>
      <c r="N675" s="69"/>
      <c r="O675" s="11">
        <f>O671+1</f>
        <v>163</v>
      </c>
    </row>
    <row r="676" spans="1:15" x14ac:dyDescent="0.25">
      <c r="A676" s="10"/>
      <c r="G676" s="21"/>
      <c r="H676" s="21"/>
      <c r="I676" s="21"/>
      <c r="J676" s="21"/>
      <c r="K676" s="21"/>
      <c r="L676" s="21"/>
      <c r="M676" s="10"/>
      <c r="O676" s="11"/>
    </row>
    <row r="677" spans="1:15" s="4" customFormat="1" x14ac:dyDescent="0.25">
      <c r="A677" s="6">
        <v>333</v>
      </c>
      <c r="B677" s="5" t="s">
        <v>18</v>
      </c>
      <c r="C677" s="5" t="s">
        <v>17</v>
      </c>
      <c r="D677" s="5" t="s">
        <v>103</v>
      </c>
      <c r="E677" s="5" t="s">
        <v>104</v>
      </c>
      <c r="F677" s="5" t="s">
        <v>19</v>
      </c>
      <c r="G677" s="22">
        <v>0.08</v>
      </c>
      <c r="H677" s="22">
        <v>0</v>
      </c>
      <c r="I677" s="22">
        <v>0</v>
      </c>
      <c r="J677" s="22">
        <v>0</v>
      </c>
      <c r="K677" s="22">
        <v>-7.0000000000000007E-2</v>
      </c>
      <c r="L677" s="22">
        <v>0.01</v>
      </c>
      <c r="M677" s="10"/>
      <c r="N677" s="67"/>
      <c r="O677" s="11"/>
    </row>
    <row r="678" spans="1:15" s="4" customFormat="1" x14ac:dyDescent="0.25">
      <c r="A678" s="6"/>
      <c r="B678" s="5"/>
      <c r="C678" s="5"/>
      <c r="D678" s="5" t="s">
        <v>103</v>
      </c>
      <c r="E678" s="5" t="s">
        <v>104</v>
      </c>
      <c r="F678" s="5" t="s">
        <v>19</v>
      </c>
      <c r="G678" s="14">
        <f t="shared" ref="G678:L678" si="169">SUBTOTAL(9,G677:G677)</f>
        <v>0.08</v>
      </c>
      <c r="H678" s="14">
        <f t="shared" si="169"/>
        <v>0</v>
      </c>
      <c r="I678" s="14">
        <f t="shared" si="169"/>
        <v>0</v>
      </c>
      <c r="J678" s="14">
        <f t="shared" si="169"/>
        <v>0</v>
      </c>
      <c r="K678" s="14">
        <f t="shared" si="169"/>
        <v>-7.0000000000000007E-2</v>
      </c>
      <c r="L678" s="14">
        <f t="shared" si="169"/>
        <v>0.01</v>
      </c>
      <c r="M678" s="10">
        <v>2282</v>
      </c>
      <c r="N678" s="69"/>
      <c r="O678" s="11">
        <f>O675+1</f>
        <v>164</v>
      </c>
    </row>
    <row r="679" spans="1:15" x14ac:dyDescent="0.25">
      <c r="A679" s="10"/>
      <c r="G679" s="21"/>
      <c r="H679" s="21"/>
      <c r="I679" s="21"/>
      <c r="J679" s="21"/>
      <c r="K679" s="21"/>
      <c r="L679" s="21"/>
      <c r="M679" s="10"/>
      <c r="O679" s="11"/>
    </row>
    <row r="680" spans="1:15" x14ac:dyDescent="0.25">
      <c r="A680" s="6">
        <v>334</v>
      </c>
      <c r="B680" s="5" t="s">
        <v>555</v>
      </c>
      <c r="C680" s="5" t="s">
        <v>17</v>
      </c>
      <c r="D680" s="5" t="s">
        <v>583</v>
      </c>
      <c r="E680" s="5" t="s">
        <v>104</v>
      </c>
      <c r="F680" s="5" t="s">
        <v>556</v>
      </c>
      <c r="G680" s="22">
        <v>0.53</v>
      </c>
      <c r="H680" s="22">
        <v>0</v>
      </c>
      <c r="I680" s="22">
        <v>0</v>
      </c>
      <c r="J680" s="22">
        <v>0</v>
      </c>
      <c r="K680" s="22">
        <v>-0.01</v>
      </c>
      <c r="L680" s="22">
        <v>0.52</v>
      </c>
      <c r="M680" s="10"/>
      <c r="O680" s="11"/>
    </row>
    <row r="681" spans="1:15" s="4" customFormat="1" x14ac:dyDescent="0.25">
      <c r="A681" s="6">
        <v>335</v>
      </c>
      <c r="B681" s="5" t="s">
        <v>555</v>
      </c>
      <c r="C681" s="5" t="s">
        <v>13</v>
      </c>
      <c r="D681" s="5" t="s">
        <v>583</v>
      </c>
      <c r="E681" s="5" t="s">
        <v>104</v>
      </c>
      <c r="F681" s="5" t="s">
        <v>556</v>
      </c>
      <c r="G681" s="22">
        <v>0</v>
      </c>
      <c r="H681" s="22">
        <v>0</v>
      </c>
      <c r="I681" s="22">
        <v>0</v>
      </c>
      <c r="J681" s="22">
        <v>0.06</v>
      </c>
      <c r="K681" s="22">
        <v>0</v>
      </c>
      <c r="L681" s="22">
        <v>0.06</v>
      </c>
      <c r="M681" s="10"/>
      <c r="N681" s="67"/>
      <c r="O681" s="11"/>
    </row>
    <row r="682" spans="1:15" s="4" customFormat="1" x14ac:dyDescent="0.25">
      <c r="A682" s="6"/>
      <c r="B682" s="5"/>
      <c r="C682" s="5"/>
      <c r="D682" s="5" t="s">
        <v>103</v>
      </c>
      <c r="E682" s="5" t="s">
        <v>104</v>
      </c>
      <c r="F682" s="5" t="s">
        <v>556</v>
      </c>
      <c r="G682" s="14">
        <f t="shared" ref="G682:L682" si="170">SUBTOTAL(9,G680:G681)</f>
        <v>0.53</v>
      </c>
      <c r="H682" s="14">
        <f t="shared" si="170"/>
        <v>0</v>
      </c>
      <c r="I682" s="14">
        <f t="shared" si="170"/>
        <v>0</v>
      </c>
      <c r="J682" s="14">
        <f t="shared" si="170"/>
        <v>0.06</v>
      </c>
      <c r="K682" s="14">
        <f t="shared" si="170"/>
        <v>-0.01</v>
      </c>
      <c r="L682" s="14">
        <f t="shared" si="170"/>
        <v>0.58000000000000007</v>
      </c>
      <c r="M682" s="10">
        <v>2283</v>
      </c>
      <c r="N682" s="69"/>
      <c r="O682" s="11">
        <f>O678+1</f>
        <v>165</v>
      </c>
    </row>
    <row r="683" spans="1:15" x14ac:dyDescent="0.25">
      <c r="A683" s="10"/>
      <c r="G683" s="21"/>
      <c r="H683" s="21"/>
      <c r="I683" s="21"/>
      <c r="J683" s="21"/>
      <c r="K683" s="21"/>
      <c r="L683" s="21"/>
      <c r="M683" s="10"/>
      <c r="O683" s="11"/>
    </row>
    <row r="684" spans="1:15" x14ac:dyDescent="0.25">
      <c r="A684" s="6">
        <v>336</v>
      </c>
      <c r="B684" s="5" t="s">
        <v>584</v>
      </c>
      <c r="C684" s="5" t="s">
        <v>17</v>
      </c>
      <c r="D684" s="5" t="s">
        <v>583</v>
      </c>
      <c r="E684" s="5" t="s">
        <v>104</v>
      </c>
      <c r="F684" s="5" t="s">
        <v>585</v>
      </c>
      <c r="G684" s="22">
        <v>129.83000000000001</v>
      </c>
      <c r="H684" s="22">
        <v>0</v>
      </c>
      <c r="I684" s="22">
        <v>0</v>
      </c>
      <c r="J684" s="22">
        <v>0</v>
      </c>
      <c r="K684" s="22">
        <v>-2.6</v>
      </c>
      <c r="L684" s="22">
        <v>127.23</v>
      </c>
      <c r="M684" s="10"/>
      <c r="O684" s="11"/>
    </row>
    <row r="685" spans="1:15" s="4" customFormat="1" x14ac:dyDescent="0.25">
      <c r="A685" s="6">
        <v>337</v>
      </c>
      <c r="B685" s="5" t="s">
        <v>584</v>
      </c>
      <c r="C685" s="5" t="s">
        <v>13</v>
      </c>
      <c r="D685" s="5" t="s">
        <v>583</v>
      </c>
      <c r="E685" s="5" t="s">
        <v>104</v>
      </c>
      <c r="F685" s="5" t="s">
        <v>585</v>
      </c>
      <c r="G685" s="22">
        <v>0</v>
      </c>
      <c r="H685" s="22">
        <v>0</v>
      </c>
      <c r="I685" s="22">
        <v>0</v>
      </c>
      <c r="J685" s="22">
        <v>15.58</v>
      </c>
      <c r="K685" s="22">
        <v>0</v>
      </c>
      <c r="L685" s="22">
        <v>15.58</v>
      </c>
      <c r="M685" s="10"/>
      <c r="N685" s="67"/>
      <c r="O685" s="11"/>
    </row>
    <row r="686" spans="1:15" s="4" customFormat="1" x14ac:dyDescent="0.25">
      <c r="A686" s="6"/>
      <c r="B686" s="5"/>
      <c r="C686" s="5"/>
      <c r="D686" s="5" t="s">
        <v>103</v>
      </c>
      <c r="E686" s="5" t="s">
        <v>104</v>
      </c>
      <c r="F686" s="5" t="s">
        <v>585</v>
      </c>
      <c r="G686" s="14">
        <f t="shared" ref="G686:L686" si="171">SUBTOTAL(9,G684:G685)</f>
        <v>129.83000000000001</v>
      </c>
      <c r="H686" s="14">
        <f t="shared" si="171"/>
        <v>0</v>
      </c>
      <c r="I686" s="14">
        <f t="shared" si="171"/>
        <v>0</v>
      </c>
      <c r="J686" s="14">
        <f t="shared" si="171"/>
        <v>15.58</v>
      </c>
      <c r="K686" s="14">
        <f t="shared" si="171"/>
        <v>-2.6</v>
      </c>
      <c r="L686" s="14">
        <f t="shared" si="171"/>
        <v>142.81</v>
      </c>
      <c r="M686" s="10">
        <v>2284</v>
      </c>
      <c r="N686" s="69"/>
      <c r="O686" s="11">
        <f>O682+1</f>
        <v>166</v>
      </c>
    </row>
    <row r="687" spans="1:15" x14ac:dyDescent="0.25">
      <c r="A687" s="10"/>
      <c r="G687" s="21"/>
      <c r="H687" s="21"/>
      <c r="I687" s="21"/>
      <c r="J687" s="21"/>
      <c r="K687" s="21"/>
      <c r="L687" s="21"/>
      <c r="M687" s="10"/>
      <c r="O687" s="11"/>
    </row>
    <row r="688" spans="1:15" x14ac:dyDescent="0.25">
      <c r="A688" s="6">
        <v>338</v>
      </c>
      <c r="B688" s="5" t="s">
        <v>550</v>
      </c>
      <c r="C688" s="5" t="s">
        <v>17</v>
      </c>
      <c r="D688" s="5" t="s">
        <v>583</v>
      </c>
      <c r="E688" s="5" t="s">
        <v>104</v>
      </c>
      <c r="F688" s="5" t="s">
        <v>551</v>
      </c>
      <c r="G688" s="22">
        <v>43.42</v>
      </c>
      <c r="H688" s="22">
        <v>0</v>
      </c>
      <c r="I688" s="22">
        <v>0</v>
      </c>
      <c r="J688" s="22">
        <v>0</v>
      </c>
      <c r="K688" s="22">
        <v>-0.87</v>
      </c>
      <c r="L688" s="22">
        <v>42.55</v>
      </c>
      <c r="M688" s="10"/>
      <c r="O688" s="11"/>
    </row>
    <row r="689" spans="1:15" s="4" customFormat="1" x14ac:dyDescent="0.25">
      <c r="A689" s="6">
        <v>339</v>
      </c>
      <c r="B689" s="5" t="s">
        <v>550</v>
      </c>
      <c r="C689" s="5" t="s">
        <v>17</v>
      </c>
      <c r="D689" s="5" t="s">
        <v>583</v>
      </c>
      <c r="E689" s="5" t="s">
        <v>104</v>
      </c>
      <c r="F689" s="5" t="s">
        <v>551</v>
      </c>
      <c r="G689" s="22">
        <v>1414.15</v>
      </c>
      <c r="H689" s="22">
        <v>0</v>
      </c>
      <c r="I689" s="22">
        <v>0</v>
      </c>
      <c r="J689" s="22">
        <v>0</v>
      </c>
      <c r="K689" s="22">
        <v>-28.28</v>
      </c>
      <c r="L689" s="22">
        <v>1385.87</v>
      </c>
      <c r="M689" s="10"/>
      <c r="N689" s="67"/>
      <c r="O689" s="11"/>
    </row>
    <row r="690" spans="1:15" x14ac:dyDescent="0.25">
      <c r="A690" s="6">
        <v>340</v>
      </c>
      <c r="B690" s="5" t="s">
        <v>550</v>
      </c>
      <c r="C690" s="5" t="s">
        <v>13</v>
      </c>
      <c r="D690" s="5" t="s">
        <v>583</v>
      </c>
      <c r="E690" s="5" t="s">
        <v>104</v>
      </c>
      <c r="F690" s="5" t="s">
        <v>551</v>
      </c>
      <c r="G690" s="22">
        <v>0</v>
      </c>
      <c r="H690" s="22">
        <v>0</v>
      </c>
      <c r="I690" s="22">
        <v>0</v>
      </c>
      <c r="J690" s="22">
        <v>5.21</v>
      </c>
      <c r="K690" s="22">
        <v>0</v>
      </c>
      <c r="L690" s="22">
        <v>5.21</v>
      </c>
      <c r="M690" s="10"/>
      <c r="O690" s="11"/>
    </row>
    <row r="691" spans="1:15" x14ac:dyDescent="0.25">
      <c r="A691" s="6">
        <v>341</v>
      </c>
      <c r="B691" s="5" t="s">
        <v>550</v>
      </c>
      <c r="C691" s="5" t="s">
        <v>13</v>
      </c>
      <c r="D691" s="5" t="s">
        <v>583</v>
      </c>
      <c r="E691" s="5" t="s">
        <v>104</v>
      </c>
      <c r="F691" s="5" t="s">
        <v>551</v>
      </c>
      <c r="G691" s="22">
        <v>0</v>
      </c>
      <c r="H691" s="22">
        <v>0</v>
      </c>
      <c r="I691" s="22">
        <v>0</v>
      </c>
      <c r="J691" s="22">
        <v>169.7</v>
      </c>
      <c r="K691" s="22">
        <v>0</v>
      </c>
      <c r="L691" s="22">
        <v>169.7</v>
      </c>
      <c r="M691" s="10"/>
      <c r="O691" s="11"/>
    </row>
    <row r="692" spans="1:15" s="4" customFormat="1" x14ac:dyDescent="0.25">
      <c r="A692" s="6"/>
      <c r="B692" s="5"/>
      <c r="C692" s="5"/>
      <c r="D692" s="5" t="s">
        <v>103</v>
      </c>
      <c r="E692" s="5" t="s">
        <v>104</v>
      </c>
      <c r="F692" s="5" t="s">
        <v>551</v>
      </c>
      <c r="G692" s="14">
        <f t="shared" ref="G692:L692" si="172">SUBTOTAL(9,G688:G691)</f>
        <v>1457.5700000000002</v>
      </c>
      <c r="H692" s="14">
        <f t="shared" si="172"/>
        <v>0</v>
      </c>
      <c r="I692" s="14">
        <f t="shared" si="172"/>
        <v>0</v>
      </c>
      <c r="J692" s="14">
        <f t="shared" si="172"/>
        <v>174.91</v>
      </c>
      <c r="K692" s="14">
        <f t="shared" si="172"/>
        <v>-29.150000000000002</v>
      </c>
      <c r="L692" s="14">
        <f t="shared" si="172"/>
        <v>1603.33</v>
      </c>
      <c r="M692" s="10">
        <v>2285</v>
      </c>
      <c r="N692" s="69"/>
      <c r="O692" s="11">
        <f>O686+1</f>
        <v>167</v>
      </c>
    </row>
    <row r="693" spans="1:15" x14ac:dyDescent="0.25">
      <c r="A693" s="10"/>
      <c r="G693" s="21"/>
      <c r="H693" s="21"/>
      <c r="I693" s="21"/>
      <c r="J693" s="21"/>
      <c r="K693" s="21"/>
      <c r="L693" s="21"/>
      <c r="M693" s="10"/>
      <c r="O693" s="11"/>
    </row>
    <row r="694" spans="1:15" x14ac:dyDescent="0.25">
      <c r="A694" s="6">
        <v>342</v>
      </c>
      <c r="B694" s="5" t="s">
        <v>550</v>
      </c>
      <c r="C694" s="5" t="s">
        <v>17</v>
      </c>
      <c r="D694" s="5" t="s">
        <v>583</v>
      </c>
      <c r="E694" s="5" t="s">
        <v>104</v>
      </c>
      <c r="F694" s="5" t="s">
        <v>552</v>
      </c>
      <c r="G694" s="22">
        <v>0.1</v>
      </c>
      <c r="H694" s="22">
        <v>0</v>
      </c>
      <c r="I694" s="22">
        <v>0</v>
      </c>
      <c r="J694" s="22">
        <v>0</v>
      </c>
      <c r="K694" s="22">
        <v>0</v>
      </c>
      <c r="L694" s="22">
        <v>0.1</v>
      </c>
      <c r="M694" s="10"/>
      <c r="O694" s="11"/>
    </row>
    <row r="695" spans="1:15" s="4" customFormat="1" x14ac:dyDescent="0.25">
      <c r="A695" s="6">
        <v>343</v>
      </c>
      <c r="B695" s="5" t="s">
        <v>550</v>
      </c>
      <c r="C695" s="5" t="s">
        <v>13</v>
      </c>
      <c r="D695" s="5" t="s">
        <v>583</v>
      </c>
      <c r="E695" s="5" t="s">
        <v>104</v>
      </c>
      <c r="F695" s="5" t="s">
        <v>552</v>
      </c>
      <c r="G695" s="22">
        <v>0</v>
      </c>
      <c r="H695" s="22">
        <v>0</v>
      </c>
      <c r="I695" s="22">
        <v>0</v>
      </c>
      <c r="J695" s="22">
        <v>0.01</v>
      </c>
      <c r="K695" s="22">
        <v>0</v>
      </c>
      <c r="L695" s="22">
        <v>0.01</v>
      </c>
      <c r="M695" s="10"/>
      <c r="N695" s="67"/>
      <c r="O695" s="11"/>
    </row>
    <row r="696" spans="1:15" x14ac:dyDescent="0.25">
      <c r="A696" s="6"/>
      <c r="B696" s="5"/>
      <c r="C696" s="5"/>
      <c r="D696" s="5" t="s">
        <v>103</v>
      </c>
      <c r="E696" s="5" t="s">
        <v>104</v>
      </c>
      <c r="F696" s="5" t="s">
        <v>552</v>
      </c>
      <c r="G696" s="14">
        <f t="shared" ref="G696:L696" si="173">SUBTOTAL(9,G694:G695)</f>
        <v>0.1</v>
      </c>
      <c r="H696" s="14">
        <f t="shared" si="173"/>
        <v>0</v>
      </c>
      <c r="I696" s="14">
        <f t="shared" si="173"/>
        <v>0</v>
      </c>
      <c r="J696" s="14">
        <f t="shared" si="173"/>
        <v>0.01</v>
      </c>
      <c r="K696" s="14">
        <f t="shared" si="173"/>
        <v>0</v>
      </c>
      <c r="L696" s="14">
        <f t="shared" si="173"/>
        <v>0.11</v>
      </c>
      <c r="M696" s="10">
        <v>2286</v>
      </c>
      <c r="N696" s="69"/>
      <c r="O696" s="11">
        <f>O692+1</f>
        <v>168</v>
      </c>
    </row>
    <row r="697" spans="1:15" x14ac:dyDescent="0.25">
      <c r="A697" s="10"/>
      <c r="G697" s="21"/>
      <c r="H697" s="21"/>
      <c r="I697" s="21"/>
      <c r="J697" s="21"/>
      <c r="K697" s="21"/>
      <c r="L697" s="21"/>
      <c r="M697" s="10"/>
      <c r="O697" s="11"/>
    </row>
    <row r="698" spans="1:15" s="4" customFormat="1" x14ac:dyDescent="0.25">
      <c r="A698" s="6">
        <v>344</v>
      </c>
      <c r="B698" s="5" t="s">
        <v>29</v>
      </c>
      <c r="C698" s="5" t="s">
        <v>13</v>
      </c>
      <c r="D698" s="5" t="s">
        <v>105</v>
      </c>
      <c r="E698" s="5" t="s">
        <v>106</v>
      </c>
      <c r="F698" s="5" t="s">
        <v>30</v>
      </c>
      <c r="G698" s="22">
        <v>0</v>
      </c>
      <c r="H698" s="22">
        <v>0</v>
      </c>
      <c r="I698" s="22">
        <v>0</v>
      </c>
      <c r="J698" s="22">
        <v>0.11</v>
      </c>
      <c r="K698" s="22">
        <v>0</v>
      </c>
      <c r="L698" s="22">
        <v>0.11</v>
      </c>
      <c r="M698" s="10"/>
      <c r="N698" s="67"/>
      <c r="O698" s="11"/>
    </row>
    <row r="699" spans="1:15" x14ac:dyDescent="0.25">
      <c r="A699" s="6"/>
      <c r="B699" s="5"/>
      <c r="C699" s="5"/>
      <c r="D699" s="5" t="s">
        <v>105</v>
      </c>
      <c r="E699" s="5" t="s">
        <v>106</v>
      </c>
      <c r="F699" s="5" t="s">
        <v>30</v>
      </c>
      <c r="G699" s="14">
        <f t="shared" ref="G699:L699" si="174">SUBTOTAL(9,G698:G698)</f>
        <v>0</v>
      </c>
      <c r="H699" s="14">
        <f t="shared" si="174"/>
        <v>0</v>
      </c>
      <c r="I699" s="14">
        <f t="shared" si="174"/>
        <v>0</v>
      </c>
      <c r="J699" s="14">
        <f t="shared" si="174"/>
        <v>0.11</v>
      </c>
      <c r="K699" s="14">
        <f t="shared" si="174"/>
        <v>0</v>
      </c>
      <c r="L699" s="14">
        <f t="shared" si="174"/>
        <v>0.11</v>
      </c>
      <c r="M699" s="10">
        <v>2287</v>
      </c>
      <c r="N699" s="69"/>
      <c r="O699" s="11">
        <f>O696+1</f>
        <v>169</v>
      </c>
    </row>
    <row r="700" spans="1:15" x14ac:dyDescent="0.25">
      <c r="A700" s="10"/>
      <c r="G700" s="21"/>
      <c r="H700" s="21"/>
      <c r="I700" s="21"/>
      <c r="J700" s="21"/>
      <c r="K700" s="21"/>
      <c r="L700" s="21"/>
      <c r="M700" s="10"/>
      <c r="O700" s="11"/>
    </row>
    <row r="701" spans="1:15" s="4" customFormat="1" x14ac:dyDescent="0.25">
      <c r="A701" s="6">
        <v>345</v>
      </c>
      <c r="B701" s="5" t="s">
        <v>18</v>
      </c>
      <c r="C701" s="5" t="s">
        <v>17</v>
      </c>
      <c r="D701" s="5" t="s">
        <v>105</v>
      </c>
      <c r="E701" s="5" t="s">
        <v>106</v>
      </c>
      <c r="F701" s="5" t="s">
        <v>19</v>
      </c>
      <c r="G701" s="22">
        <v>0.25</v>
      </c>
      <c r="H701" s="22">
        <v>0</v>
      </c>
      <c r="I701" s="22">
        <v>0</v>
      </c>
      <c r="J701" s="22">
        <v>0</v>
      </c>
      <c r="K701" s="22">
        <v>-0.22</v>
      </c>
      <c r="L701" s="22">
        <v>0.03</v>
      </c>
      <c r="M701" s="10"/>
      <c r="N701" s="67"/>
      <c r="O701" s="11"/>
    </row>
    <row r="702" spans="1:15" s="4" customFormat="1" x14ac:dyDescent="0.25">
      <c r="A702" s="6">
        <v>346</v>
      </c>
      <c r="B702" s="5" t="s">
        <v>18</v>
      </c>
      <c r="C702" s="5" t="s">
        <v>13</v>
      </c>
      <c r="D702" s="5" t="s">
        <v>105</v>
      </c>
      <c r="E702" s="5" t="s">
        <v>106</v>
      </c>
      <c r="F702" s="5" t="s">
        <v>19</v>
      </c>
      <c r="G702" s="22">
        <v>0</v>
      </c>
      <c r="H702" s="22">
        <v>0</v>
      </c>
      <c r="I702" s="22">
        <v>0</v>
      </c>
      <c r="J702" s="22">
        <v>0</v>
      </c>
      <c r="K702" s="22">
        <v>0</v>
      </c>
      <c r="L702" s="22">
        <v>0</v>
      </c>
      <c r="M702" s="10"/>
      <c r="N702" s="67"/>
      <c r="O702" s="11"/>
    </row>
    <row r="703" spans="1:15" x14ac:dyDescent="0.25">
      <c r="A703" s="6"/>
      <c r="B703" s="5"/>
      <c r="C703" s="5"/>
      <c r="D703" s="5" t="s">
        <v>105</v>
      </c>
      <c r="E703" s="5" t="s">
        <v>106</v>
      </c>
      <c r="F703" s="5" t="s">
        <v>19</v>
      </c>
      <c r="G703" s="14">
        <f t="shared" ref="G703:L703" si="175">SUBTOTAL(9,G701:G702)</f>
        <v>0.25</v>
      </c>
      <c r="H703" s="14">
        <f t="shared" si="175"/>
        <v>0</v>
      </c>
      <c r="I703" s="14">
        <f t="shared" si="175"/>
        <v>0</v>
      </c>
      <c r="J703" s="14">
        <f t="shared" si="175"/>
        <v>0</v>
      </c>
      <c r="K703" s="14">
        <f t="shared" si="175"/>
        <v>-0.22</v>
      </c>
      <c r="L703" s="14">
        <f t="shared" si="175"/>
        <v>0.03</v>
      </c>
      <c r="M703" s="10">
        <v>2288</v>
      </c>
      <c r="N703" s="69"/>
      <c r="O703" s="11">
        <f>O699+1</f>
        <v>170</v>
      </c>
    </row>
    <row r="704" spans="1:15" x14ac:dyDescent="0.25">
      <c r="A704" s="10"/>
      <c r="G704" s="21"/>
      <c r="H704" s="21"/>
      <c r="I704" s="21"/>
      <c r="J704" s="21"/>
      <c r="K704" s="21"/>
      <c r="L704" s="21"/>
      <c r="M704" s="10"/>
      <c r="O704" s="11"/>
    </row>
    <row r="705" spans="1:15" s="4" customFormat="1" x14ac:dyDescent="0.25">
      <c r="A705" s="6">
        <v>347</v>
      </c>
      <c r="B705" s="5" t="s">
        <v>550</v>
      </c>
      <c r="C705" s="5" t="s">
        <v>17</v>
      </c>
      <c r="D705" s="5" t="s">
        <v>105</v>
      </c>
      <c r="E705" s="5" t="s">
        <v>106</v>
      </c>
      <c r="F705" s="5" t="s">
        <v>551</v>
      </c>
      <c r="G705" s="22">
        <v>12579.53</v>
      </c>
      <c r="H705" s="22">
        <v>0</v>
      </c>
      <c r="I705" s="22">
        <v>0</v>
      </c>
      <c r="J705" s="22">
        <v>0</v>
      </c>
      <c r="K705" s="22">
        <v>-251.59</v>
      </c>
      <c r="L705" s="22">
        <v>12327.94</v>
      </c>
      <c r="M705" s="10"/>
      <c r="N705" s="67"/>
      <c r="O705" s="11"/>
    </row>
    <row r="706" spans="1:15" s="4" customFormat="1" x14ac:dyDescent="0.25">
      <c r="A706" s="6">
        <v>348</v>
      </c>
      <c r="B706" s="5" t="s">
        <v>550</v>
      </c>
      <c r="C706" s="5" t="s">
        <v>13</v>
      </c>
      <c r="D706" s="5" t="s">
        <v>105</v>
      </c>
      <c r="E706" s="5" t="s">
        <v>106</v>
      </c>
      <c r="F706" s="5" t="s">
        <v>551</v>
      </c>
      <c r="G706" s="22">
        <v>0</v>
      </c>
      <c r="H706" s="22">
        <v>0</v>
      </c>
      <c r="I706" s="22">
        <v>0</v>
      </c>
      <c r="J706" s="22">
        <v>1509.54</v>
      </c>
      <c r="K706" s="22">
        <v>0</v>
      </c>
      <c r="L706" s="22">
        <v>1509.54</v>
      </c>
      <c r="M706" s="10"/>
      <c r="N706" s="67"/>
      <c r="O706" s="11"/>
    </row>
    <row r="707" spans="1:15" x14ac:dyDescent="0.25">
      <c r="A707" s="6"/>
      <c r="B707" s="5"/>
      <c r="C707" s="5"/>
      <c r="D707" s="5" t="s">
        <v>105</v>
      </c>
      <c r="E707" s="5" t="s">
        <v>106</v>
      </c>
      <c r="F707" s="5" t="s">
        <v>551</v>
      </c>
      <c r="G707" s="14">
        <f t="shared" ref="G707:L707" si="176">SUBTOTAL(9,G705:G706)</f>
        <v>12579.53</v>
      </c>
      <c r="H707" s="14">
        <f t="shared" si="176"/>
        <v>0</v>
      </c>
      <c r="I707" s="14">
        <f t="shared" si="176"/>
        <v>0</v>
      </c>
      <c r="J707" s="14">
        <f t="shared" si="176"/>
        <v>1509.54</v>
      </c>
      <c r="K707" s="14">
        <f t="shared" si="176"/>
        <v>-251.59</v>
      </c>
      <c r="L707" s="14">
        <f t="shared" si="176"/>
        <v>13837.48</v>
      </c>
      <c r="M707" s="10">
        <v>2289</v>
      </c>
      <c r="N707" s="69"/>
      <c r="O707" s="11">
        <f>O703+1</f>
        <v>171</v>
      </c>
    </row>
    <row r="708" spans="1:15" x14ac:dyDescent="0.25">
      <c r="A708" s="10"/>
      <c r="G708" s="21"/>
      <c r="H708" s="21"/>
      <c r="I708" s="21"/>
      <c r="J708" s="21"/>
      <c r="K708" s="21"/>
      <c r="L708" s="21"/>
      <c r="M708" s="10"/>
      <c r="O708" s="11"/>
    </row>
    <row r="709" spans="1:15" s="4" customFormat="1" x14ac:dyDescent="0.25">
      <c r="A709" s="6">
        <v>349</v>
      </c>
      <c r="B709" s="5" t="s">
        <v>550</v>
      </c>
      <c r="C709" s="5" t="s">
        <v>17</v>
      </c>
      <c r="D709" s="5" t="s">
        <v>105</v>
      </c>
      <c r="E709" s="5" t="s">
        <v>106</v>
      </c>
      <c r="F709" s="5" t="s">
        <v>552</v>
      </c>
      <c r="G709" s="22">
        <v>0.9</v>
      </c>
      <c r="H709" s="22">
        <v>0</v>
      </c>
      <c r="I709" s="22">
        <v>0</v>
      </c>
      <c r="J709" s="22">
        <v>0</v>
      </c>
      <c r="K709" s="22">
        <v>-0.02</v>
      </c>
      <c r="L709" s="22">
        <v>0.88</v>
      </c>
      <c r="M709" s="10"/>
      <c r="N709" s="67"/>
      <c r="O709" s="11"/>
    </row>
    <row r="710" spans="1:15" s="4" customFormat="1" x14ac:dyDescent="0.25">
      <c r="A710" s="6">
        <v>350</v>
      </c>
      <c r="B710" s="5" t="s">
        <v>550</v>
      </c>
      <c r="C710" s="5" t="s">
        <v>13</v>
      </c>
      <c r="D710" s="5" t="s">
        <v>105</v>
      </c>
      <c r="E710" s="5" t="s">
        <v>106</v>
      </c>
      <c r="F710" s="5" t="s">
        <v>552</v>
      </c>
      <c r="G710" s="22">
        <v>0</v>
      </c>
      <c r="H710" s="22">
        <v>0</v>
      </c>
      <c r="I710" s="22">
        <v>0</v>
      </c>
      <c r="J710" s="22">
        <v>0.11</v>
      </c>
      <c r="K710" s="22">
        <v>0</v>
      </c>
      <c r="L710" s="22">
        <v>0.11</v>
      </c>
      <c r="M710" s="10"/>
      <c r="N710" s="67"/>
      <c r="O710" s="11"/>
    </row>
    <row r="711" spans="1:15" x14ac:dyDescent="0.25">
      <c r="A711" s="6"/>
      <c r="B711" s="5"/>
      <c r="C711" s="5"/>
      <c r="D711" s="5" t="s">
        <v>105</v>
      </c>
      <c r="E711" s="5" t="s">
        <v>106</v>
      </c>
      <c r="F711" s="5" t="s">
        <v>552</v>
      </c>
      <c r="G711" s="14">
        <f t="shared" ref="G711:L711" si="177">SUBTOTAL(9,G709:G710)</f>
        <v>0.9</v>
      </c>
      <c r="H711" s="14">
        <f t="shared" si="177"/>
        <v>0</v>
      </c>
      <c r="I711" s="14">
        <f t="shared" si="177"/>
        <v>0</v>
      </c>
      <c r="J711" s="14">
        <f t="shared" si="177"/>
        <v>0.11</v>
      </c>
      <c r="K711" s="14">
        <f t="shared" si="177"/>
        <v>-0.02</v>
      </c>
      <c r="L711" s="14">
        <f t="shared" si="177"/>
        <v>0.99</v>
      </c>
      <c r="M711" s="10">
        <v>2290</v>
      </c>
      <c r="N711" s="69"/>
      <c r="O711" s="11">
        <f>O707+1</f>
        <v>172</v>
      </c>
    </row>
    <row r="712" spans="1:15" x14ac:dyDescent="0.25">
      <c r="A712" s="10"/>
      <c r="G712" s="21"/>
      <c r="H712" s="21"/>
      <c r="I712" s="21"/>
      <c r="J712" s="21"/>
      <c r="K712" s="21"/>
      <c r="L712" s="21"/>
      <c r="M712" s="10"/>
      <c r="O712" s="11"/>
    </row>
    <row r="713" spans="1:15" s="4" customFormat="1" x14ac:dyDescent="0.25">
      <c r="A713" s="6">
        <v>351</v>
      </c>
      <c r="B713" s="5" t="s">
        <v>18</v>
      </c>
      <c r="C713" s="5" t="s">
        <v>17</v>
      </c>
      <c r="D713" s="5" t="s">
        <v>107</v>
      </c>
      <c r="E713" s="5" t="s">
        <v>108</v>
      </c>
      <c r="F713" s="5" t="s">
        <v>19</v>
      </c>
      <c r="G713" s="22">
        <v>4.5</v>
      </c>
      <c r="H713" s="22">
        <v>0</v>
      </c>
      <c r="I713" s="22">
        <v>0</v>
      </c>
      <c r="J713" s="22">
        <v>0</v>
      </c>
      <c r="K713" s="22">
        <v>-3.99</v>
      </c>
      <c r="L713" s="22">
        <v>0.51</v>
      </c>
      <c r="M713" s="10"/>
      <c r="N713" s="67"/>
      <c r="O713" s="11"/>
    </row>
    <row r="714" spans="1:15" s="4" customFormat="1" x14ac:dyDescent="0.25">
      <c r="A714" s="6"/>
      <c r="B714" s="5"/>
      <c r="C714" s="5"/>
      <c r="D714" s="5" t="s">
        <v>107</v>
      </c>
      <c r="E714" s="5" t="s">
        <v>108</v>
      </c>
      <c r="F714" s="5" t="s">
        <v>19</v>
      </c>
      <c r="G714" s="14">
        <f t="shared" ref="G714:L714" si="178">SUBTOTAL(9,G713:G713)</f>
        <v>4.5</v>
      </c>
      <c r="H714" s="14">
        <f t="shared" si="178"/>
        <v>0</v>
      </c>
      <c r="I714" s="14">
        <f t="shared" si="178"/>
        <v>0</v>
      </c>
      <c r="J714" s="14">
        <f t="shared" si="178"/>
        <v>0</v>
      </c>
      <c r="K714" s="14">
        <f t="shared" si="178"/>
        <v>-3.99</v>
      </c>
      <c r="L714" s="14">
        <f t="shared" si="178"/>
        <v>0.51</v>
      </c>
      <c r="M714" s="10">
        <v>2291</v>
      </c>
      <c r="N714" s="69"/>
      <c r="O714" s="11">
        <f>O711+1</f>
        <v>173</v>
      </c>
    </row>
    <row r="715" spans="1:15" x14ac:dyDescent="0.25">
      <c r="A715" s="10"/>
      <c r="G715" s="21"/>
      <c r="H715" s="21"/>
      <c r="I715" s="21"/>
      <c r="J715" s="21"/>
      <c r="K715" s="21"/>
      <c r="L715" s="21"/>
      <c r="M715" s="10"/>
      <c r="O715" s="11"/>
    </row>
    <row r="716" spans="1:15" x14ac:dyDescent="0.25">
      <c r="A716" s="6">
        <v>352</v>
      </c>
      <c r="B716" s="5" t="s">
        <v>20</v>
      </c>
      <c r="C716" s="5" t="s">
        <v>13</v>
      </c>
      <c r="D716" s="5" t="s">
        <v>107</v>
      </c>
      <c r="E716" s="5" t="s">
        <v>108</v>
      </c>
      <c r="F716" s="5" t="s">
        <v>21</v>
      </c>
      <c r="G716" s="22">
        <v>0</v>
      </c>
      <c r="H716" s="22">
        <v>0</v>
      </c>
      <c r="I716" s="22">
        <v>0</v>
      </c>
      <c r="J716" s="22">
        <v>0.01</v>
      </c>
      <c r="K716" s="22">
        <v>0</v>
      </c>
      <c r="L716" s="22">
        <v>0.01</v>
      </c>
      <c r="M716" s="10"/>
      <c r="O716" s="11"/>
    </row>
    <row r="717" spans="1:15" s="4" customFormat="1" x14ac:dyDescent="0.25">
      <c r="A717" s="6"/>
      <c r="B717" s="5"/>
      <c r="C717" s="5"/>
      <c r="D717" s="5" t="s">
        <v>107</v>
      </c>
      <c r="E717" s="5" t="s">
        <v>108</v>
      </c>
      <c r="F717" s="5" t="s">
        <v>21</v>
      </c>
      <c r="G717" s="14">
        <f t="shared" ref="G717:L717" si="179">SUBTOTAL(9,G716:G716)</f>
        <v>0</v>
      </c>
      <c r="H717" s="14">
        <f t="shared" si="179"/>
        <v>0</v>
      </c>
      <c r="I717" s="14">
        <f t="shared" si="179"/>
        <v>0</v>
      </c>
      <c r="J717" s="14">
        <f t="shared" si="179"/>
        <v>0.01</v>
      </c>
      <c r="K717" s="14">
        <f t="shared" si="179"/>
        <v>0</v>
      </c>
      <c r="L717" s="14">
        <f t="shared" si="179"/>
        <v>0.01</v>
      </c>
      <c r="M717" s="10">
        <v>2292</v>
      </c>
      <c r="N717" s="69"/>
      <c r="O717" s="11">
        <f>O714+1</f>
        <v>174</v>
      </c>
    </row>
    <row r="718" spans="1:15" x14ac:dyDescent="0.25">
      <c r="A718" s="10"/>
      <c r="G718" s="21"/>
      <c r="H718" s="21"/>
      <c r="I718" s="21"/>
      <c r="J718" s="21"/>
      <c r="K718" s="21"/>
      <c r="L718" s="21"/>
      <c r="M718" s="10"/>
      <c r="O718" s="11"/>
    </row>
    <row r="719" spans="1:15" x14ac:dyDescent="0.25">
      <c r="A719" s="6">
        <v>353</v>
      </c>
      <c r="B719" s="5" t="s">
        <v>22</v>
      </c>
      <c r="C719" s="5" t="s">
        <v>17</v>
      </c>
      <c r="D719" s="5" t="s">
        <v>107</v>
      </c>
      <c r="E719" s="5" t="s">
        <v>108</v>
      </c>
      <c r="F719" s="5" t="s">
        <v>23</v>
      </c>
      <c r="G719" s="22">
        <v>469.99</v>
      </c>
      <c r="H719" s="22">
        <v>0</v>
      </c>
      <c r="I719" s="22">
        <v>0</v>
      </c>
      <c r="J719" s="22">
        <v>0</v>
      </c>
      <c r="K719" s="22">
        <v>-9.4</v>
      </c>
      <c r="L719" s="22">
        <v>460.59</v>
      </c>
      <c r="M719" s="10"/>
      <c r="O719" s="11"/>
    </row>
    <row r="720" spans="1:15" s="4" customFormat="1" x14ac:dyDescent="0.25">
      <c r="A720" s="6">
        <v>354</v>
      </c>
      <c r="B720" s="5" t="s">
        <v>22</v>
      </c>
      <c r="C720" s="5" t="s">
        <v>49</v>
      </c>
      <c r="D720" s="5" t="s">
        <v>107</v>
      </c>
      <c r="E720" s="5" t="s">
        <v>108</v>
      </c>
      <c r="F720" s="5" t="s">
        <v>23</v>
      </c>
      <c r="G720" s="22">
        <v>0.63</v>
      </c>
      <c r="H720" s="22">
        <v>0</v>
      </c>
      <c r="I720" s="22">
        <v>0</v>
      </c>
      <c r="J720" s="22">
        <v>0</v>
      </c>
      <c r="K720" s="22">
        <v>0</v>
      </c>
      <c r="L720" s="22">
        <v>0.63</v>
      </c>
      <c r="M720" s="10"/>
      <c r="N720" s="70">
        <v>0.63</v>
      </c>
      <c r="O720" s="11"/>
    </row>
    <row r="721" spans="1:15" x14ac:dyDescent="0.25">
      <c r="A721" s="6">
        <v>355</v>
      </c>
      <c r="B721" s="5" t="s">
        <v>22</v>
      </c>
      <c r="C721" s="5" t="s">
        <v>13</v>
      </c>
      <c r="D721" s="5" t="s">
        <v>107</v>
      </c>
      <c r="E721" s="5" t="s">
        <v>108</v>
      </c>
      <c r="F721" s="5" t="s">
        <v>23</v>
      </c>
      <c r="G721" s="22">
        <v>0</v>
      </c>
      <c r="H721" s="22">
        <v>0</v>
      </c>
      <c r="I721" s="22">
        <v>0</v>
      </c>
      <c r="J721" s="22">
        <v>2579.63</v>
      </c>
      <c r="K721" s="22">
        <v>0</v>
      </c>
      <c r="L721" s="22">
        <v>2579.63</v>
      </c>
      <c r="M721" s="10"/>
      <c r="O721" s="11"/>
    </row>
    <row r="722" spans="1:15" x14ac:dyDescent="0.25">
      <c r="A722" s="6"/>
      <c r="B722" s="5"/>
      <c r="C722" s="5"/>
      <c r="D722" s="5" t="s">
        <v>107</v>
      </c>
      <c r="E722" s="5" t="s">
        <v>108</v>
      </c>
      <c r="F722" s="5" t="s">
        <v>23</v>
      </c>
      <c r="G722" s="14">
        <f t="shared" ref="G722:L722" si="180">SUBTOTAL(9,G719:G721)</f>
        <v>470.62</v>
      </c>
      <c r="H722" s="14">
        <f t="shared" si="180"/>
        <v>0</v>
      </c>
      <c r="I722" s="14">
        <f t="shared" si="180"/>
        <v>0</v>
      </c>
      <c r="J722" s="14">
        <f t="shared" si="180"/>
        <v>2579.63</v>
      </c>
      <c r="K722" s="14">
        <f t="shared" si="180"/>
        <v>-9.4</v>
      </c>
      <c r="L722" s="14">
        <f t="shared" si="180"/>
        <v>3040.85</v>
      </c>
      <c r="M722" s="10">
        <v>2293</v>
      </c>
      <c r="N722" s="71">
        <f>SUBTOTAL(9,N719:N721)</f>
        <v>0.63</v>
      </c>
      <c r="O722" s="11">
        <f>O717+1</f>
        <v>175</v>
      </c>
    </row>
    <row r="723" spans="1:15" s="4" customFormat="1" x14ac:dyDescent="0.25">
      <c r="A723" s="10"/>
      <c r="B723"/>
      <c r="C723"/>
      <c r="D723"/>
      <c r="E723"/>
      <c r="F723"/>
      <c r="G723" s="21"/>
      <c r="H723" s="21"/>
      <c r="I723" s="21"/>
      <c r="J723" s="21"/>
      <c r="K723" s="21"/>
      <c r="L723" s="21"/>
      <c r="M723" s="10"/>
      <c r="N723" s="67"/>
      <c r="O723" s="11"/>
    </row>
    <row r="724" spans="1:15" s="4" customFormat="1" x14ac:dyDescent="0.25">
      <c r="A724" s="6">
        <v>356</v>
      </c>
      <c r="B724" s="5" t="s">
        <v>22</v>
      </c>
      <c r="C724" s="5" t="s">
        <v>17</v>
      </c>
      <c r="D724" s="5" t="s">
        <v>107</v>
      </c>
      <c r="E724" s="5" t="s">
        <v>108</v>
      </c>
      <c r="F724" s="5" t="s">
        <v>24</v>
      </c>
      <c r="G724" s="22">
        <v>0.91</v>
      </c>
      <c r="H724" s="22">
        <v>0</v>
      </c>
      <c r="I724" s="22">
        <v>0</v>
      </c>
      <c r="J724" s="22">
        <v>0</v>
      </c>
      <c r="K724" s="22">
        <v>-0.02</v>
      </c>
      <c r="L724" s="22">
        <v>0.89</v>
      </c>
      <c r="M724" s="10"/>
      <c r="N724" s="67"/>
      <c r="O724" s="11"/>
    </row>
    <row r="725" spans="1:15" x14ac:dyDescent="0.25">
      <c r="A725" s="6">
        <v>357</v>
      </c>
      <c r="B725" s="5" t="s">
        <v>22</v>
      </c>
      <c r="C725" s="5" t="s">
        <v>13</v>
      </c>
      <c r="D725" s="5" t="s">
        <v>107</v>
      </c>
      <c r="E725" s="5" t="s">
        <v>108</v>
      </c>
      <c r="F725" s="5" t="s">
        <v>24</v>
      </c>
      <c r="G725" s="22">
        <v>0</v>
      </c>
      <c r="H725" s="22">
        <v>0</v>
      </c>
      <c r="I725" s="22">
        <v>0</v>
      </c>
      <c r="J725" s="22">
        <v>5.01</v>
      </c>
      <c r="K725" s="22">
        <v>0</v>
      </c>
      <c r="L725" s="22">
        <v>5.01</v>
      </c>
      <c r="M725" s="10"/>
      <c r="O725" s="11"/>
    </row>
    <row r="726" spans="1:15" x14ac:dyDescent="0.25">
      <c r="A726" s="6"/>
      <c r="B726" s="5"/>
      <c r="C726" s="5"/>
      <c r="D726" s="5" t="s">
        <v>107</v>
      </c>
      <c r="E726" s="5" t="s">
        <v>108</v>
      </c>
      <c r="F726" s="5" t="s">
        <v>24</v>
      </c>
      <c r="G726" s="14">
        <f t="shared" ref="G726:L726" si="181">SUBTOTAL(9,G724:G725)</f>
        <v>0.91</v>
      </c>
      <c r="H726" s="14">
        <f t="shared" si="181"/>
        <v>0</v>
      </c>
      <c r="I726" s="14">
        <f t="shared" si="181"/>
        <v>0</v>
      </c>
      <c r="J726" s="14">
        <f t="shared" si="181"/>
        <v>5.01</v>
      </c>
      <c r="K726" s="14">
        <f t="shared" si="181"/>
        <v>-0.02</v>
      </c>
      <c r="L726" s="14">
        <f t="shared" si="181"/>
        <v>5.8999999999999995</v>
      </c>
      <c r="M726" s="10">
        <v>2294</v>
      </c>
      <c r="N726" s="69"/>
      <c r="O726" s="11">
        <f>O722+1</f>
        <v>176</v>
      </c>
    </row>
    <row r="727" spans="1:15" s="4" customFormat="1" x14ac:dyDescent="0.25">
      <c r="A727" s="10"/>
      <c r="B727"/>
      <c r="C727"/>
      <c r="D727"/>
      <c r="E727"/>
      <c r="F727"/>
      <c r="G727" s="21"/>
      <c r="H727" s="21"/>
      <c r="I727" s="21"/>
      <c r="J727" s="21"/>
      <c r="K727" s="21"/>
      <c r="L727" s="21"/>
      <c r="M727" s="10"/>
      <c r="N727" s="67"/>
      <c r="O727" s="11"/>
    </row>
    <row r="728" spans="1:15" s="4" customFormat="1" x14ac:dyDescent="0.25">
      <c r="A728" s="6">
        <v>358</v>
      </c>
      <c r="B728" s="5" t="s">
        <v>550</v>
      </c>
      <c r="C728" s="5" t="s">
        <v>17</v>
      </c>
      <c r="D728" s="5" t="s">
        <v>107</v>
      </c>
      <c r="E728" s="5" t="s">
        <v>108</v>
      </c>
      <c r="F728" s="5" t="s">
        <v>551</v>
      </c>
      <c r="G728" s="22">
        <v>102131.33</v>
      </c>
      <c r="H728" s="22">
        <v>0</v>
      </c>
      <c r="I728" s="22">
        <v>0</v>
      </c>
      <c r="J728" s="22">
        <v>0</v>
      </c>
      <c r="K728" s="22">
        <v>-2042.63</v>
      </c>
      <c r="L728" s="22">
        <v>100088.7</v>
      </c>
      <c r="M728" s="10"/>
      <c r="N728" s="67"/>
      <c r="O728" s="11"/>
    </row>
    <row r="729" spans="1:15" x14ac:dyDescent="0.25">
      <c r="A729" s="6"/>
      <c r="B729" s="5"/>
      <c r="C729" s="5"/>
      <c r="D729" s="5" t="s">
        <v>107</v>
      </c>
      <c r="E729" s="5" t="s">
        <v>108</v>
      </c>
      <c r="F729" s="5" t="s">
        <v>551</v>
      </c>
      <c r="G729" s="14">
        <f t="shared" ref="G729:L729" si="182">SUBTOTAL(9,G728:G728)</f>
        <v>102131.33</v>
      </c>
      <c r="H729" s="14">
        <f t="shared" si="182"/>
        <v>0</v>
      </c>
      <c r="I729" s="14">
        <f t="shared" si="182"/>
        <v>0</v>
      </c>
      <c r="J729" s="14">
        <f t="shared" si="182"/>
        <v>0</v>
      </c>
      <c r="K729" s="14">
        <f t="shared" si="182"/>
        <v>-2042.63</v>
      </c>
      <c r="L729" s="14">
        <f t="shared" si="182"/>
        <v>100088.7</v>
      </c>
      <c r="M729" s="10">
        <v>2295</v>
      </c>
      <c r="N729" s="69"/>
      <c r="O729" s="11">
        <f>O726+1</f>
        <v>177</v>
      </c>
    </row>
    <row r="730" spans="1:15" x14ac:dyDescent="0.25">
      <c r="A730" s="10"/>
      <c r="G730" s="21"/>
      <c r="H730" s="21"/>
      <c r="I730" s="21"/>
      <c r="J730" s="21"/>
      <c r="K730" s="21"/>
      <c r="L730" s="21"/>
      <c r="M730" s="10"/>
      <c r="O730" s="11"/>
    </row>
    <row r="731" spans="1:15" s="4" customFormat="1" x14ac:dyDescent="0.25">
      <c r="A731" s="6">
        <v>359</v>
      </c>
      <c r="B731" s="5" t="s">
        <v>550</v>
      </c>
      <c r="C731" s="5" t="s">
        <v>17</v>
      </c>
      <c r="D731" s="5" t="s">
        <v>107</v>
      </c>
      <c r="E731" s="5" t="s">
        <v>108</v>
      </c>
      <c r="F731" s="5" t="s">
        <v>552</v>
      </c>
      <c r="G731" s="22">
        <v>7.35</v>
      </c>
      <c r="H731" s="22">
        <v>0</v>
      </c>
      <c r="I731" s="22">
        <v>0</v>
      </c>
      <c r="J731" s="22">
        <v>0</v>
      </c>
      <c r="K731" s="22">
        <v>-0.15</v>
      </c>
      <c r="L731" s="22">
        <v>7.2</v>
      </c>
      <c r="M731" s="10"/>
      <c r="N731" s="67"/>
      <c r="O731" s="11"/>
    </row>
    <row r="732" spans="1:15" s="4" customFormat="1" x14ac:dyDescent="0.25">
      <c r="A732" s="6"/>
      <c r="B732" s="5"/>
      <c r="C732" s="5"/>
      <c r="D732" s="5" t="s">
        <v>107</v>
      </c>
      <c r="E732" s="5" t="s">
        <v>108</v>
      </c>
      <c r="F732" s="5" t="s">
        <v>552</v>
      </c>
      <c r="G732" s="14">
        <f t="shared" ref="G732:L732" si="183">SUBTOTAL(9,G731:G731)</f>
        <v>7.35</v>
      </c>
      <c r="H732" s="14">
        <f t="shared" si="183"/>
        <v>0</v>
      </c>
      <c r="I732" s="14">
        <f t="shared" si="183"/>
        <v>0</v>
      </c>
      <c r="J732" s="14">
        <f t="shared" si="183"/>
        <v>0</v>
      </c>
      <c r="K732" s="14">
        <f t="shared" si="183"/>
        <v>-0.15</v>
      </c>
      <c r="L732" s="14">
        <f t="shared" si="183"/>
        <v>7.2</v>
      </c>
      <c r="M732" s="10">
        <v>2296</v>
      </c>
      <c r="N732" s="69"/>
      <c r="O732" s="11">
        <f>O729+1</f>
        <v>178</v>
      </c>
    </row>
    <row r="733" spans="1:15" x14ac:dyDescent="0.25">
      <c r="A733" s="10"/>
      <c r="G733" s="21"/>
      <c r="H733" s="21"/>
      <c r="I733" s="21"/>
      <c r="J733" s="21"/>
      <c r="K733" s="21"/>
      <c r="L733" s="21"/>
      <c r="M733" s="10"/>
      <c r="O733" s="11"/>
    </row>
    <row r="734" spans="1:15" x14ac:dyDescent="0.25">
      <c r="A734" s="6">
        <v>360</v>
      </c>
      <c r="B734" s="5" t="s">
        <v>18</v>
      </c>
      <c r="C734" s="5" t="s">
        <v>17</v>
      </c>
      <c r="D734" s="5" t="s">
        <v>109</v>
      </c>
      <c r="E734" s="5" t="s">
        <v>110</v>
      </c>
      <c r="F734" s="5" t="s">
        <v>19</v>
      </c>
      <c r="G734" s="22">
        <v>4.8600000000000003</v>
      </c>
      <c r="H734" s="22">
        <v>0</v>
      </c>
      <c r="I734" s="22">
        <v>0</v>
      </c>
      <c r="J734" s="22">
        <v>0</v>
      </c>
      <c r="K734" s="22">
        <v>-4.32</v>
      </c>
      <c r="L734" s="22">
        <v>0.54</v>
      </c>
      <c r="M734" s="10"/>
      <c r="O734" s="11"/>
    </row>
    <row r="735" spans="1:15" s="4" customFormat="1" x14ac:dyDescent="0.25">
      <c r="A735" s="6"/>
      <c r="B735" s="5"/>
      <c r="C735" s="5"/>
      <c r="D735" s="5" t="s">
        <v>109</v>
      </c>
      <c r="E735" s="5" t="s">
        <v>110</v>
      </c>
      <c r="F735" s="5" t="s">
        <v>19</v>
      </c>
      <c r="G735" s="14">
        <f t="shared" ref="G735:L735" si="184">SUBTOTAL(9,G734:G734)</f>
        <v>4.8600000000000003</v>
      </c>
      <c r="H735" s="14">
        <f t="shared" si="184"/>
        <v>0</v>
      </c>
      <c r="I735" s="14">
        <f t="shared" si="184"/>
        <v>0</v>
      </c>
      <c r="J735" s="14">
        <f t="shared" si="184"/>
        <v>0</v>
      </c>
      <c r="K735" s="14">
        <f t="shared" si="184"/>
        <v>-4.32</v>
      </c>
      <c r="L735" s="14">
        <f t="shared" si="184"/>
        <v>0.54</v>
      </c>
      <c r="M735" s="10">
        <v>2297</v>
      </c>
      <c r="N735" s="69"/>
      <c r="O735" s="11">
        <f>O732+1</f>
        <v>179</v>
      </c>
    </row>
    <row r="736" spans="1:15" x14ac:dyDescent="0.25">
      <c r="A736" s="10"/>
      <c r="G736" s="21"/>
      <c r="H736" s="21"/>
      <c r="I736" s="21"/>
      <c r="J736" s="21"/>
      <c r="K736" s="21"/>
      <c r="L736" s="21"/>
      <c r="M736" s="10"/>
      <c r="O736" s="11"/>
    </row>
    <row r="737" spans="1:15" x14ac:dyDescent="0.25">
      <c r="A737" s="6">
        <v>361</v>
      </c>
      <c r="B737" s="5" t="s">
        <v>550</v>
      </c>
      <c r="C737" s="5" t="s">
        <v>17</v>
      </c>
      <c r="D737" s="5" t="s">
        <v>109</v>
      </c>
      <c r="E737" s="5" t="s">
        <v>110</v>
      </c>
      <c r="F737" s="5" t="s">
        <v>551</v>
      </c>
      <c r="G737" s="22">
        <v>57255.86</v>
      </c>
      <c r="H737" s="22">
        <v>0</v>
      </c>
      <c r="I737" s="22">
        <v>0</v>
      </c>
      <c r="J737" s="22">
        <v>0</v>
      </c>
      <c r="K737" s="22">
        <v>-1145.1199999999999</v>
      </c>
      <c r="L737" s="22">
        <v>56110.74</v>
      </c>
      <c r="M737" s="10"/>
      <c r="O737" s="11"/>
    </row>
    <row r="738" spans="1:15" s="4" customFormat="1" x14ac:dyDescent="0.25">
      <c r="A738" s="6">
        <v>362</v>
      </c>
      <c r="B738" s="5" t="s">
        <v>550</v>
      </c>
      <c r="C738" s="5" t="s">
        <v>13</v>
      </c>
      <c r="D738" s="5" t="s">
        <v>109</v>
      </c>
      <c r="E738" s="5" t="s">
        <v>110</v>
      </c>
      <c r="F738" s="5" t="s">
        <v>551</v>
      </c>
      <c r="G738" s="22">
        <v>0</v>
      </c>
      <c r="H738" s="22">
        <v>0</v>
      </c>
      <c r="I738" s="22">
        <v>0</v>
      </c>
      <c r="J738" s="22">
        <v>6870.7</v>
      </c>
      <c r="K738" s="22">
        <v>0</v>
      </c>
      <c r="L738" s="22">
        <v>6870.7</v>
      </c>
      <c r="M738" s="10"/>
      <c r="N738" s="67"/>
      <c r="O738" s="11"/>
    </row>
    <row r="739" spans="1:15" x14ac:dyDescent="0.25">
      <c r="A739" s="6"/>
      <c r="B739" s="5"/>
      <c r="C739" s="5"/>
      <c r="D739" s="5" t="s">
        <v>109</v>
      </c>
      <c r="E739" s="5" t="s">
        <v>110</v>
      </c>
      <c r="F739" s="5" t="s">
        <v>551</v>
      </c>
      <c r="G739" s="14">
        <f t="shared" ref="G739:L739" si="185">SUBTOTAL(9,G737:G738)</f>
        <v>57255.86</v>
      </c>
      <c r="H739" s="14">
        <f t="shared" si="185"/>
        <v>0</v>
      </c>
      <c r="I739" s="14">
        <f t="shared" si="185"/>
        <v>0</v>
      </c>
      <c r="J739" s="14">
        <f t="shared" si="185"/>
        <v>6870.7</v>
      </c>
      <c r="K739" s="14">
        <f t="shared" si="185"/>
        <v>-1145.1199999999999</v>
      </c>
      <c r="L739" s="14">
        <f t="shared" si="185"/>
        <v>62981.439999999995</v>
      </c>
      <c r="M739" s="10">
        <v>2299</v>
      </c>
      <c r="N739" s="69"/>
      <c r="O739" s="11">
        <f>O735+1</f>
        <v>180</v>
      </c>
    </row>
    <row r="740" spans="1:15" x14ac:dyDescent="0.25">
      <c r="A740" s="10"/>
      <c r="G740" s="21"/>
      <c r="H740" s="21"/>
      <c r="I740" s="21"/>
      <c r="J740" s="21"/>
      <c r="K740" s="21"/>
      <c r="L740" s="21"/>
      <c r="M740" s="10"/>
      <c r="O740" s="11"/>
    </row>
    <row r="741" spans="1:15" s="4" customFormat="1" x14ac:dyDescent="0.25">
      <c r="A741" s="6">
        <v>363</v>
      </c>
      <c r="B741" s="5" t="s">
        <v>550</v>
      </c>
      <c r="C741" s="5" t="s">
        <v>17</v>
      </c>
      <c r="D741" s="5" t="s">
        <v>109</v>
      </c>
      <c r="E741" s="5" t="s">
        <v>110</v>
      </c>
      <c r="F741" s="5" t="s">
        <v>552</v>
      </c>
      <c r="G741" s="22">
        <v>4.12</v>
      </c>
      <c r="H741" s="22">
        <v>0</v>
      </c>
      <c r="I741" s="22">
        <v>0</v>
      </c>
      <c r="J741" s="22">
        <v>0</v>
      </c>
      <c r="K741" s="22">
        <v>-0.08</v>
      </c>
      <c r="L741" s="22">
        <v>4.04</v>
      </c>
      <c r="M741" s="10"/>
      <c r="N741" s="67"/>
      <c r="O741" s="11"/>
    </row>
    <row r="742" spans="1:15" x14ac:dyDescent="0.25">
      <c r="A742" s="6">
        <v>364</v>
      </c>
      <c r="B742" s="5" t="s">
        <v>550</v>
      </c>
      <c r="C742" s="5" t="s">
        <v>13</v>
      </c>
      <c r="D742" s="5" t="s">
        <v>109</v>
      </c>
      <c r="E742" s="5" t="s">
        <v>110</v>
      </c>
      <c r="F742" s="5" t="s">
        <v>552</v>
      </c>
      <c r="G742" s="22">
        <v>0</v>
      </c>
      <c r="H742" s="22">
        <v>0</v>
      </c>
      <c r="I742" s="22">
        <v>0</v>
      </c>
      <c r="J742" s="22">
        <v>0.49</v>
      </c>
      <c r="K742" s="22">
        <v>0</v>
      </c>
      <c r="L742" s="22">
        <v>0.49</v>
      </c>
      <c r="M742" s="10"/>
      <c r="O742" s="11"/>
    </row>
    <row r="743" spans="1:15" x14ac:dyDescent="0.25">
      <c r="A743" s="6"/>
      <c r="B743" s="5"/>
      <c r="C743" s="5"/>
      <c r="D743" s="5" t="s">
        <v>109</v>
      </c>
      <c r="E743" s="5" t="s">
        <v>110</v>
      </c>
      <c r="F743" s="5" t="s">
        <v>552</v>
      </c>
      <c r="G743" s="14">
        <f t="shared" ref="G743:L743" si="186">SUBTOTAL(9,G741:G742)</f>
        <v>4.12</v>
      </c>
      <c r="H743" s="14">
        <f t="shared" si="186"/>
        <v>0</v>
      </c>
      <c r="I743" s="14">
        <f t="shared" si="186"/>
        <v>0</v>
      </c>
      <c r="J743" s="14">
        <f t="shared" si="186"/>
        <v>0.49</v>
      </c>
      <c r="K743" s="14">
        <f t="shared" si="186"/>
        <v>-0.08</v>
      </c>
      <c r="L743" s="14">
        <f t="shared" si="186"/>
        <v>4.53</v>
      </c>
      <c r="M743" s="10">
        <v>2298</v>
      </c>
      <c r="N743" s="69"/>
      <c r="O743" s="11">
        <f>O739+1</f>
        <v>181</v>
      </c>
    </row>
    <row r="744" spans="1:15" s="4" customFormat="1" x14ac:dyDescent="0.25">
      <c r="A744" s="10"/>
      <c r="B744"/>
      <c r="C744"/>
      <c r="D744"/>
      <c r="E744"/>
      <c r="F744"/>
      <c r="G744" s="21"/>
      <c r="H744" s="21"/>
      <c r="I744" s="21"/>
      <c r="J744" s="21"/>
      <c r="K744" s="21"/>
      <c r="L744" s="21"/>
      <c r="M744" s="10"/>
      <c r="N744" s="67"/>
      <c r="O744" s="11"/>
    </row>
    <row r="745" spans="1:15" s="4" customFormat="1" x14ac:dyDescent="0.25">
      <c r="A745" s="6">
        <v>365</v>
      </c>
      <c r="B745" s="5" t="s">
        <v>18</v>
      </c>
      <c r="C745" s="5" t="s">
        <v>17</v>
      </c>
      <c r="D745" s="5" t="s">
        <v>111</v>
      </c>
      <c r="E745" s="5" t="s">
        <v>112</v>
      </c>
      <c r="F745" s="5" t="s">
        <v>19</v>
      </c>
      <c r="G745" s="22">
        <v>0.45</v>
      </c>
      <c r="H745" s="22">
        <v>0</v>
      </c>
      <c r="I745" s="22">
        <v>0</v>
      </c>
      <c r="J745" s="22">
        <v>0</v>
      </c>
      <c r="K745" s="22">
        <v>-0.4</v>
      </c>
      <c r="L745" s="22">
        <v>0.05</v>
      </c>
      <c r="M745" s="10"/>
      <c r="N745" s="67"/>
      <c r="O745" s="11"/>
    </row>
    <row r="746" spans="1:15" x14ac:dyDescent="0.25">
      <c r="A746" s="6"/>
      <c r="B746" s="5"/>
      <c r="C746" s="5"/>
      <c r="D746" s="5" t="s">
        <v>111</v>
      </c>
      <c r="E746" s="5" t="s">
        <v>112</v>
      </c>
      <c r="F746" s="5" t="s">
        <v>19</v>
      </c>
      <c r="G746" s="14">
        <f t="shared" ref="G746:L746" si="187">SUBTOTAL(9,G745:G745)</f>
        <v>0.45</v>
      </c>
      <c r="H746" s="14">
        <f t="shared" si="187"/>
        <v>0</v>
      </c>
      <c r="I746" s="14">
        <f t="shared" si="187"/>
        <v>0</v>
      </c>
      <c r="J746" s="14">
        <f t="shared" si="187"/>
        <v>0</v>
      </c>
      <c r="K746" s="14">
        <f t="shared" si="187"/>
        <v>-0.4</v>
      </c>
      <c r="L746" s="14">
        <f t="shared" si="187"/>
        <v>0.05</v>
      </c>
      <c r="M746" s="10">
        <v>2300</v>
      </c>
      <c r="N746" s="69"/>
      <c r="O746" s="11">
        <f>O743+1</f>
        <v>182</v>
      </c>
    </row>
    <row r="747" spans="1:15" x14ac:dyDescent="0.25">
      <c r="A747" s="10"/>
      <c r="G747" s="21"/>
      <c r="H747" s="21"/>
      <c r="I747" s="21"/>
      <c r="J747" s="21"/>
      <c r="K747" s="21"/>
      <c r="L747" s="21"/>
      <c r="M747" s="10"/>
      <c r="O747" s="11"/>
    </row>
    <row r="748" spans="1:15" s="4" customFormat="1" x14ac:dyDescent="0.25">
      <c r="A748" s="6">
        <v>366</v>
      </c>
      <c r="B748" s="5" t="s">
        <v>550</v>
      </c>
      <c r="C748" s="5" t="s">
        <v>17</v>
      </c>
      <c r="D748" s="5" t="s">
        <v>111</v>
      </c>
      <c r="E748" s="5" t="s">
        <v>112</v>
      </c>
      <c r="F748" s="5" t="s">
        <v>551</v>
      </c>
      <c r="G748" s="22">
        <v>5758.59</v>
      </c>
      <c r="H748" s="22">
        <v>0</v>
      </c>
      <c r="I748" s="22">
        <v>0</v>
      </c>
      <c r="J748" s="22">
        <v>0</v>
      </c>
      <c r="K748" s="22">
        <v>-115.17</v>
      </c>
      <c r="L748" s="22">
        <v>5643.42</v>
      </c>
      <c r="M748" s="10"/>
      <c r="N748" s="67"/>
      <c r="O748" s="11"/>
    </row>
    <row r="749" spans="1:15" s="4" customFormat="1" x14ac:dyDescent="0.25">
      <c r="A749" s="6">
        <v>367</v>
      </c>
      <c r="B749" s="5" t="s">
        <v>550</v>
      </c>
      <c r="C749" s="5" t="s">
        <v>13</v>
      </c>
      <c r="D749" s="5" t="s">
        <v>111</v>
      </c>
      <c r="E749" s="5" t="s">
        <v>112</v>
      </c>
      <c r="F749" s="5" t="s">
        <v>551</v>
      </c>
      <c r="G749" s="22">
        <v>0</v>
      </c>
      <c r="H749" s="22">
        <v>0</v>
      </c>
      <c r="I749" s="22">
        <v>0</v>
      </c>
      <c r="J749" s="22">
        <v>691.03</v>
      </c>
      <c r="K749" s="22">
        <v>0</v>
      </c>
      <c r="L749" s="22">
        <v>691.03</v>
      </c>
      <c r="M749" s="10"/>
      <c r="N749" s="67"/>
      <c r="O749" s="11"/>
    </row>
    <row r="750" spans="1:15" x14ac:dyDescent="0.25">
      <c r="A750" s="6"/>
      <c r="B750" s="5"/>
      <c r="C750" s="5"/>
      <c r="D750" s="5" t="s">
        <v>111</v>
      </c>
      <c r="E750" s="5" t="s">
        <v>112</v>
      </c>
      <c r="F750" s="5" t="s">
        <v>551</v>
      </c>
      <c r="G750" s="14">
        <f t="shared" ref="G750:L750" si="188">SUBTOTAL(9,G748:G749)</f>
        <v>5758.59</v>
      </c>
      <c r="H750" s="14">
        <f t="shared" si="188"/>
        <v>0</v>
      </c>
      <c r="I750" s="14">
        <f t="shared" si="188"/>
        <v>0</v>
      </c>
      <c r="J750" s="14">
        <f t="shared" si="188"/>
        <v>691.03</v>
      </c>
      <c r="K750" s="14">
        <f t="shared" si="188"/>
        <v>-115.17</v>
      </c>
      <c r="L750" s="14">
        <f t="shared" si="188"/>
        <v>6334.45</v>
      </c>
      <c r="M750" s="10">
        <v>2301</v>
      </c>
      <c r="N750" s="69"/>
      <c r="O750" s="11">
        <f>O746+1</f>
        <v>183</v>
      </c>
    </row>
    <row r="751" spans="1:15" x14ac:dyDescent="0.25">
      <c r="A751" s="10"/>
      <c r="G751" s="21"/>
      <c r="H751" s="21"/>
      <c r="I751" s="21"/>
      <c r="J751" s="21"/>
      <c r="K751" s="21"/>
      <c r="L751" s="21"/>
      <c r="M751" s="10"/>
      <c r="O751" s="11"/>
    </row>
    <row r="752" spans="1:15" s="4" customFormat="1" x14ac:dyDescent="0.25">
      <c r="A752" s="6">
        <v>368</v>
      </c>
      <c r="B752" s="5" t="s">
        <v>550</v>
      </c>
      <c r="C752" s="5" t="s">
        <v>17</v>
      </c>
      <c r="D752" s="5" t="s">
        <v>111</v>
      </c>
      <c r="E752" s="5" t="s">
        <v>112</v>
      </c>
      <c r="F752" s="5" t="s">
        <v>552</v>
      </c>
      <c r="G752" s="22">
        <v>0.41</v>
      </c>
      <c r="H752" s="22">
        <v>0</v>
      </c>
      <c r="I752" s="22">
        <v>0</v>
      </c>
      <c r="J752" s="22">
        <v>0</v>
      </c>
      <c r="K752" s="22">
        <v>-0.01</v>
      </c>
      <c r="L752" s="22">
        <v>0.4</v>
      </c>
      <c r="M752" s="10"/>
      <c r="N752" s="67"/>
      <c r="O752" s="11"/>
    </row>
    <row r="753" spans="1:15" s="4" customFormat="1" x14ac:dyDescent="0.25">
      <c r="A753" s="6">
        <v>369</v>
      </c>
      <c r="B753" s="5" t="s">
        <v>550</v>
      </c>
      <c r="C753" s="5" t="s">
        <v>13</v>
      </c>
      <c r="D753" s="5" t="s">
        <v>111</v>
      </c>
      <c r="E753" s="5" t="s">
        <v>112</v>
      </c>
      <c r="F753" s="5" t="s">
        <v>552</v>
      </c>
      <c r="G753" s="22">
        <v>0</v>
      </c>
      <c r="H753" s="22">
        <v>0</v>
      </c>
      <c r="I753" s="22">
        <v>0</v>
      </c>
      <c r="J753" s="22">
        <v>0.05</v>
      </c>
      <c r="K753" s="22">
        <v>0</v>
      </c>
      <c r="L753" s="22">
        <v>0.05</v>
      </c>
      <c r="M753" s="10"/>
      <c r="N753" s="67"/>
      <c r="O753" s="11"/>
    </row>
    <row r="754" spans="1:15" x14ac:dyDescent="0.25">
      <c r="A754" s="6"/>
      <c r="B754" s="5"/>
      <c r="C754" s="5"/>
      <c r="D754" s="5" t="s">
        <v>111</v>
      </c>
      <c r="E754" s="5" t="s">
        <v>112</v>
      </c>
      <c r="F754" s="5" t="s">
        <v>552</v>
      </c>
      <c r="G754" s="14">
        <f t="shared" ref="G754:L754" si="189">SUBTOTAL(9,G752:G753)</f>
        <v>0.41</v>
      </c>
      <c r="H754" s="14">
        <f t="shared" si="189"/>
        <v>0</v>
      </c>
      <c r="I754" s="14">
        <f t="shared" si="189"/>
        <v>0</v>
      </c>
      <c r="J754" s="14">
        <f t="shared" si="189"/>
        <v>0.05</v>
      </c>
      <c r="K754" s="14">
        <f t="shared" si="189"/>
        <v>-0.01</v>
      </c>
      <c r="L754" s="14">
        <f t="shared" si="189"/>
        <v>0.45</v>
      </c>
      <c r="M754" s="10">
        <v>2302</v>
      </c>
      <c r="N754" s="69"/>
      <c r="O754" s="11">
        <f>O750+1</f>
        <v>184</v>
      </c>
    </row>
    <row r="755" spans="1:15" x14ac:dyDescent="0.25">
      <c r="A755" s="10"/>
      <c r="G755" s="21"/>
      <c r="H755" s="21"/>
      <c r="I755" s="21"/>
      <c r="J755" s="21"/>
      <c r="K755" s="21"/>
      <c r="L755" s="21"/>
      <c r="M755" s="10"/>
      <c r="O755" s="11"/>
    </row>
    <row r="756" spans="1:15" s="4" customFormat="1" x14ac:dyDescent="0.25">
      <c r="A756" s="6">
        <v>370</v>
      </c>
      <c r="B756" s="5" t="s">
        <v>37</v>
      </c>
      <c r="C756" s="5" t="s">
        <v>17</v>
      </c>
      <c r="D756" s="5" t="s">
        <v>113</v>
      </c>
      <c r="E756" s="5" t="s">
        <v>114</v>
      </c>
      <c r="F756" s="5" t="s">
        <v>38</v>
      </c>
      <c r="G756" s="22">
        <v>0</v>
      </c>
      <c r="H756" s="22">
        <v>0</v>
      </c>
      <c r="I756" s="22">
        <v>0.03</v>
      </c>
      <c r="J756" s="22">
        <v>0</v>
      </c>
      <c r="K756" s="22">
        <v>0</v>
      </c>
      <c r="L756" s="22">
        <v>0.03</v>
      </c>
      <c r="M756" s="10"/>
      <c r="N756" s="67"/>
      <c r="O756" s="11"/>
    </row>
    <row r="757" spans="1:15" x14ac:dyDescent="0.25">
      <c r="A757" s="6"/>
      <c r="B757" s="5"/>
      <c r="C757" s="5"/>
      <c r="D757" s="5" t="s">
        <v>113</v>
      </c>
      <c r="E757" s="5" t="s">
        <v>114</v>
      </c>
      <c r="F757" s="5" t="s">
        <v>38</v>
      </c>
      <c r="G757" s="14">
        <f t="shared" ref="G757:L757" si="190">SUBTOTAL(9,G756:G756)</f>
        <v>0</v>
      </c>
      <c r="H757" s="14">
        <f t="shared" si="190"/>
        <v>0</v>
      </c>
      <c r="I757" s="14">
        <f t="shared" si="190"/>
        <v>0.03</v>
      </c>
      <c r="J757" s="14">
        <f t="shared" si="190"/>
        <v>0</v>
      </c>
      <c r="K757" s="14">
        <f t="shared" si="190"/>
        <v>0</v>
      </c>
      <c r="L757" s="14">
        <f t="shared" si="190"/>
        <v>0.03</v>
      </c>
      <c r="M757" s="10">
        <v>2303</v>
      </c>
      <c r="N757" s="69"/>
      <c r="O757" s="11">
        <f>O754+1</f>
        <v>185</v>
      </c>
    </row>
    <row r="758" spans="1:15" x14ac:dyDescent="0.25">
      <c r="A758" s="10"/>
      <c r="G758" s="21"/>
      <c r="H758" s="21"/>
      <c r="I758" s="21"/>
      <c r="J758" s="21"/>
      <c r="K758" s="21"/>
      <c r="L758" s="21"/>
      <c r="M758" s="10"/>
      <c r="O758" s="11"/>
    </row>
    <row r="759" spans="1:15" s="4" customFormat="1" x14ac:dyDescent="0.25">
      <c r="A759" s="6">
        <v>371</v>
      </c>
      <c r="B759" s="5" t="s">
        <v>550</v>
      </c>
      <c r="C759" s="5" t="s">
        <v>17</v>
      </c>
      <c r="D759" s="5" t="s">
        <v>586</v>
      </c>
      <c r="E759" s="5" t="s">
        <v>114</v>
      </c>
      <c r="F759" s="5" t="s">
        <v>551</v>
      </c>
      <c r="G759" s="22">
        <v>0</v>
      </c>
      <c r="H759" s="22">
        <v>0</v>
      </c>
      <c r="I759" s="22">
        <v>62.43</v>
      </c>
      <c r="J759" s="22">
        <v>0</v>
      </c>
      <c r="K759" s="22">
        <v>0</v>
      </c>
      <c r="L759" s="22">
        <v>62.43</v>
      </c>
      <c r="M759" s="10"/>
      <c r="N759" s="67"/>
      <c r="O759" s="11"/>
    </row>
    <row r="760" spans="1:15" x14ac:dyDescent="0.25">
      <c r="A760" s="6">
        <v>372</v>
      </c>
      <c r="B760" s="5" t="s">
        <v>550</v>
      </c>
      <c r="C760" s="5" t="s">
        <v>17</v>
      </c>
      <c r="D760" s="5" t="s">
        <v>586</v>
      </c>
      <c r="E760" s="5" t="s">
        <v>114</v>
      </c>
      <c r="F760" s="5" t="s">
        <v>551</v>
      </c>
      <c r="G760" s="22">
        <v>0</v>
      </c>
      <c r="H760" s="22">
        <v>0</v>
      </c>
      <c r="I760" s="22">
        <v>28.91</v>
      </c>
      <c r="J760" s="22">
        <v>0</v>
      </c>
      <c r="K760" s="22">
        <v>0</v>
      </c>
      <c r="L760" s="22">
        <v>28.91</v>
      </c>
      <c r="M760" s="10"/>
      <c r="O760" s="11"/>
    </row>
    <row r="761" spans="1:15" x14ac:dyDescent="0.25">
      <c r="A761" s="6"/>
      <c r="B761" s="5"/>
      <c r="C761" s="5"/>
      <c r="D761" s="5" t="s">
        <v>113</v>
      </c>
      <c r="E761" s="5" t="s">
        <v>114</v>
      </c>
      <c r="F761" s="5" t="s">
        <v>551</v>
      </c>
      <c r="G761" s="14">
        <f t="shared" ref="G761:L761" si="191">SUBTOTAL(9,G759:G760)</f>
        <v>0</v>
      </c>
      <c r="H761" s="14">
        <f t="shared" si="191"/>
        <v>0</v>
      </c>
      <c r="I761" s="14">
        <f t="shared" si="191"/>
        <v>91.34</v>
      </c>
      <c r="J761" s="14">
        <f t="shared" si="191"/>
        <v>0</v>
      </c>
      <c r="K761" s="14">
        <f t="shared" si="191"/>
        <v>0</v>
      </c>
      <c r="L761" s="14">
        <f t="shared" si="191"/>
        <v>91.34</v>
      </c>
      <c r="M761" s="10">
        <v>2304</v>
      </c>
      <c r="N761" s="69"/>
      <c r="O761" s="11">
        <f>O757+1</f>
        <v>186</v>
      </c>
    </row>
    <row r="762" spans="1:15" s="4" customFormat="1" x14ac:dyDescent="0.25">
      <c r="A762" s="10"/>
      <c r="B762"/>
      <c r="C762"/>
      <c r="D762"/>
      <c r="E762"/>
      <c r="F762"/>
      <c r="G762" s="21"/>
      <c r="H762" s="21"/>
      <c r="I762" s="21"/>
      <c r="J762" s="21"/>
      <c r="K762" s="21"/>
      <c r="L762" s="21"/>
      <c r="M762" s="10"/>
      <c r="N762" s="67"/>
      <c r="O762" s="11"/>
    </row>
    <row r="763" spans="1:15" x14ac:dyDescent="0.25">
      <c r="A763" s="6">
        <v>373</v>
      </c>
      <c r="B763" s="5" t="s">
        <v>555</v>
      </c>
      <c r="C763" s="5" t="s">
        <v>17</v>
      </c>
      <c r="D763" s="5" t="s">
        <v>115</v>
      </c>
      <c r="E763" s="5" t="s">
        <v>116</v>
      </c>
      <c r="F763" s="5" t="s">
        <v>556</v>
      </c>
      <c r="G763" s="22">
        <v>1325.49</v>
      </c>
      <c r="H763" s="22">
        <v>0</v>
      </c>
      <c r="I763" s="22">
        <v>0</v>
      </c>
      <c r="J763" s="22">
        <v>0</v>
      </c>
      <c r="K763" s="22">
        <v>-26.51</v>
      </c>
      <c r="L763" s="22">
        <v>1298.98</v>
      </c>
      <c r="M763" s="10"/>
      <c r="O763" s="11"/>
    </row>
    <row r="764" spans="1:15" x14ac:dyDescent="0.25">
      <c r="A764" s="6"/>
      <c r="B764" s="5"/>
      <c r="C764" s="5"/>
      <c r="D764" s="5" t="s">
        <v>115</v>
      </c>
      <c r="E764" s="5" t="s">
        <v>116</v>
      </c>
      <c r="F764" s="5" t="s">
        <v>556</v>
      </c>
      <c r="G764" s="14">
        <f t="shared" ref="G764:L764" si="192">SUBTOTAL(9,G763:G763)</f>
        <v>1325.49</v>
      </c>
      <c r="H764" s="14">
        <f t="shared" si="192"/>
        <v>0</v>
      </c>
      <c r="I764" s="14">
        <f t="shared" si="192"/>
        <v>0</v>
      </c>
      <c r="J764" s="14">
        <f t="shared" si="192"/>
        <v>0</v>
      </c>
      <c r="K764" s="14">
        <f t="shared" si="192"/>
        <v>-26.51</v>
      </c>
      <c r="L764" s="14">
        <f t="shared" si="192"/>
        <v>1298.98</v>
      </c>
      <c r="M764" s="10">
        <v>2305</v>
      </c>
      <c r="N764" s="69"/>
      <c r="O764" s="11">
        <f>O761+1</f>
        <v>187</v>
      </c>
    </row>
    <row r="765" spans="1:15" s="4" customFormat="1" x14ac:dyDescent="0.25">
      <c r="A765" s="10"/>
      <c r="B765"/>
      <c r="C765"/>
      <c r="D765"/>
      <c r="E765"/>
      <c r="F765"/>
      <c r="G765" s="21"/>
      <c r="H765" s="21"/>
      <c r="I765" s="21"/>
      <c r="J765" s="21"/>
      <c r="K765" s="21"/>
      <c r="L765" s="21"/>
      <c r="M765" s="10"/>
      <c r="N765" s="67"/>
      <c r="O765" s="11"/>
    </row>
    <row r="766" spans="1:15" s="4" customFormat="1" x14ac:dyDescent="0.25">
      <c r="A766" s="6">
        <v>374</v>
      </c>
      <c r="B766" s="5" t="s">
        <v>557</v>
      </c>
      <c r="C766" s="5" t="s">
        <v>17</v>
      </c>
      <c r="D766" s="5" t="s">
        <v>115</v>
      </c>
      <c r="E766" s="5" t="s">
        <v>116</v>
      </c>
      <c r="F766" s="5" t="s">
        <v>558</v>
      </c>
      <c r="G766" s="22">
        <v>318.36</v>
      </c>
      <c r="H766" s="22">
        <v>0</v>
      </c>
      <c r="I766" s="22">
        <v>0</v>
      </c>
      <c r="J766" s="22">
        <v>0</v>
      </c>
      <c r="K766" s="22">
        <v>-6.37</v>
      </c>
      <c r="L766" s="22">
        <v>311.99</v>
      </c>
      <c r="M766" s="10"/>
      <c r="N766" s="67"/>
      <c r="O766" s="11"/>
    </row>
    <row r="767" spans="1:15" x14ac:dyDescent="0.25">
      <c r="A767" s="6"/>
      <c r="B767" s="5"/>
      <c r="C767" s="5"/>
      <c r="D767" s="5" t="s">
        <v>115</v>
      </c>
      <c r="E767" s="5" t="s">
        <v>116</v>
      </c>
      <c r="F767" s="5" t="s">
        <v>558</v>
      </c>
      <c r="G767" s="14">
        <f t="shared" ref="G767:L767" si="193">SUBTOTAL(9,G766:G766)</f>
        <v>318.36</v>
      </c>
      <c r="H767" s="14">
        <f t="shared" si="193"/>
        <v>0</v>
      </c>
      <c r="I767" s="14">
        <f t="shared" si="193"/>
        <v>0</v>
      </c>
      <c r="J767" s="14">
        <f t="shared" si="193"/>
        <v>0</v>
      </c>
      <c r="K767" s="14">
        <f t="shared" si="193"/>
        <v>-6.37</v>
      </c>
      <c r="L767" s="14">
        <f t="shared" si="193"/>
        <v>311.99</v>
      </c>
      <c r="M767" s="10">
        <v>2306</v>
      </c>
      <c r="N767" s="69"/>
      <c r="O767" s="11">
        <f>O764+1</f>
        <v>188</v>
      </c>
    </row>
    <row r="768" spans="1:15" x14ac:dyDescent="0.25">
      <c r="A768" s="10"/>
      <c r="G768" s="21"/>
      <c r="H768" s="21"/>
      <c r="I768" s="21"/>
      <c r="J768" s="21"/>
      <c r="K768" s="21"/>
      <c r="L768" s="21"/>
      <c r="M768" s="10"/>
      <c r="O768" s="11"/>
    </row>
    <row r="769" spans="1:15" s="4" customFormat="1" x14ac:dyDescent="0.25">
      <c r="A769" s="6">
        <v>375</v>
      </c>
      <c r="B769" s="5" t="s">
        <v>37</v>
      </c>
      <c r="C769" s="5" t="s">
        <v>13</v>
      </c>
      <c r="D769" s="5" t="s">
        <v>115</v>
      </c>
      <c r="E769" s="5" t="s">
        <v>116</v>
      </c>
      <c r="F769" s="5" t="s">
        <v>38</v>
      </c>
      <c r="G769" s="22">
        <v>0</v>
      </c>
      <c r="H769" s="22">
        <v>0</v>
      </c>
      <c r="I769" s="22">
        <v>0</v>
      </c>
      <c r="J769" s="22">
        <v>0.08</v>
      </c>
      <c r="K769" s="22">
        <v>0</v>
      </c>
      <c r="L769" s="22">
        <v>0.08</v>
      </c>
      <c r="M769" s="10"/>
      <c r="N769" s="67"/>
      <c r="O769" s="11"/>
    </row>
    <row r="770" spans="1:15" s="4" customFormat="1" x14ac:dyDescent="0.25">
      <c r="A770" s="6"/>
      <c r="B770" s="5"/>
      <c r="C770" s="5"/>
      <c r="D770" s="5" t="s">
        <v>115</v>
      </c>
      <c r="E770" s="5" t="s">
        <v>116</v>
      </c>
      <c r="F770" s="5" t="s">
        <v>38</v>
      </c>
      <c r="G770" s="14">
        <f t="shared" ref="G770:L770" si="194">SUBTOTAL(9,G769:G769)</f>
        <v>0</v>
      </c>
      <c r="H770" s="14">
        <f t="shared" si="194"/>
        <v>0</v>
      </c>
      <c r="I770" s="14">
        <f t="shared" si="194"/>
        <v>0</v>
      </c>
      <c r="J770" s="14">
        <f t="shared" si="194"/>
        <v>0.08</v>
      </c>
      <c r="K770" s="14">
        <f t="shared" si="194"/>
        <v>0</v>
      </c>
      <c r="L770" s="14">
        <f t="shared" si="194"/>
        <v>0.08</v>
      </c>
      <c r="M770" s="10">
        <v>2307</v>
      </c>
      <c r="N770" s="69"/>
      <c r="O770" s="11">
        <f>O767+1</f>
        <v>189</v>
      </c>
    </row>
    <row r="771" spans="1:15" s="4" customFormat="1" x14ac:dyDescent="0.25">
      <c r="A771" s="10"/>
      <c r="B771"/>
      <c r="C771"/>
      <c r="D771"/>
      <c r="E771"/>
      <c r="F771"/>
      <c r="G771" s="21"/>
      <c r="H771" s="21"/>
      <c r="I771" s="21"/>
      <c r="J771" s="21"/>
      <c r="K771" s="21"/>
      <c r="L771" s="21"/>
      <c r="M771" s="10"/>
      <c r="N771" s="67"/>
      <c r="O771" s="11"/>
    </row>
    <row r="772" spans="1:15" x14ac:dyDescent="0.25">
      <c r="A772" s="6">
        <v>376</v>
      </c>
      <c r="B772" s="5" t="s">
        <v>29</v>
      </c>
      <c r="C772" s="5" t="s">
        <v>13</v>
      </c>
      <c r="D772" s="5" t="s">
        <v>115</v>
      </c>
      <c r="E772" s="5" t="s">
        <v>116</v>
      </c>
      <c r="F772" s="5" t="s">
        <v>30</v>
      </c>
      <c r="G772" s="22">
        <v>0</v>
      </c>
      <c r="H772" s="22">
        <v>0</v>
      </c>
      <c r="I772" s="22">
        <v>0</v>
      </c>
      <c r="J772" s="22">
        <v>0.52</v>
      </c>
      <c r="K772" s="22">
        <v>0</v>
      </c>
      <c r="L772" s="22">
        <v>0.52</v>
      </c>
      <c r="M772" s="10"/>
      <c r="O772" s="11"/>
    </row>
    <row r="773" spans="1:15" x14ac:dyDescent="0.25">
      <c r="A773" s="6"/>
      <c r="B773" s="5"/>
      <c r="C773" s="5"/>
      <c r="D773" s="5" t="s">
        <v>115</v>
      </c>
      <c r="E773" s="5" t="s">
        <v>116</v>
      </c>
      <c r="F773" s="5" t="s">
        <v>30</v>
      </c>
      <c r="G773" s="14">
        <f t="shared" ref="G773:L773" si="195">SUBTOTAL(9,G772:G772)</f>
        <v>0</v>
      </c>
      <c r="H773" s="14">
        <f t="shared" si="195"/>
        <v>0</v>
      </c>
      <c r="I773" s="14">
        <f t="shared" si="195"/>
        <v>0</v>
      </c>
      <c r="J773" s="14">
        <f t="shared" si="195"/>
        <v>0.52</v>
      </c>
      <c r="K773" s="14">
        <f t="shared" si="195"/>
        <v>0</v>
      </c>
      <c r="L773" s="14">
        <f t="shared" si="195"/>
        <v>0.52</v>
      </c>
      <c r="M773" s="10">
        <v>2308</v>
      </c>
      <c r="N773" s="69"/>
      <c r="O773" s="11">
        <f>O770+1</f>
        <v>190</v>
      </c>
    </row>
    <row r="774" spans="1:15" s="4" customFormat="1" x14ac:dyDescent="0.25">
      <c r="A774" s="10"/>
      <c r="B774"/>
      <c r="C774"/>
      <c r="D774"/>
      <c r="E774"/>
      <c r="F774"/>
      <c r="G774" s="21"/>
      <c r="H774" s="21"/>
      <c r="I774" s="21"/>
      <c r="J774" s="21"/>
      <c r="K774" s="21"/>
      <c r="L774" s="21"/>
      <c r="M774" s="10"/>
      <c r="N774" s="67"/>
      <c r="O774" s="11"/>
    </row>
    <row r="775" spans="1:15" s="4" customFormat="1" x14ac:dyDescent="0.25">
      <c r="A775" s="6">
        <v>377</v>
      </c>
      <c r="B775" s="5" t="s">
        <v>18</v>
      </c>
      <c r="C775" s="5" t="s">
        <v>17</v>
      </c>
      <c r="D775" s="5" t="s">
        <v>115</v>
      </c>
      <c r="E775" s="5" t="s">
        <v>116</v>
      </c>
      <c r="F775" s="5" t="s">
        <v>19</v>
      </c>
      <c r="G775" s="22">
        <v>0.99</v>
      </c>
      <c r="H775" s="22">
        <v>0</v>
      </c>
      <c r="I775" s="22">
        <v>0</v>
      </c>
      <c r="J775" s="22">
        <v>0</v>
      </c>
      <c r="K775" s="22">
        <v>-0.88</v>
      </c>
      <c r="L775" s="22">
        <v>0.11</v>
      </c>
      <c r="M775" s="10"/>
      <c r="N775" s="67"/>
      <c r="O775" s="11"/>
    </row>
    <row r="776" spans="1:15" x14ac:dyDescent="0.25">
      <c r="A776" s="6"/>
      <c r="B776" s="5"/>
      <c r="C776" s="5"/>
      <c r="D776" s="5" t="s">
        <v>115</v>
      </c>
      <c r="E776" s="5" t="s">
        <v>116</v>
      </c>
      <c r="F776" s="5" t="s">
        <v>19</v>
      </c>
      <c r="G776" s="14">
        <f t="shared" ref="G776:L776" si="196">SUBTOTAL(9,G775:G775)</f>
        <v>0.99</v>
      </c>
      <c r="H776" s="14">
        <f t="shared" si="196"/>
        <v>0</v>
      </c>
      <c r="I776" s="14">
        <f t="shared" si="196"/>
        <v>0</v>
      </c>
      <c r="J776" s="14">
        <f t="shared" si="196"/>
        <v>0</v>
      </c>
      <c r="K776" s="14">
        <f t="shared" si="196"/>
        <v>-0.88</v>
      </c>
      <c r="L776" s="14">
        <f t="shared" si="196"/>
        <v>0.11</v>
      </c>
      <c r="M776" s="10">
        <v>2309</v>
      </c>
      <c r="N776" s="69"/>
      <c r="O776" s="11">
        <f>O773+1</f>
        <v>191</v>
      </c>
    </row>
    <row r="777" spans="1:15" x14ac:dyDescent="0.25">
      <c r="A777" s="10"/>
      <c r="G777" s="21"/>
      <c r="H777" s="21"/>
      <c r="I777" s="21"/>
      <c r="J777" s="21"/>
      <c r="K777" s="21"/>
      <c r="L777" s="21"/>
      <c r="M777" s="10"/>
      <c r="O777" s="11"/>
    </row>
    <row r="778" spans="1:15" s="4" customFormat="1" x14ac:dyDescent="0.25">
      <c r="A778" s="6">
        <v>378</v>
      </c>
      <c r="B778" s="5" t="s">
        <v>22</v>
      </c>
      <c r="C778" s="5" t="s">
        <v>13</v>
      </c>
      <c r="D778" s="5" t="s">
        <v>115</v>
      </c>
      <c r="E778" s="5" t="s">
        <v>116</v>
      </c>
      <c r="F778" s="5" t="s">
        <v>23</v>
      </c>
      <c r="G778" s="22">
        <v>0</v>
      </c>
      <c r="H778" s="22">
        <v>0</v>
      </c>
      <c r="I778" s="22">
        <v>0</v>
      </c>
      <c r="J778" s="22">
        <v>273.24</v>
      </c>
      <c r="K778" s="22">
        <v>0</v>
      </c>
      <c r="L778" s="22">
        <v>273.24</v>
      </c>
      <c r="M778" s="10"/>
      <c r="N778" s="67"/>
      <c r="O778" s="11"/>
    </row>
    <row r="779" spans="1:15" x14ac:dyDescent="0.25">
      <c r="A779" s="6"/>
      <c r="B779" s="5"/>
      <c r="C779" s="5"/>
      <c r="D779" s="5" t="s">
        <v>115</v>
      </c>
      <c r="E779" s="5" t="s">
        <v>116</v>
      </c>
      <c r="F779" s="5" t="s">
        <v>23</v>
      </c>
      <c r="G779" s="14">
        <f t="shared" ref="G779:L779" si="197">SUBTOTAL(9,G778:G778)</f>
        <v>0</v>
      </c>
      <c r="H779" s="14">
        <f t="shared" si="197"/>
        <v>0</v>
      </c>
      <c r="I779" s="14">
        <f t="shared" si="197"/>
        <v>0</v>
      </c>
      <c r="J779" s="14">
        <f t="shared" si="197"/>
        <v>273.24</v>
      </c>
      <c r="K779" s="14">
        <f t="shared" si="197"/>
        <v>0</v>
      </c>
      <c r="L779" s="14">
        <f t="shared" si="197"/>
        <v>273.24</v>
      </c>
      <c r="M779" s="10">
        <v>2310</v>
      </c>
      <c r="N779" s="69"/>
      <c r="O779" s="11">
        <f>O776+1</f>
        <v>192</v>
      </c>
    </row>
    <row r="780" spans="1:15" x14ac:dyDescent="0.25">
      <c r="A780" s="10"/>
      <c r="G780" s="21"/>
      <c r="H780" s="21"/>
      <c r="I780" s="21"/>
      <c r="J780" s="21"/>
      <c r="K780" s="21"/>
      <c r="L780" s="21"/>
      <c r="M780" s="10"/>
      <c r="O780" s="11"/>
    </row>
    <row r="781" spans="1:15" s="4" customFormat="1" x14ac:dyDescent="0.25">
      <c r="A781" s="6">
        <v>379</v>
      </c>
      <c r="B781" s="5" t="s">
        <v>22</v>
      </c>
      <c r="C781" s="5" t="s">
        <v>13</v>
      </c>
      <c r="D781" s="5" t="s">
        <v>115</v>
      </c>
      <c r="E781" s="5" t="s">
        <v>116</v>
      </c>
      <c r="F781" s="5" t="s">
        <v>24</v>
      </c>
      <c r="G781" s="22">
        <v>0</v>
      </c>
      <c r="H781" s="22">
        <v>0</v>
      </c>
      <c r="I781" s="22">
        <v>0</v>
      </c>
      <c r="J781" s="22">
        <v>0.52</v>
      </c>
      <c r="K781" s="22">
        <v>0</v>
      </c>
      <c r="L781" s="22">
        <v>0.52</v>
      </c>
      <c r="M781" s="10"/>
      <c r="N781" s="67"/>
      <c r="O781" s="11"/>
    </row>
    <row r="782" spans="1:15" x14ac:dyDescent="0.25">
      <c r="A782" s="6"/>
      <c r="B782" s="5"/>
      <c r="C782" s="5"/>
      <c r="D782" s="5" t="s">
        <v>115</v>
      </c>
      <c r="E782" s="5" t="s">
        <v>116</v>
      </c>
      <c r="F782" s="5" t="s">
        <v>24</v>
      </c>
      <c r="G782" s="14">
        <f t="shared" ref="G782:L782" si="198">SUBTOTAL(9,G781:G781)</f>
        <v>0</v>
      </c>
      <c r="H782" s="14">
        <f t="shared" si="198"/>
        <v>0</v>
      </c>
      <c r="I782" s="14">
        <f t="shared" si="198"/>
        <v>0</v>
      </c>
      <c r="J782" s="14">
        <f t="shared" si="198"/>
        <v>0.52</v>
      </c>
      <c r="K782" s="14">
        <f t="shared" si="198"/>
        <v>0</v>
      </c>
      <c r="L782" s="14">
        <f t="shared" si="198"/>
        <v>0.52</v>
      </c>
      <c r="M782" s="10">
        <v>2311</v>
      </c>
      <c r="N782" s="69"/>
      <c r="O782" s="11">
        <f>O779+1</f>
        <v>193</v>
      </c>
    </row>
    <row r="783" spans="1:15" x14ac:dyDescent="0.25">
      <c r="A783" s="10"/>
      <c r="G783" s="21"/>
      <c r="H783" s="21"/>
      <c r="I783" s="21"/>
      <c r="J783" s="21"/>
      <c r="K783" s="21"/>
      <c r="L783" s="21"/>
      <c r="M783" s="10"/>
      <c r="O783" s="11"/>
    </row>
    <row r="784" spans="1:15" s="4" customFormat="1" x14ac:dyDescent="0.25">
      <c r="A784" s="6">
        <v>380</v>
      </c>
      <c r="B784" s="5" t="s">
        <v>550</v>
      </c>
      <c r="C784" s="5" t="s">
        <v>17</v>
      </c>
      <c r="D784" s="5" t="s">
        <v>115</v>
      </c>
      <c r="E784" s="5" t="s">
        <v>116</v>
      </c>
      <c r="F784" s="5" t="s">
        <v>551</v>
      </c>
      <c r="G784" s="22">
        <v>29236.69</v>
      </c>
      <c r="H784" s="22">
        <v>0</v>
      </c>
      <c r="I784" s="22">
        <v>0</v>
      </c>
      <c r="J784" s="22">
        <v>0</v>
      </c>
      <c r="K784" s="22">
        <v>-584.73</v>
      </c>
      <c r="L784" s="22">
        <v>28651.96</v>
      </c>
      <c r="M784" s="10"/>
      <c r="N784" s="67"/>
      <c r="O784" s="11"/>
    </row>
    <row r="785" spans="1:15" s="4" customFormat="1" x14ac:dyDescent="0.25">
      <c r="A785" s="6">
        <v>381</v>
      </c>
      <c r="B785" s="5" t="s">
        <v>550</v>
      </c>
      <c r="C785" s="5" t="s">
        <v>13</v>
      </c>
      <c r="D785" s="5" t="s">
        <v>115</v>
      </c>
      <c r="E785" s="5" t="s">
        <v>116</v>
      </c>
      <c r="F785" s="5" t="s">
        <v>551</v>
      </c>
      <c r="G785" s="22">
        <v>0</v>
      </c>
      <c r="H785" s="22">
        <v>0</v>
      </c>
      <c r="I785" s="22">
        <v>0</v>
      </c>
      <c r="J785" s="22">
        <v>977.27</v>
      </c>
      <c r="K785" s="22">
        <v>0</v>
      </c>
      <c r="L785" s="22">
        <v>977.27</v>
      </c>
      <c r="M785" s="10"/>
      <c r="N785" s="67"/>
      <c r="O785" s="11"/>
    </row>
    <row r="786" spans="1:15" x14ac:dyDescent="0.25">
      <c r="A786" s="6"/>
      <c r="B786" s="5"/>
      <c r="C786" s="5"/>
      <c r="D786" s="5" t="s">
        <v>115</v>
      </c>
      <c r="E786" s="5" t="s">
        <v>116</v>
      </c>
      <c r="F786" s="5" t="s">
        <v>551</v>
      </c>
      <c r="G786" s="14">
        <f t="shared" ref="G786:L786" si="199">SUBTOTAL(9,G784:G785)</f>
        <v>29236.69</v>
      </c>
      <c r="H786" s="14">
        <f t="shared" si="199"/>
        <v>0</v>
      </c>
      <c r="I786" s="14">
        <f t="shared" si="199"/>
        <v>0</v>
      </c>
      <c r="J786" s="14">
        <f t="shared" si="199"/>
        <v>977.27</v>
      </c>
      <c r="K786" s="14">
        <f t="shared" si="199"/>
        <v>-584.73</v>
      </c>
      <c r="L786" s="14">
        <f t="shared" si="199"/>
        <v>29629.23</v>
      </c>
      <c r="M786" s="10">
        <v>2312</v>
      </c>
      <c r="N786" s="69"/>
      <c r="O786" s="11">
        <f>O782+1</f>
        <v>194</v>
      </c>
    </row>
    <row r="787" spans="1:15" x14ac:dyDescent="0.25">
      <c r="A787" s="10"/>
      <c r="G787" s="21"/>
      <c r="H787" s="21"/>
      <c r="I787" s="21"/>
      <c r="J787" s="21"/>
      <c r="K787" s="21"/>
      <c r="L787" s="21"/>
      <c r="M787" s="10"/>
      <c r="O787" s="11"/>
    </row>
    <row r="788" spans="1:15" s="4" customFormat="1" x14ac:dyDescent="0.25">
      <c r="A788" s="6">
        <v>382</v>
      </c>
      <c r="B788" s="5" t="s">
        <v>550</v>
      </c>
      <c r="C788" s="5" t="s">
        <v>17</v>
      </c>
      <c r="D788" s="5" t="s">
        <v>115</v>
      </c>
      <c r="E788" s="5" t="s">
        <v>116</v>
      </c>
      <c r="F788" s="5" t="s">
        <v>552</v>
      </c>
      <c r="G788" s="22">
        <v>2.1</v>
      </c>
      <c r="H788" s="22">
        <v>0</v>
      </c>
      <c r="I788" s="22">
        <v>0</v>
      </c>
      <c r="J788" s="22">
        <v>0</v>
      </c>
      <c r="K788" s="22">
        <v>-0.04</v>
      </c>
      <c r="L788" s="22">
        <v>2.06</v>
      </c>
      <c r="M788" s="10"/>
      <c r="N788" s="67"/>
      <c r="O788" s="11"/>
    </row>
    <row r="789" spans="1:15" s="4" customFormat="1" x14ac:dyDescent="0.25">
      <c r="A789" s="6">
        <v>383</v>
      </c>
      <c r="B789" s="5" t="s">
        <v>550</v>
      </c>
      <c r="C789" s="5" t="s">
        <v>13</v>
      </c>
      <c r="D789" s="5" t="s">
        <v>115</v>
      </c>
      <c r="E789" s="5" t="s">
        <v>116</v>
      </c>
      <c r="F789" s="5" t="s">
        <v>552</v>
      </c>
      <c r="G789" s="22">
        <v>0</v>
      </c>
      <c r="H789" s="22">
        <v>0</v>
      </c>
      <c r="I789" s="22">
        <v>0</v>
      </c>
      <c r="J789" s="22">
        <v>7.0000000000000007E-2</v>
      </c>
      <c r="K789" s="22">
        <v>0</v>
      </c>
      <c r="L789" s="22">
        <v>7.0000000000000007E-2</v>
      </c>
      <c r="M789" s="10"/>
      <c r="N789" s="67"/>
      <c r="O789" s="11"/>
    </row>
    <row r="790" spans="1:15" x14ac:dyDescent="0.25">
      <c r="A790" s="6"/>
      <c r="B790" s="5"/>
      <c r="C790" s="5"/>
      <c r="D790" s="5" t="s">
        <v>115</v>
      </c>
      <c r="E790" s="5" t="s">
        <v>116</v>
      </c>
      <c r="F790" s="5" t="s">
        <v>552</v>
      </c>
      <c r="G790" s="14">
        <f t="shared" ref="G790:L790" si="200">SUBTOTAL(9,G788:G789)</f>
        <v>2.1</v>
      </c>
      <c r="H790" s="14">
        <f t="shared" si="200"/>
        <v>0</v>
      </c>
      <c r="I790" s="14">
        <f t="shared" si="200"/>
        <v>0</v>
      </c>
      <c r="J790" s="14">
        <f t="shared" si="200"/>
        <v>7.0000000000000007E-2</v>
      </c>
      <c r="K790" s="14">
        <f t="shared" si="200"/>
        <v>-0.04</v>
      </c>
      <c r="L790" s="14">
        <f t="shared" si="200"/>
        <v>2.13</v>
      </c>
      <c r="M790" s="10">
        <v>2313</v>
      </c>
      <c r="N790" s="69"/>
      <c r="O790" s="11">
        <f>O786+1</f>
        <v>195</v>
      </c>
    </row>
    <row r="791" spans="1:15" x14ac:dyDescent="0.25">
      <c r="A791" s="10"/>
      <c r="G791" s="21"/>
      <c r="H791" s="21"/>
      <c r="I791" s="21"/>
      <c r="J791" s="21"/>
      <c r="K791" s="21"/>
      <c r="L791" s="21"/>
      <c r="M791" s="10"/>
      <c r="O791" s="11"/>
    </row>
    <row r="792" spans="1:15" s="4" customFormat="1" x14ac:dyDescent="0.25">
      <c r="A792" s="6">
        <v>384</v>
      </c>
      <c r="B792" s="5" t="s">
        <v>555</v>
      </c>
      <c r="C792" s="5" t="s">
        <v>17</v>
      </c>
      <c r="D792" s="5" t="s">
        <v>117</v>
      </c>
      <c r="E792" s="5" t="s">
        <v>118</v>
      </c>
      <c r="F792" s="5" t="s">
        <v>556</v>
      </c>
      <c r="G792" s="22">
        <v>1516.63</v>
      </c>
      <c r="H792" s="22">
        <v>0</v>
      </c>
      <c r="I792" s="22">
        <v>0</v>
      </c>
      <c r="J792" s="22">
        <v>0</v>
      </c>
      <c r="K792" s="22">
        <v>-30.33</v>
      </c>
      <c r="L792" s="22">
        <v>1486.3</v>
      </c>
      <c r="M792" s="10"/>
      <c r="N792" s="67"/>
      <c r="O792" s="11"/>
    </row>
    <row r="793" spans="1:15" s="4" customFormat="1" x14ac:dyDescent="0.25">
      <c r="A793" s="6">
        <v>385</v>
      </c>
      <c r="B793" s="5" t="s">
        <v>555</v>
      </c>
      <c r="C793" s="5" t="s">
        <v>13</v>
      </c>
      <c r="D793" s="5" t="s">
        <v>117</v>
      </c>
      <c r="E793" s="5" t="s">
        <v>118</v>
      </c>
      <c r="F793" s="5" t="s">
        <v>556</v>
      </c>
      <c r="G793" s="22">
        <v>0</v>
      </c>
      <c r="H793" s="22">
        <v>0</v>
      </c>
      <c r="I793" s="22">
        <v>0</v>
      </c>
      <c r="J793" s="22">
        <v>182</v>
      </c>
      <c r="K793" s="22">
        <v>0</v>
      </c>
      <c r="L793" s="22">
        <v>182</v>
      </c>
      <c r="M793" s="10"/>
      <c r="N793" s="67"/>
      <c r="O793" s="11"/>
    </row>
    <row r="794" spans="1:15" x14ac:dyDescent="0.25">
      <c r="A794" s="6"/>
      <c r="B794" s="5"/>
      <c r="C794" s="5"/>
      <c r="D794" s="5" t="s">
        <v>117</v>
      </c>
      <c r="E794" s="5" t="s">
        <v>118</v>
      </c>
      <c r="F794" s="5" t="s">
        <v>556</v>
      </c>
      <c r="G794" s="14">
        <f t="shared" ref="G794:L794" si="201">SUBTOTAL(9,G792:G793)</f>
        <v>1516.63</v>
      </c>
      <c r="H794" s="14">
        <f t="shared" si="201"/>
        <v>0</v>
      </c>
      <c r="I794" s="14">
        <f t="shared" si="201"/>
        <v>0</v>
      </c>
      <c r="J794" s="14">
        <f t="shared" si="201"/>
        <v>182</v>
      </c>
      <c r="K794" s="14">
        <f t="shared" si="201"/>
        <v>-30.33</v>
      </c>
      <c r="L794" s="14">
        <f t="shared" si="201"/>
        <v>1668.3</v>
      </c>
      <c r="M794" s="10">
        <v>2314</v>
      </c>
      <c r="N794" s="69"/>
      <c r="O794" s="11">
        <f>O790+1</f>
        <v>196</v>
      </c>
    </row>
    <row r="795" spans="1:15" x14ac:dyDescent="0.25">
      <c r="A795" s="10"/>
      <c r="G795" s="21"/>
      <c r="H795" s="21"/>
      <c r="I795" s="21"/>
      <c r="J795" s="21"/>
      <c r="K795" s="21"/>
      <c r="L795" s="21"/>
      <c r="M795" s="10"/>
      <c r="O795" s="11"/>
    </row>
    <row r="796" spans="1:15" s="4" customFormat="1" x14ac:dyDescent="0.25">
      <c r="A796" s="6">
        <v>386</v>
      </c>
      <c r="B796" s="5" t="s">
        <v>557</v>
      </c>
      <c r="C796" s="5" t="s">
        <v>17</v>
      </c>
      <c r="D796" s="5" t="s">
        <v>117</v>
      </c>
      <c r="E796" s="5" t="s">
        <v>118</v>
      </c>
      <c r="F796" s="5" t="s">
        <v>558</v>
      </c>
      <c r="G796" s="22">
        <v>1096.1099999999999</v>
      </c>
      <c r="H796" s="22">
        <v>0</v>
      </c>
      <c r="I796" s="22">
        <v>0</v>
      </c>
      <c r="J796" s="22">
        <v>0</v>
      </c>
      <c r="K796" s="22">
        <v>-21.92</v>
      </c>
      <c r="L796" s="22">
        <v>1074.19</v>
      </c>
      <c r="M796" s="10"/>
      <c r="N796" s="67"/>
      <c r="O796" s="11"/>
    </row>
    <row r="797" spans="1:15" s="4" customFormat="1" x14ac:dyDescent="0.25">
      <c r="A797" s="6">
        <v>387</v>
      </c>
      <c r="B797" s="5" t="s">
        <v>557</v>
      </c>
      <c r="C797" s="5" t="s">
        <v>13</v>
      </c>
      <c r="D797" s="5" t="s">
        <v>117</v>
      </c>
      <c r="E797" s="5" t="s">
        <v>118</v>
      </c>
      <c r="F797" s="5" t="s">
        <v>558</v>
      </c>
      <c r="G797" s="22">
        <v>0</v>
      </c>
      <c r="H797" s="22">
        <v>0</v>
      </c>
      <c r="I797" s="22">
        <v>0</v>
      </c>
      <c r="J797" s="22">
        <v>131.53</v>
      </c>
      <c r="K797" s="22">
        <v>0</v>
      </c>
      <c r="L797" s="22">
        <v>131.53</v>
      </c>
      <c r="M797" s="10"/>
      <c r="N797" s="67"/>
      <c r="O797" s="11"/>
    </row>
    <row r="798" spans="1:15" x14ac:dyDescent="0.25">
      <c r="A798" s="6"/>
      <c r="B798" s="5"/>
      <c r="C798" s="5"/>
      <c r="D798" s="5" t="s">
        <v>117</v>
      </c>
      <c r="E798" s="5" t="s">
        <v>118</v>
      </c>
      <c r="F798" s="5" t="s">
        <v>558</v>
      </c>
      <c r="G798" s="14">
        <f t="shared" ref="G798:L798" si="202">SUBTOTAL(9,G796:G797)</f>
        <v>1096.1099999999999</v>
      </c>
      <c r="H798" s="14">
        <f t="shared" si="202"/>
        <v>0</v>
      </c>
      <c r="I798" s="14">
        <f t="shared" si="202"/>
        <v>0</v>
      </c>
      <c r="J798" s="14">
        <f t="shared" si="202"/>
        <v>131.53</v>
      </c>
      <c r="K798" s="14">
        <f t="shared" si="202"/>
        <v>-21.92</v>
      </c>
      <c r="L798" s="14">
        <f t="shared" si="202"/>
        <v>1205.72</v>
      </c>
      <c r="M798" s="10">
        <v>2315</v>
      </c>
      <c r="N798" s="69"/>
      <c r="O798" s="11">
        <f>O794+1</f>
        <v>197</v>
      </c>
    </row>
    <row r="799" spans="1:15" x14ac:dyDescent="0.25">
      <c r="A799" s="10"/>
      <c r="G799" s="21"/>
      <c r="H799" s="21"/>
      <c r="I799" s="21"/>
      <c r="J799" s="21"/>
      <c r="K799" s="21"/>
      <c r="L799" s="21"/>
      <c r="M799" s="10"/>
      <c r="O799" s="11"/>
    </row>
    <row r="800" spans="1:15" s="4" customFormat="1" x14ac:dyDescent="0.25">
      <c r="A800" s="6">
        <v>388</v>
      </c>
      <c r="B800" s="5" t="s">
        <v>18</v>
      </c>
      <c r="C800" s="5" t="s">
        <v>17</v>
      </c>
      <c r="D800" s="5" t="s">
        <v>117</v>
      </c>
      <c r="E800" s="5" t="s">
        <v>118</v>
      </c>
      <c r="F800" s="5" t="s">
        <v>19</v>
      </c>
      <c r="G800" s="22">
        <v>1.73</v>
      </c>
      <c r="H800" s="22">
        <v>0</v>
      </c>
      <c r="I800" s="22">
        <v>0</v>
      </c>
      <c r="J800" s="22">
        <v>0</v>
      </c>
      <c r="K800" s="22">
        <v>-1.53</v>
      </c>
      <c r="L800" s="22">
        <v>0.2</v>
      </c>
      <c r="M800" s="10"/>
      <c r="N800" s="67"/>
      <c r="O800" s="11"/>
    </row>
    <row r="801" spans="1:15" s="4" customFormat="1" x14ac:dyDescent="0.25">
      <c r="A801" s="6"/>
      <c r="B801" s="5"/>
      <c r="C801" s="5"/>
      <c r="D801" s="5" t="s">
        <v>117</v>
      </c>
      <c r="E801" s="5" t="s">
        <v>118</v>
      </c>
      <c r="F801" s="5" t="s">
        <v>19</v>
      </c>
      <c r="G801" s="14">
        <f t="shared" ref="G801:L801" si="203">SUBTOTAL(9,G800:G800)</f>
        <v>1.73</v>
      </c>
      <c r="H801" s="14">
        <f t="shared" si="203"/>
        <v>0</v>
      </c>
      <c r="I801" s="14">
        <f t="shared" si="203"/>
        <v>0</v>
      </c>
      <c r="J801" s="14">
        <f t="shared" si="203"/>
        <v>0</v>
      </c>
      <c r="K801" s="14">
        <f t="shared" si="203"/>
        <v>-1.53</v>
      </c>
      <c r="L801" s="14">
        <f t="shared" si="203"/>
        <v>0.2</v>
      </c>
      <c r="M801" s="10">
        <v>2316</v>
      </c>
      <c r="N801" s="69"/>
      <c r="O801" s="11">
        <f>O798+1</f>
        <v>198</v>
      </c>
    </row>
    <row r="802" spans="1:15" x14ac:dyDescent="0.25">
      <c r="A802" s="10"/>
      <c r="G802" s="21"/>
      <c r="H802" s="21"/>
      <c r="I802" s="21"/>
      <c r="J802" s="21"/>
      <c r="K802" s="21"/>
      <c r="L802" s="21"/>
      <c r="M802" s="10"/>
      <c r="O802" s="11"/>
    </row>
    <row r="803" spans="1:15" x14ac:dyDescent="0.25">
      <c r="A803" s="6">
        <v>389</v>
      </c>
      <c r="B803" s="5" t="s">
        <v>550</v>
      </c>
      <c r="C803" s="5" t="s">
        <v>17</v>
      </c>
      <c r="D803" s="5" t="s">
        <v>117</v>
      </c>
      <c r="E803" s="5" t="s">
        <v>118</v>
      </c>
      <c r="F803" s="5" t="s">
        <v>551</v>
      </c>
      <c r="G803" s="22">
        <v>42733.2</v>
      </c>
      <c r="H803" s="22">
        <v>0</v>
      </c>
      <c r="I803" s="22">
        <v>0</v>
      </c>
      <c r="J803" s="22">
        <v>0</v>
      </c>
      <c r="K803" s="22">
        <v>-854.66</v>
      </c>
      <c r="L803" s="22">
        <v>41878.54</v>
      </c>
      <c r="M803" s="10"/>
      <c r="O803" s="11"/>
    </row>
    <row r="804" spans="1:15" s="4" customFormat="1" x14ac:dyDescent="0.25">
      <c r="A804" s="6">
        <v>390</v>
      </c>
      <c r="B804" s="5" t="s">
        <v>550</v>
      </c>
      <c r="C804" s="5" t="s">
        <v>13</v>
      </c>
      <c r="D804" s="5" t="s">
        <v>117</v>
      </c>
      <c r="E804" s="5" t="s">
        <v>118</v>
      </c>
      <c r="F804" s="5" t="s">
        <v>551</v>
      </c>
      <c r="G804" s="22">
        <v>0</v>
      </c>
      <c r="H804" s="22">
        <v>0</v>
      </c>
      <c r="I804" s="22">
        <v>0</v>
      </c>
      <c r="J804" s="22">
        <v>5127.9799999999996</v>
      </c>
      <c r="K804" s="22">
        <v>0</v>
      </c>
      <c r="L804" s="22">
        <v>5127.9799999999996</v>
      </c>
      <c r="M804" s="10"/>
      <c r="N804" s="67"/>
      <c r="O804" s="11"/>
    </row>
    <row r="805" spans="1:15" x14ac:dyDescent="0.25">
      <c r="A805" s="6"/>
      <c r="B805" s="5"/>
      <c r="C805" s="5"/>
      <c r="D805" s="5" t="s">
        <v>117</v>
      </c>
      <c r="E805" s="5" t="s">
        <v>118</v>
      </c>
      <c r="F805" s="5" t="s">
        <v>551</v>
      </c>
      <c r="G805" s="14">
        <f t="shared" ref="G805:L805" si="204">SUBTOTAL(9,G803:G804)</f>
        <v>42733.2</v>
      </c>
      <c r="H805" s="14">
        <f t="shared" si="204"/>
        <v>0</v>
      </c>
      <c r="I805" s="14">
        <f t="shared" si="204"/>
        <v>0</v>
      </c>
      <c r="J805" s="14">
        <f t="shared" si="204"/>
        <v>5127.9799999999996</v>
      </c>
      <c r="K805" s="14">
        <f t="shared" si="204"/>
        <v>-854.66</v>
      </c>
      <c r="L805" s="14">
        <f t="shared" si="204"/>
        <v>47006.520000000004</v>
      </c>
      <c r="M805" s="10">
        <v>2317</v>
      </c>
      <c r="N805" s="69"/>
      <c r="O805" s="11">
        <f>O801+1</f>
        <v>199</v>
      </c>
    </row>
    <row r="806" spans="1:15" x14ac:dyDescent="0.25">
      <c r="A806" s="10"/>
      <c r="G806" s="21"/>
      <c r="H806" s="21"/>
      <c r="I806" s="21"/>
      <c r="J806" s="21"/>
      <c r="K806" s="21"/>
      <c r="L806" s="21"/>
      <c r="M806" s="10"/>
      <c r="O806" s="11"/>
    </row>
    <row r="807" spans="1:15" s="4" customFormat="1" x14ac:dyDescent="0.25">
      <c r="A807" s="6">
        <v>391</v>
      </c>
      <c r="B807" s="5" t="s">
        <v>550</v>
      </c>
      <c r="C807" s="5" t="s">
        <v>17</v>
      </c>
      <c r="D807" s="5" t="s">
        <v>117</v>
      </c>
      <c r="E807" s="5" t="s">
        <v>118</v>
      </c>
      <c r="F807" s="5" t="s">
        <v>552</v>
      </c>
      <c r="G807" s="22">
        <v>3.07</v>
      </c>
      <c r="H807" s="22">
        <v>0</v>
      </c>
      <c r="I807" s="22">
        <v>0</v>
      </c>
      <c r="J807" s="22">
        <v>0</v>
      </c>
      <c r="K807" s="22">
        <v>-0.06</v>
      </c>
      <c r="L807" s="22">
        <v>3.01</v>
      </c>
      <c r="M807" s="10"/>
      <c r="N807" s="67"/>
      <c r="O807" s="11"/>
    </row>
    <row r="808" spans="1:15" s="4" customFormat="1" x14ac:dyDescent="0.25">
      <c r="A808" s="6">
        <v>392</v>
      </c>
      <c r="B808" s="5" t="s">
        <v>550</v>
      </c>
      <c r="C808" s="5" t="s">
        <v>13</v>
      </c>
      <c r="D808" s="5" t="s">
        <v>117</v>
      </c>
      <c r="E808" s="5" t="s">
        <v>118</v>
      </c>
      <c r="F808" s="5" t="s">
        <v>552</v>
      </c>
      <c r="G808" s="22">
        <v>0</v>
      </c>
      <c r="H808" s="22">
        <v>0</v>
      </c>
      <c r="I808" s="22">
        <v>0</v>
      </c>
      <c r="J808" s="22">
        <v>0.37</v>
      </c>
      <c r="K808" s="22">
        <v>0</v>
      </c>
      <c r="L808" s="22">
        <v>0.37</v>
      </c>
      <c r="M808" s="10"/>
      <c r="N808" s="67"/>
      <c r="O808" s="11"/>
    </row>
    <row r="809" spans="1:15" x14ac:dyDescent="0.25">
      <c r="A809" s="6"/>
      <c r="B809" s="5"/>
      <c r="C809" s="5"/>
      <c r="D809" s="5" t="s">
        <v>117</v>
      </c>
      <c r="E809" s="5" t="s">
        <v>118</v>
      </c>
      <c r="F809" s="5" t="s">
        <v>552</v>
      </c>
      <c r="G809" s="14">
        <f t="shared" ref="G809:L809" si="205">SUBTOTAL(9,G807:G808)</f>
        <v>3.07</v>
      </c>
      <c r="H809" s="14">
        <f t="shared" si="205"/>
        <v>0</v>
      </c>
      <c r="I809" s="14">
        <f t="shared" si="205"/>
        <v>0</v>
      </c>
      <c r="J809" s="14">
        <f t="shared" si="205"/>
        <v>0.37</v>
      </c>
      <c r="K809" s="14">
        <f t="shared" si="205"/>
        <v>-0.06</v>
      </c>
      <c r="L809" s="14">
        <f t="shared" si="205"/>
        <v>3.38</v>
      </c>
      <c r="M809" s="10">
        <v>2318</v>
      </c>
      <c r="N809" s="69"/>
      <c r="O809" s="11">
        <f>O805+1</f>
        <v>200</v>
      </c>
    </row>
    <row r="810" spans="1:15" x14ac:dyDescent="0.25">
      <c r="A810" s="10"/>
      <c r="G810" s="21"/>
      <c r="H810" s="21"/>
      <c r="I810" s="21"/>
      <c r="J810" s="21"/>
      <c r="K810" s="21"/>
      <c r="L810" s="21"/>
      <c r="M810" s="10"/>
      <c r="O810" s="11"/>
    </row>
    <row r="811" spans="1:15" s="4" customFormat="1" x14ac:dyDescent="0.25">
      <c r="A811" s="6">
        <v>393</v>
      </c>
      <c r="B811" s="5" t="s">
        <v>555</v>
      </c>
      <c r="C811" s="5" t="s">
        <v>17</v>
      </c>
      <c r="D811" s="5" t="s">
        <v>119</v>
      </c>
      <c r="E811" s="5" t="s">
        <v>120</v>
      </c>
      <c r="F811" s="5" t="s">
        <v>556</v>
      </c>
      <c r="G811" s="22">
        <v>336.07</v>
      </c>
      <c r="H811" s="22">
        <v>0</v>
      </c>
      <c r="I811" s="22">
        <v>0</v>
      </c>
      <c r="J811" s="22">
        <v>0</v>
      </c>
      <c r="K811" s="22">
        <v>-6.72</v>
      </c>
      <c r="L811" s="22">
        <v>329.35</v>
      </c>
      <c r="M811" s="10"/>
      <c r="N811" s="67"/>
      <c r="O811" s="11"/>
    </row>
    <row r="812" spans="1:15" s="4" customFormat="1" x14ac:dyDescent="0.25">
      <c r="A812" s="6">
        <v>394</v>
      </c>
      <c r="B812" s="5" t="s">
        <v>555</v>
      </c>
      <c r="C812" s="5" t="s">
        <v>13</v>
      </c>
      <c r="D812" s="5" t="s">
        <v>119</v>
      </c>
      <c r="E812" s="5" t="s">
        <v>120</v>
      </c>
      <c r="F812" s="5" t="s">
        <v>556</v>
      </c>
      <c r="G812" s="22">
        <v>0</v>
      </c>
      <c r="H812" s="22">
        <v>0</v>
      </c>
      <c r="I812" s="22">
        <v>0</v>
      </c>
      <c r="J812" s="22">
        <v>40.33</v>
      </c>
      <c r="K812" s="22">
        <v>0</v>
      </c>
      <c r="L812" s="22">
        <v>40.33</v>
      </c>
      <c r="M812" s="10"/>
      <c r="N812" s="67"/>
      <c r="O812" s="11"/>
    </row>
    <row r="813" spans="1:15" x14ac:dyDescent="0.25">
      <c r="A813" s="6"/>
      <c r="B813" s="5"/>
      <c r="C813" s="5"/>
      <c r="D813" s="5" t="s">
        <v>119</v>
      </c>
      <c r="E813" s="5" t="s">
        <v>120</v>
      </c>
      <c r="F813" s="5" t="s">
        <v>556</v>
      </c>
      <c r="G813" s="14">
        <f t="shared" ref="G813:L813" si="206">SUBTOTAL(9,G811:G812)</f>
        <v>336.07</v>
      </c>
      <c r="H813" s="14">
        <f t="shared" si="206"/>
        <v>0</v>
      </c>
      <c r="I813" s="14">
        <f t="shared" si="206"/>
        <v>0</v>
      </c>
      <c r="J813" s="14">
        <f t="shared" si="206"/>
        <v>40.33</v>
      </c>
      <c r="K813" s="14">
        <f t="shared" si="206"/>
        <v>-6.72</v>
      </c>
      <c r="L813" s="14">
        <f t="shared" si="206"/>
        <v>369.68</v>
      </c>
      <c r="M813" s="10">
        <v>2319</v>
      </c>
      <c r="N813" s="69"/>
      <c r="O813" s="11">
        <f>O809+1</f>
        <v>201</v>
      </c>
    </row>
    <row r="814" spans="1:15" x14ac:dyDescent="0.25">
      <c r="A814" s="10"/>
      <c r="G814" s="21"/>
      <c r="H814" s="21"/>
      <c r="I814" s="21"/>
      <c r="J814" s="21"/>
      <c r="K814" s="21"/>
      <c r="L814" s="21"/>
      <c r="M814" s="10"/>
      <c r="O814" s="11"/>
    </row>
    <row r="815" spans="1:15" s="4" customFormat="1" x14ac:dyDescent="0.25">
      <c r="A815" s="6">
        <v>395</v>
      </c>
      <c r="B815" s="5" t="s">
        <v>557</v>
      </c>
      <c r="C815" s="5" t="s">
        <v>17</v>
      </c>
      <c r="D815" s="5" t="s">
        <v>119</v>
      </c>
      <c r="E815" s="5" t="s">
        <v>120</v>
      </c>
      <c r="F815" s="5" t="s">
        <v>558</v>
      </c>
      <c r="G815" s="22">
        <v>200.82</v>
      </c>
      <c r="H815" s="22">
        <v>0</v>
      </c>
      <c r="I815" s="22">
        <v>0</v>
      </c>
      <c r="J815" s="22">
        <v>0</v>
      </c>
      <c r="K815" s="22">
        <v>-4.0199999999999996</v>
      </c>
      <c r="L815" s="22">
        <v>196.8</v>
      </c>
      <c r="M815" s="10"/>
      <c r="N815" s="67"/>
      <c r="O815" s="11"/>
    </row>
    <row r="816" spans="1:15" s="4" customFormat="1" x14ac:dyDescent="0.25">
      <c r="A816" s="6">
        <v>396</v>
      </c>
      <c r="B816" s="5" t="s">
        <v>557</v>
      </c>
      <c r="C816" s="5" t="s">
        <v>13</v>
      </c>
      <c r="D816" s="5" t="s">
        <v>119</v>
      </c>
      <c r="E816" s="5" t="s">
        <v>120</v>
      </c>
      <c r="F816" s="5" t="s">
        <v>558</v>
      </c>
      <c r="G816" s="22">
        <v>0</v>
      </c>
      <c r="H816" s="22">
        <v>0</v>
      </c>
      <c r="I816" s="22">
        <v>0</v>
      </c>
      <c r="J816" s="22">
        <v>24.1</v>
      </c>
      <c r="K816" s="22">
        <v>0</v>
      </c>
      <c r="L816" s="22">
        <v>24.1</v>
      </c>
      <c r="M816" s="10"/>
      <c r="N816" s="67"/>
      <c r="O816" s="11"/>
    </row>
    <row r="817" spans="1:15" x14ac:dyDescent="0.25">
      <c r="A817" s="6"/>
      <c r="B817" s="5"/>
      <c r="C817" s="5"/>
      <c r="D817" s="5" t="s">
        <v>119</v>
      </c>
      <c r="E817" s="5" t="s">
        <v>120</v>
      </c>
      <c r="F817" s="5" t="s">
        <v>558</v>
      </c>
      <c r="G817" s="14">
        <f t="shared" ref="G817:L817" si="207">SUBTOTAL(9,G815:G816)</f>
        <v>200.82</v>
      </c>
      <c r="H817" s="14">
        <f t="shared" si="207"/>
        <v>0</v>
      </c>
      <c r="I817" s="14">
        <f t="shared" si="207"/>
        <v>0</v>
      </c>
      <c r="J817" s="14">
        <f t="shared" si="207"/>
        <v>24.1</v>
      </c>
      <c r="K817" s="14">
        <f t="shared" si="207"/>
        <v>-4.0199999999999996</v>
      </c>
      <c r="L817" s="14">
        <f t="shared" si="207"/>
        <v>220.9</v>
      </c>
      <c r="M817" s="10">
        <v>2320</v>
      </c>
      <c r="N817" s="69"/>
      <c r="O817" s="11">
        <f>O813+1</f>
        <v>202</v>
      </c>
    </row>
    <row r="818" spans="1:15" x14ac:dyDescent="0.25">
      <c r="A818" s="10"/>
      <c r="G818" s="21"/>
      <c r="H818" s="21"/>
      <c r="I818" s="21"/>
      <c r="J818" s="21"/>
      <c r="K818" s="21"/>
      <c r="L818" s="21"/>
      <c r="M818" s="10"/>
      <c r="O818" s="11"/>
    </row>
    <row r="819" spans="1:15" s="4" customFormat="1" x14ac:dyDescent="0.25">
      <c r="A819" s="6">
        <v>397</v>
      </c>
      <c r="B819" s="5" t="s">
        <v>18</v>
      </c>
      <c r="C819" s="5" t="s">
        <v>17</v>
      </c>
      <c r="D819" s="5" t="s">
        <v>119</v>
      </c>
      <c r="E819" s="5" t="s">
        <v>120</v>
      </c>
      <c r="F819" s="5" t="s">
        <v>19</v>
      </c>
      <c r="G819" s="22">
        <v>1.57</v>
      </c>
      <c r="H819" s="22">
        <v>0</v>
      </c>
      <c r="I819" s="22">
        <v>0</v>
      </c>
      <c r="J819" s="22">
        <v>0</v>
      </c>
      <c r="K819" s="22">
        <v>-1.4</v>
      </c>
      <c r="L819" s="22">
        <v>0.17</v>
      </c>
      <c r="M819" s="10"/>
      <c r="N819" s="67"/>
      <c r="O819" s="11"/>
    </row>
    <row r="820" spans="1:15" x14ac:dyDescent="0.25">
      <c r="A820" s="6"/>
      <c r="B820" s="5"/>
      <c r="C820" s="5"/>
      <c r="D820" s="5" t="s">
        <v>119</v>
      </c>
      <c r="E820" s="5" t="s">
        <v>120</v>
      </c>
      <c r="F820" s="5" t="s">
        <v>19</v>
      </c>
      <c r="G820" s="14">
        <f t="shared" ref="G820:L820" si="208">SUBTOTAL(9,G819:G819)</f>
        <v>1.57</v>
      </c>
      <c r="H820" s="14">
        <f t="shared" si="208"/>
        <v>0</v>
      </c>
      <c r="I820" s="14">
        <f t="shared" si="208"/>
        <v>0</v>
      </c>
      <c r="J820" s="14">
        <f t="shared" si="208"/>
        <v>0</v>
      </c>
      <c r="K820" s="14">
        <f t="shared" si="208"/>
        <v>-1.4</v>
      </c>
      <c r="L820" s="14">
        <f t="shared" si="208"/>
        <v>0.17</v>
      </c>
      <c r="M820" s="10">
        <v>2321</v>
      </c>
      <c r="N820" s="69"/>
      <c r="O820" s="11">
        <f>O817+1</f>
        <v>203</v>
      </c>
    </row>
    <row r="821" spans="1:15" x14ac:dyDescent="0.25">
      <c r="A821" s="10"/>
      <c r="G821" s="21"/>
      <c r="H821" s="21"/>
      <c r="I821" s="21"/>
      <c r="J821" s="21"/>
      <c r="K821" s="21"/>
      <c r="L821" s="21"/>
      <c r="M821" s="10"/>
      <c r="O821" s="11"/>
    </row>
    <row r="822" spans="1:15" s="4" customFormat="1" x14ac:dyDescent="0.25">
      <c r="A822" s="6">
        <v>398</v>
      </c>
      <c r="B822" s="5" t="s">
        <v>550</v>
      </c>
      <c r="C822" s="5" t="s">
        <v>17</v>
      </c>
      <c r="D822" s="5" t="s">
        <v>119</v>
      </c>
      <c r="E822" s="5" t="s">
        <v>120</v>
      </c>
      <c r="F822" s="5" t="s">
        <v>551</v>
      </c>
      <c r="G822" s="22">
        <v>11822.42</v>
      </c>
      <c r="H822" s="22">
        <v>0</v>
      </c>
      <c r="I822" s="22">
        <v>0</v>
      </c>
      <c r="J822" s="22">
        <v>0</v>
      </c>
      <c r="K822" s="22">
        <v>-236.45</v>
      </c>
      <c r="L822" s="22">
        <v>11585.97</v>
      </c>
      <c r="M822" s="10"/>
      <c r="N822" s="67"/>
      <c r="O822" s="11"/>
    </row>
    <row r="823" spans="1:15" x14ac:dyDescent="0.25">
      <c r="A823" s="6">
        <v>399</v>
      </c>
      <c r="B823" s="5" t="s">
        <v>550</v>
      </c>
      <c r="C823" s="5" t="s">
        <v>13</v>
      </c>
      <c r="D823" s="5" t="s">
        <v>119</v>
      </c>
      <c r="E823" s="5" t="s">
        <v>120</v>
      </c>
      <c r="F823" s="5" t="s">
        <v>551</v>
      </c>
      <c r="G823" s="22">
        <v>0</v>
      </c>
      <c r="H823" s="22">
        <v>0</v>
      </c>
      <c r="I823" s="22">
        <v>0</v>
      </c>
      <c r="J823" s="22">
        <v>1418.69</v>
      </c>
      <c r="K823" s="22">
        <v>0</v>
      </c>
      <c r="L823" s="22">
        <v>1418.69</v>
      </c>
      <c r="M823" s="10"/>
      <c r="O823" s="11"/>
    </row>
    <row r="824" spans="1:15" x14ac:dyDescent="0.25">
      <c r="A824" s="6"/>
      <c r="B824" s="5"/>
      <c r="C824" s="5"/>
      <c r="D824" s="5" t="s">
        <v>119</v>
      </c>
      <c r="E824" s="5" t="s">
        <v>120</v>
      </c>
      <c r="F824" s="5" t="s">
        <v>551</v>
      </c>
      <c r="G824" s="14">
        <f t="shared" ref="G824:L824" si="209">SUBTOTAL(9,G822:G823)</f>
        <v>11822.42</v>
      </c>
      <c r="H824" s="14">
        <f t="shared" si="209"/>
        <v>0</v>
      </c>
      <c r="I824" s="14">
        <f t="shared" si="209"/>
        <v>0</v>
      </c>
      <c r="J824" s="14">
        <f t="shared" si="209"/>
        <v>1418.69</v>
      </c>
      <c r="K824" s="14">
        <f t="shared" si="209"/>
        <v>-236.45</v>
      </c>
      <c r="L824" s="14">
        <f t="shared" si="209"/>
        <v>13004.66</v>
      </c>
      <c r="M824" s="10">
        <v>2322</v>
      </c>
      <c r="N824" s="69"/>
      <c r="O824" s="11">
        <f>O820+1</f>
        <v>204</v>
      </c>
    </row>
    <row r="825" spans="1:15" s="4" customFormat="1" x14ac:dyDescent="0.25">
      <c r="A825" s="10"/>
      <c r="B825"/>
      <c r="C825"/>
      <c r="D825"/>
      <c r="E825"/>
      <c r="F825"/>
      <c r="G825" s="21"/>
      <c r="H825" s="21"/>
      <c r="I825" s="21"/>
      <c r="J825" s="21"/>
      <c r="K825" s="21"/>
      <c r="L825" s="21"/>
      <c r="M825" s="10"/>
      <c r="N825" s="67"/>
      <c r="O825" s="11"/>
    </row>
    <row r="826" spans="1:15" x14ac:dyDescent="0.25">
      <c r="A826" s="6">
        <v>400</v>
      </c>
      <c r="B826" s="5" t="s">
        <v>550</v>
      </c>
      <c r="C826" s="5" t="s">
        <v>17</v>
      </c>
      <c r="D826" s="5" t="s">
        <v>119</v>
      </c>
      <c r="E826" s="5" t="s">
        <v>120</v>
      </c>
      <c r="F826" s="5" t="s">
        <v>552</v>
      </c>
      <c r="G826" s="22">
        <v>0.85</v>
      </c>
      <c r="H826" s="22">
        <v>0</v>
      </c>
      <c r="I826" s="22">
        <v>0</v>
      </c>
      <c r="J826" s="22">
        <v>0</v>
      </c>
      <c r="K826" s="22">
        <v>-0.02</v>
      </c>
      <c r="L826" s="22">
        <v>0.83</v>
      </c>
      <c r="M826" s="10"/>
      <c r="O826" s="11"/>
    </row>
    <row r="827" spans="1:15" x14ac:dyDescent="0.25">
      <c r="A827" s="6">
        <v>401</v>
      </c>
      <c r="B827" s="5" t="s">
        <v>550</v>
      </c>
      <c r="C827" s="5" t="s">
        <v>13</v>
      </c>
      <c r="D827" s="5" t="s">
        <v>119</v>
      </c>
      <c r="E827" s="5" t="s">
        <v>120</v>
      </c>
      <c r="F827" s="5" t="s">
        <v>552</v>
      </c>
      <c r="G827" s="22">
        <v>0</v>
      </c>
      <c r="H827" s="22">
        <v>0</v>
      </c>
      <c r="I827" s="22">
        <v>0</v>
      </c>
      <c r="J827" s="22">
        <v>0.1</v>
      </c>
      <c r="K827" s="22">
        <v>0</v>
      </c>
      <c r="L827" s="22">
        <v>0.1</v>
      </c>
      <c r="M827" s="10"/>
      <c r="O827" s="11"/>
    </row>
    <row r="828" spans="1:15" s="4" customFormat="1" x14ac:dyDescent="0.25">
      <c r="A828" s="6"/>
      <c r="B828" s="5"/>
      <c r="C828" s="5"/>
      <c r="D828" s="5" t="s">
        <v>119</v>
      </c>
      <c r="E828" s="5" t="s">
        <v>120</v>
      </c>
      <c r="F828" s="5" t="s">
        <v>552</v>
      </c>
      <c r="G828" s="14">
        <f t="shared" ref="G828:L828" si="210">SUBTOTAL(9,G826:G827)</f>
        <v>0.85</v>
      </c>
      <c r="H828" s="14">
        <f t="shared" si="210"/>
        <v>0</v>
      </c>
      <c r="I828" s="14">
        <f t="shared" si="210"/>
        <v>0</v>
      </c>
      <c r="J828" s="14">
        <f t="shared" si="210"/>
        <v>0.1</v>
      </c>
      <c r="K828" s="14">
        <f t="shared" si="210"/>
        <v>-0.02</v>
      </c>
      <c r="L828" s="14">
        <f t="shared" si="210"/>
        <v>0.92999999999999994</v>
      </c>
      <c r="M828" s="10">
        <v>2323</v>
      </c>
      <c r="N828" s="69"/>
      <c r="O828" s="11">
        <f>O824+1</f>
        <v>205</v>
      </c>
    </row>
    <row r="829" spans="1:15" s="4" customFormat="1" x14ac:dyDescent="0.25">
      <c r="A829" s="10"/>
      <c r="B829"/>
      <c r="C829"/>
      <c r="D829"/>
      <c r="E829"/>
      <c r="F829"/>
      <c r="G829" s="21"/>
      <c r="H829" s="21"/>
      <c r="I829" s="21"/>
      <c r="J829" s="21"/>
      <c r="K829" s="21"/>
      <c r="L829" s="21"/>
      <c r="M829" s="10"/>
      <c r="N829" s="67"/>
      <c r="O829" s="11"/>
    </row>
    <row r="830" spans="1:15" x14ac:dyDescent="0.25">
      <c r="A830" s="6">
        <v>402</v>
      </c>
      <c r="B830" s="5" t="s">
        <v>557</v>
      </c>
      <c r="C830" s="5" t="s">
        <v>17</v>
      </c>
      <c r="D830" s="5" t="s">
        <v>121</v>
      </c>
      <c r="E830" s="5" t="s">
        <v>122</v>
      </c>
      <c r="F830" s="5" t="s">
        <v>558</v>
      </c>
      <c r="G830" s="22">
        <v>92.38</v>
      </c>
      <c r="H830" s="22">
        <v>0</v>
      </c>
      <c r="I830" s="22">
        <v>0</v>
      </c>
      <c r="J830" s="22">
        <v>0</v>
      </c>
      <c r="K830" s="22">
        <v>-1.85</v>
      </c>
      <c r="L830" s="22">
        <v>90.53</v>
      </c>
      <c r="M830" s="10"/>
      <c r="O830" s="11"/>
    </row>
    <row r="831" spans="1:15" x14ac:dyDescent="0.25">
      <c r="A831" s="6">
        <v>403</v>
      </c>
      <c r="B831" s="5" t="s">
        <v>557</v>
      </c>
      <c r="C831" s="5" t="s">
        <v>13</v>
      </c>
      <c r="D831" s="5" t="s">
        <v>121</v>
      </c>
      <c r="E831" s="5" t="s">
        <v>122</v>
      </c>
      <c r="F831" s="5" t="s">
        <v>558</v>
      </c>
      <c r="G831" s="22">
        <v>0</v>
      </c>
      <c r="H831" s="22">
        <v>0</v>
      </c>
      <c r="I831" s="22">
        <v>0</v>
      </c>
      <c r="J831" s="22">
        <v>11.09</v>
      </c>
      <c r="K831" s="22">
        <v>0</v>
      </c>
      <c r="L831" s="22">
        <v>11.09</v>
      </c>
      <c r="M831" s="10"/>
      <c r="O831" s="11"/>
    </row>
    <row r="832" spans="1:15" s="4" customFormat="1" x14ac:dyDescent="0.25">
      <c r="A832" s="6"/>
      <c r="B832" s="5"/>
      <c r="C832" s="5"/>
      <c r="D832" s="5" t="s">
        <v>121</v>
      </c>
      <c r="E832" s="5" t="s">
        <v>122</v>
      </c>
      <c r="F832" s="5" t="s">
        <v>558</v>
      </c>
      <c r="G832" s="14">
        <f t="shared" ref="G832:L832" si="211">SUBTOTAL(9,G830:G831)</f>
        <v>92.38</v>
      </c>
      <c r="H832" s="14">
        <f t="shared" si="211"/>
        <v>0</v>
      </c>
      <c r="I832" s="14">
        <f t="shared" si="211"/>
        <v>0</v>
      </c>
      <c r="J832" s="14">
        <f t="shared" si="211"/>
        <v>11.09</v>
      </c>
      <c r="K832" s="14">
        <f t="shared" si="211"/>
        <v>-1.85</v>
      </c>
      <c r="L832" s="14">
        <f t="shared" si="211"/>
        <v>101.62</v>
      </c>
      <c r="M832" s="10">
        <v>2324</v>
      </c>
      <c r="N832" s="69"/>
      <c r="O832" s="11">
        <f>O828+1</f>
        <v>206</v>
      </c>
    </row>
    <row r="833" spans="1:15" s="4" customFormat="1" x14ac:dyDescent="0.25">
      <c r="A833" s="10"/>
      <c r="B833"/>
      <c r="C833"/>
      <c r="D833"/>
      <c r="E833"/>
      <c r="F833"/>
      <c r="G833" s="21"/>
      <c r="H833" s="21"/>
      <c r="I833" s="21"/>
      <c r="J833" s="21"/>
      <c r="K833" s="21"/>
      <c r="L833" s="21"/>
      <c r="M833" s="10"/>
      <c r="N833" s="67"/>
      <c r="O833" s="11"/>
    </row>
    <row r="834" spans="1:15" x14ac:dyDescent="0.25">
      <c r="A834" s="6">
        <v>404</v>
      </c>
      <c r="B834" s="5" t="s">
        <v>566</v>
      </c>
      <c r="C834" s="5" t="s">
        <v>17</v>
      </c>
      <c r="D834" s="5" t="s">
        <v>121</v>
      </c>
      <c r="E834" s="5" t="s">
        <v>122</v>
      </c>
      <c r="F834" s="5" t="s">
        <v>567</v>
      </c>
      <c r="G834" s="22">
        <v>0.01</v>
      </c>
      <c r="H834" s="22">
        <v>0</v>
      </c>
      <c r="I834" s="22">
        <v>0</v>
      </c>
      <c r="J834" s="22">
        <v>0</v>
      </c>
      <c r="K834" s="22">
        <v>0</v>
      </c>
      <c r="L834" s="22">
        <v>0.01</v>
      </c>
      <c r="M834" s="10"/>
      <c r="O834" s="11"/>
    </row>
    <row r="835" spans="1:15" x14ac:dyDescent="0.25">
      <c r="A835" s="6">
        <v>405</v>
      </c>
      <c r="B835" s="5" t="s">
        <v>566</v>
      </c>
      <c r="C835" s="5" t="s">
        <v>13</v>
      </c>
      <c r="D835" s="5" t="s">
        <v>121</v>
      </c>
      <c r="E835" s="5" t="s">
        <v>122</v>
      </c>
      <c r="F835" s="5" t="s">
        <v>567</v>
      </c>
      <c r="G835" s="22">
        <v>0</v>
      </c>
      <c r="H835" s="22">
        <v>0</v>
      </c>
      <c r="I835" s="22">
        <v>0</v>
      </c>
      <c r="J835" s="22">
        <v>0</v>
      </c>
      <c r="K835" s="22">
        <v>0</v>
      </c>
      <c r="L835" s="22">
        <v>0</v>
      </c>
      <c r="M835" s="10"/>
      <c r="O835" s="11"/>
    </row>
    <row r="836" spans="1:15" s="4" customFormat="1" x14ac:dyDescent="0.25">
      <c r="A836" s="6"/>
      <c r="B836" s="5"/>
      <c r="C836" s="5"/>
      <c r="D836" s="5" t="s">
        <v>121</v>
      </c>
      <c r="E836" s="5" t="s">
        <v>122</v>
      </c>
      <c r="F836" s="5" t="s">
        <v>567</v>
      </c>
      <c r="G836" s="14">
        <f t="shared" ref="G836:L836" si="212">SUBTOTAL(9,G834:G835)</f>
        <v>0.01</v>
      </c>
      <c r="H836" s="14">
        <f t="shared" si="212"/>
        <v>0</v>
      </c>
      <c r="I836" s="14">
        <f t="shared" si="212"/>
        <v>0</v>
      </c>
      <c r="J836" s="14">
        <f t="shared" si="212"/>
        <v>0</v>
      </c>
      <c r="K836" s="14">
        <f t="shared" si="212"/>
        <v>0</v>
      </c>
      <c r="L836" s="14">
        <f t="shared" si="212"/>
        <v>0.01</v>
      </c>
      <c r="M836" s="10">
        <v>2325</v>
      </c>
      <c r="N836" s="69"/>
      <c r="O836" s="11">
        <f>O832+1</f>
        <v>207</v>
      </c>
    </row>
    <row r="837" spans="1:15" x14ac:dyDescent="0.25">
      <c r="A837" s="10"/>
      <c r="G837" s="21"/>
      <c r="H837" s="21"/>
      <c r="I837" s="21"/>
      <c r="J837" s="21"/>
      <c r="K837" s="21"/>
      <c r="L837" s="21"/>
      <c r="M837" s="10"/>
      <c r="O837" s="11"/>
    </row>
    <row r="838" spans="1:15" x14ac:dyDescent="0.25">
      <c r="A838" s="6">
        <v>406</v>
      </c>
      <c r="B838" s="5" t="s">
        <v>18</v>
      </c>
      <c r="C838" s="5" t="s">
        <v>17</v>
      </c>
      <c r="D838" s="5" t="s">
        <v>121</v>
      </c>
      <c r="E838" s="5" t="s">
        <v>122</v>
      </c>
      <c r="F838" s="5" t="s">
        <v>19</v>
      </c>
      <c r="G838" s="22">
        <v>1.07</v>
      </c>
      <c r="H838" s="22">
        <v>0</v>
      </c>
      <c r="I838" s="22">
        <v>0</v>
      </c>
      <c r="J838" s="22">
        <v>0</v>
      </c>
      <c r="K838" s="22">
        <v>-0.95</v>
      </c>
      <c r="L838" s="22">
        <v>0.12</v>
      </c>
      <c r="M838" s="10"/>
      <c r="O838" s="11"/>
    </row>
    <row r="839" spans="1:15" s="4" customFormat="1" x14ac:dyDescent="0.25">
      <c r="A839" s="6"/>
      <c r="B839" s="5"/>
      <c r="C839" s="5"/>
      <c r="D839" s="5" t="s">
        <v>121</v>
      </c>
      <c r="E839" s="5" t="s">
        <v>122</v>
      </c>
      <c r="F839" s="5" t="s">
        <v>19</v>
      </c>
      <c r="G839" s="14">
        <f t="shared" ref="G839:L839" si="213">SUBTOTAL(9,G838:G838)</f>
        <v>1.07</v>
      </c>
      <c r="H839" s="14">
        <f t="shared" si="213"/>
        <v>0</v>
      </c>
      <c r="I839" s="14">
        <f t="shared" si="213"/>
        <v>0</v>
      </c>
      <c r="J839" s="14">
        <f t="shared" si="213"/>
        <v>0</v>
      </c>
      <c r="K839" s="14">
        <f t="shared" si="213"/>
        <v>-0.95</v>
      </c>
      <c r="L839" s="14">
        <f t="shared" si="213"/>
        <v>0.12</v>
      </c>
      <c r="M839" s="10">
        <v>2326</v>
      </c>
      <c r="N839" s="69"/>
      <c r="O839" s="11">
        <f>O836+1</f>
        <v>208</v>
      </c>
    </row>
    <row r="840" spans="1:15" x14ac:dyDescent="0.25">
      <c r="A840" s="10"/>
      <c r="G840" s="21"/>
      <c r="H840" s="21"/>
      <c r="I840" s="21"/>
      <c r="J840" s="21"/>
      <c r="K840" s="21"/>
      <c r="L840" s="21"/>
      <c r="M840" s="10"/>
      <c r="O840" s="11"/>
    </row>
    <row r="841" spans="1:15" x14ac:dyDescent="0.25">
      <c r="A841" s="6">
        <v>407</v>
      </c>
      <c r="B841" s="5" t="s">
        <v>550</v>
      </c>
      <c r="C841" s="5" t="s">
        <v>17</v>
      </c>
      <c r="D841" s="5" t="s">
        <v>121</v>
      </c>
      <c r="E841" s="5" t="s">
        <v>122</v>
      </c>
      <c r="F841" s="5" t="s">
        <v>551</v>
      </c>
      <c r="G841" s="22">
        <v>112266.99</v>
      </c>
      <c r="H841" s="22">
        <v>0</v>
      </c>
      <c r="I841" s="22">
        <v>0</v>
      </c>
      <c r="J841" s="22">
        <v>0</v>
      </c>
      <c r="K841" s="22">
        <v>-2245.34</v>
      </c>
      <c r="L841" s="22">
        <v>110021.65</v>
      </c>
      <c r="M841" s="10"/>
      <c r="O841" s="11"/>
    </row>
    <row r="842" spans="1:15" s="4" customFormat="1" x14ac:dyDescent="0.25">
      <c r="A842" s="6">
        <v>408</v>
      </c>
      <c r="B842" s="5" t="s">
        <v>550</v>
      </c>
      <c r="C842" s="5" t="s">
        <v>17</v>
      </c>
      <c r="D842" s="5" t="s">
        <v>121</v>
      </c>
      <c r="E842" s="5" t="s">
        <v>122</v>
      </c>
      <c r="F842" s="5" t="s">
        <v>551</v>
      </c>
      <c r="G842" s="22">
        <v>4071.46</v>
      </c>
      <c r="H842" s="22">
        <v>0</v>
      </c>
      <c r="I842" s="22">
        <v>0</v>
      </c>
      <c r="J842" s="22">
        <v>0</v>
      </c>
      <c r="K842" s="22">
        <v>-81.430000000000007</v>
      </c>
      <c r="L842" s="22">
        <v>3990.03</v>
      </c>
      <c r="M842" s="10"/>
      <c r="N842" s="67"/>
      <c r="O842" s="11"/>
    </row>
    <row r="843" spans="1:15" x14ac:dyDescent="0.25">
      <c r="A843" s="6">
        <v>409</v>
      </c>
      <c r="B843" s="5" t="s">
        <v>550</v>
      </c>
      <c r="C843" s="5" t="s">
        <v>13</v>
      </c>
      <c r="D843" s="5" t="s">
        <v>121</v>
      </c>
      <c r="E843" s="5" t="s">
        <v>122</v>
      </c>
      <c r="F843" s="5" t="s">
        <v>551</v>
      </c>
      <c r="G843" s="22">
        <v>0</v>
      </c>
      <c r="H843" s="22">
        <v>0</v>
      </c>
      <c r="I843" s="22">
        <v>0</v>
      </c>
      <c r="J843" s="22">
        <v>13472.04</v>
      </c>
      <c r="K843" s="22">
        <v>0</v>
      </c>
      <c r="L843" s="22">
        <v>13472.04</v>
      </c>
      <c r="M843" s="10"/>
      <c r="O843" s="11"/>
    </row>
    <row r="844" spans="1:15" x14ac:dyDescent="0.25">
      <c r="A844" s="6">
        <v>410</v>
      </c>
      <c r="B844" s="5" t="s">
        <v>550</v>
      </c>
      <c r="C844" s="5" t="s">
        <v>13</v>
      </c>
      <c r="D844" s="5" t="s">
        <v>121</v>
      </c>
      <c r="E844" s="5" t="s">
        <v>122</v>
      </c>
      <c r="F844" s="5" t="s">
        <v>551</v>
      </c>
      <c r="G844" s="22">
        <v>0</v>
      </c>
      <c r="H844" s="22">
        <v>0</v>
      </c>
      <c r="I844" s="22">
        <v>0</v>
      </c>
      <c r="J844" s="22">
        <v>488.58</v>
      </c>
      <c r="K844" s="22">
        <v>0</v>
      </c>
      <c r="L844" s="22">
        <v>488.58</v>
      </c>
      <c r="M844" s="10"/>
      <c r="O844" s="11"/>
    </row>
    <row r="845" spans="1:15" s="4" customFormat="1" x14ac:dyDescent="0.25">
      <c r="A845" s="6"/>
      <c r="B845" s="5"/>
      <c r="C845" s="5"/>
      <c r="D845" s="5" t="s">
        <v>121</v>
      </c>
      <c r="E845" s="5" t="s">
        <v>122</v>
      </c>
      <c r="F845" s="5" t="s">
        <v>551</v>
      </c>
      <c r="G845" s="14">
        <f t="shared" ref="G845:L845" si="214">SUBTOTAL(9,G841:G844)</f>
        <v>116338.45000000001</v>
      </c>
      <c r="H845" s="14">
        <f t="shared" si="214"/>
        <v>0</v>
      </c>
      <c r="I845" s="14">
        <f t="shared" si="214"/>
        <v>0</v>
      </c>
      <c r="J845" s="14">
        <f t="shared" si="214"/>
        <v>13960.62</v>
      </c>
      <c r="K845" s="14">
        <f t="shared" si="214"/>
        <v>-2326.77</v>
      </c>
      <c r="L845" s="14">
        <f t="shared" si="214"/>
        <v>127972.3</v>
      </c>
      <c r="M845" s="10">
        <v>2327</v>
      </c>
      <c r="N845" s="69"/>
      <c r="O845" s="11">
        <f>O839+1</f>
        <v>209</v>
      </c>
    </row>
    <row r="846" spans="1:15" x14ac:dyDescent="0.25">
      <c r="A846" s="10"/>
      <c r="G846" s="21"/>
      <c r="H846" s="21"/>
      <c r="I846" s="21"/>
      <c r="J846" s="21"/>
      <c r="K846" s="21"/>
      <c r="L846" s="21"/>
      <c r="M846" s="10"/>
      <c r="O846" s="11"/>
    </row>
    <row r="847" spans="1:15" x14ac:dyDescent="0.25">
      <c r="A847" s="6">
        <v>411</v>
      </c>
      <c r="B847" s="5" t="s">
        <v>550</v>
      </c>
      <c r="C847" s="5" t="s">
        <v>17</v>
      </c>
      <c r="D847" s="5" t="s">
        <v>121</v>
      </c>
      <c r="E847" s="5" t="s">
        <v>122</v>
      </c>
      <c r="F847" s="5" t="s">
        <v>552</v>
      </c>
      <c r="G847" s="22">
        <v>8.08</v>
      </c>
      <c r="H847" s="22">
        <v>0</v>
      </c>
      <c r="I847" s="22">
        <v>0</v>
      </c>
      <c r="J847" s="22">
        <v>0</v>
      </c>
      <c r="K847" s="22">
        <v>-0.16</v>
      </c>
      <c r="L847" s="22">
        <v>7.92</v>
      </c>
      <c r="M847" s="10"/>
      <c r="O847" s="11"/>
    </row>
    <row r="848" spans="1:15" s="4" customFormat="1" x14ac:dyDescent="0.25">
      <c r="A848" s="6">
        <v>412</v>
      </c>
      <c r="B848" s="5" t="s">
        <v>550</v>
      </c>
      <c r="C848" s="5" t="s">
        <v>17</v>
      </c>
      <c r="D848" s="5" t="s">
        <v>121</v>
      </c>
      <c r="E848" s="5" t="s">
        <v>122</v>
      </c>
      <c r="F848" s="5" t="s">
        <v>552</v>
      </c>
      <c r="G848" s="22">
        <v>0.28999999999999998</v>
      </c>
      <c r="H848" s="22">
        <v>0</v>
      </c>
      <c r="I848" s="22">
        <v>0</v>
      </c>
      <c r="J848" s="22">
        <v>0</v>
      </c>
      <c r="K848" s="22">
        <v>-0.01</v>
      </c>
      <c r="L848" s="22">
        <v>0.28000000000000003</v>
      </c>
      <c r="M848" s="10"/>
      <c r="N848" s="67"/>
      <c r="O848" s="11"/>
    </row>
    <row r="849" spans="1:15" s="4" customFormat="1" x14ac:dyDescent="0.25">
      <c r="A849" s="6">
        <v>413</v>
      </c>
      <c r="B849" s="5" t="s">
        <v>550</v>
      </c>
      <c r="C849" s="5" t="s">
        <v>13</v>
      </c>
      <c r="D849" s="5" t="s">
        <v>121</v>
      </c>
      <c r="E849" s="5" t="s">
        <v>122</v>
      </c>
      <c r="F849" s="5" t="s">
        <v>552</v>
      </c>
      <c r="G849" s="22">
        <v>0</v>
      </c>
      <c r="H849" s="22">
        <v>0</v>
      </c>
      <c r="I849" s="22">
        <v>0</v>
      </c>
      <c r="J849" s="22">
        <v>0.97</v>
      </c>
      <c r="K849" s="22">
        <v>0</v>
      </c>
      <c r="L849" s="22">
        <v>0.97</v>
      </c>
      <c r="M849" s="10"/>
      <c r="N849" s="67"/>
      <c r="O849" s="11"/>
    </row>
    <row r="850" spans="1:15" x14ac:dyDescent="0.25">
      <c r="A850" s="6">
        <v>414</v>
      </c>
      <c r="B850" s="5" t="s">
        <v>550</v>
      </c>
      <c r="C850" s="5" t="s">
        <v>13</v>
      </c>
      <c r="D850" s="5" t="s">
        <v>121</v>
      </c>
      <c r="E850" s="5" t="s">
        <v>122</v>
      </c>
      <c r="F850" s="5" t="s">
        <v>552</v>
      </c>
      <c r="G850" s="22">
        <v>0</v>
      </c>
      <c r="H850" s="22">
        <v>0</v>
      </c>
      <c r="I850" s="22">
        <v>0</v>
      </c>
      <c r="J850" s="22">
        <v>0.03</v>
      </c>
      <c r="K850" s="22">
        <v>0</v>
      </c>
      <c r="L850" s="22">
        <v>0.03</v>
      </c>
      <c r="M850" s="10"/>
      <c r="O850" s="11"/>
    </row>
    <row r="851" spans="1:15" x14ac:dyDescent="0.25">
      <c r="A851" s="6"/>
      <c r="B851" s="5"/>
      <c r="C851" s="5"/>
      <c r="D851" s="5" t="s">
        <v>121</v>
      </c>
      <c r="E851" s="5" t="s">
        <v>122</v>
      </c>
      <c r="F851" s="5" t="s">
        <v>552</v>
      </c>
      <c r="G851" s="14">
        <f t="shared" ref="G851:L851" si="215">SUBTOTAL(9,G847:G850)</f>
        <v>8.3699999999999992</v>
      </c>
      <c r="H851" s="14">
        <f t="shared" si="215"/>
        <v>0</v>
      </c>
      <c r="I851" s="14">
        <f t="shared" si="215"/>
        <v>0</v>
      </c>
      <c r="J851" s="14">
        <f t="shared" si="215"/>
        <v>1</v>
      </c>
      <c r="K851" s="14">
        <f t="shared" si="215"/>
        <v>-0.17</v>
      </c>
      <c r="L851" s="14">
        <f t="shared" si="215"/>
        <v>9.1999999999999993</v>
      </c>
      <c r="M851" s="10">
        <v>2328</v>
      </c>
      <c r="N851" s="69"/>
      <c r="O851" s="11">
        <f>O845+1</f>
        <v>210</v>
      </c>
    </row>
    <row r="852" spans="1:15" s="4" customFormat="1" x14ac:dyDescent="0.25">
      <c r="A852" s="10"/>
      <c r="B852"/>
      <c r="C852"/>
      <c r="D852"/>
      <c r="E852"/>
      <c r="F852"/>
      <c r="G852" s="21"/>
      <c r="H852" s="21"/>
      <c r="I852" s="21"/>
      <c r="J852" s="21"/>
      <c r="K852" s="21"/>
      <c r="L852" s="21"/>
      <c r="M852" s="10"/>
      <c r="N852" s="67"/>
      <c r="O852" s="11"/>
    </row>
    <row r="853" spans="1:15" s="4" customFormat="1" x14ac:dyDescent="0.25">
      <c r="A853" s="6">
        <v>415</v>
      </c>
      <c r="B853" s="5" t="s">
        <v>12</v>
      </c>
      <c r="C853" s="5" t="s">
        <v>17</v>
      </c>
      <c r="D853" s="5" t="s">
        <v>123</v>
      </c>
      <c r="E853" s="5" t="s">
        <v>124</v>
      </c>
      <c r="F853" s="5" t="s">
        <v>16</v>
      </c>
      <c r="G853" s="22">
        <v>0</v>
      </c>
      <c r="H853" s="22">
        <v>0</v>
      </c>
      <c r="I853" s="22">
        <v>1.89</v>
      </c>
      <c r="J853" s="22">
        <v>0</v>
      </c>
      <c r="K853" s="22">
        <v>-0.04</v>
      </c>
      <c r="L853" s="22">
        <v>1.85</v>
      </c>
      <c r="M853" s="10"/>
      <c r="N853" s="67"/>
      <c r="O853" s="11"/>
    </row>
    <row r="854" spans="1:15" x14ac:dyDescent="0.25">
      <c r="A854" s="6">
        <v>416</v>
      </c>
      <c r="B854" s="5" t="s">
        <v>12</v>
      </c>
      <c r="C854" s="5" t="s">
        <v>49</v>
      </c>
      <c r="D854" s="5" t="s">
        <v>123</v>
      </c>
      <c r="E854" s="5" t="s">
        <v>124</v>
      </c>
      <c r="F854" s="5" t="s">
        <v>16</v>
      </c>
      <c r="G854" s="22">
        <v>0</v>
      </c>
      <c r="H854" s="22">
        <v>0</v>
      </c>
      <c r="I854" s="22">
        <v>0.01</v>
      </c>
      <c r="J854" s="22">
        <v>0</v>
      </c>
      <c r="K854" s="22">
        <v>0</v>
      </c>
      <c r="L854" s="22">
        <v>0.01</v>
      </c>
      <c r="M854" s="10"/>
      <c r="N854" s="70">
        <v>0.01</v>
      </c>
      <c r="O854" s="11"/>
    </row>
    <row r="855" spans="1:15" x14ac:dyDescent="0.25">
      <c r="A855" s="6"/>
      <c r="B855" s="5"/>
      <c r="C855" s="5"/>
      <c r="D855" s="5" t="s">
        <v>123</v>
      </c>
      <c r="E855" s="5" t="s">
        <v>124</v>
      </c>
      <c r="F855" s="5" t="s">
        <v>16</v>
      </c>
      <c r="G855" s="14">
        <f t="shared" ref="G855:L855" si="216">SUBTOTAL(9,G853:G854)</f>
        <v>0</v>
      </c>
      <c r="H855" s="14">
        <f t="shared" si="216"/>
        <v>0</v>
      </c>
      <c r="I855" s="14">
        <f t="shared" si="216"/>
        <v>1.9</v>
      </c>
      <c r="J855" s="14">
        <f t="shared" si="216"/>
        <v>0</v>
      </c>
      <c r="K855" s="14">
        <f t="shared" si="216"/>
        <v>-0.04</v>
      </c>
      <c r="L855" s="14">
        <f t="shared" si="216"/>
        <v>1.86</v>
      </c>
      <c r="M855" s="10">
        <v>2329</v>
      </c>
      <c r="N855" s="71">
        <f>SUBTOTAL(9,N853:N854)</f>
        <v>0.01</v>
      </c>
      <c r="O855" s="11">
        <f>O851+1</f>
        <v>211</v>
      </c>
    </row>
    <row r="856" spans="1:15" s="4" customFormat="1" x14ac:dyDescent="0.25">
      <c r="A856" s="10"/>
      <c r="B856"/>
      <c r="C856"/>
      <c r="D856"/>
      <c r="E856"/>
      <c r="F856"/>
      <c r="G856" s="21"/>
      <c r="H856" s="21"/>
      <c r="I856" s="21"/>
      <c r="J856" s="21"/>
      <c r="K856" s="21"/>
      <c r="L856" s="21"/>
      <c r="M856" s="10"/>
      <c r="N856" s="67"/>
      <c r="O856" s="11"/>
    </row>
    <row r="857" spans="1:15" s="4" customFormat="1" x14ac:dyDescent="0.25">
      <c r="A857" s="6">
        <v>417</v>
      </c>
      <c r="B857" s="5" t="s">
        <v>18</v>
      </c>
      <c r="C857" s="5" t="s">
        <v>17</v>
      </c>
      <c r="D857" s="5" t="s">
        <v>123</v>
      </c>
      <c r="E857" s="5" t="s">
        <v>124</v>
      </c>
      <c r="F857" s="5" t="s">
        <v>19</v>
      </c>
      <c r="G857" s="22">
        <v>0</v>
      </c>
      <c r="H857" s="22">
        <v>0</v>
      </c>
      <c r="I857" s="22">
        <v>0.19</v>
      </c>
      <c r="J857" s="22">
        <v>0</v>
      </c>
      <c r="K857" s="22">
        <v>-0.02</v>
      </c>
      <c r="L857" s="22">
        <v>0.17</v>
      </c>
      <c r="M857" s="10"/>
      <c r="N857" s="67"/>
      <c r="O857" s="11"/>
    </row>
    <row r="858" spans="1:15" x14ac:dyDescent="0.25">
      <c r="A858" s="6">
        <v>418</v>
      </c>
      <c r="B858" s="5" t="s">
        <v>18</v>
      </c>
      <c r="C858" s="5" t="s">
        <v>17</v>
      </c>
      <c r="D858" s="5" t="s">
        <v>123</v>
      </c>
      <c r="E858" s="5" t="s">
        <v>124</v>
      </c>
      <c r="F858" s="5" t="s">
        <v>19</v>
      </c>
      <c r="G858" s="22">
        <v>0</v>
      </c>
      <c r="H858" s="22">
        <v>0</v>
      </c>
      <c r="I858" s="22">
        <v>0.05</v>
      </c>
      <c r="J858" s="22">
        <v>0</v>
      </c>
      <c r="K858" s="22">
        <v>0</v>
      </c>
      <c r="L858" s="22">
        <v>0.05</v>
      </c>
      <c r="M858" s="10"/>
      <c r="O858" s="11"/>
    </row>
    <row r="859" spans="1:15" x14ac:dyDescent="0.25">
      <c r="A859" s="6"/>
      <c r="B859" s="5"/>
      <c r="C859" s="5"/>
      <c r="D859" s="5" t="s">
        <v>123</v>
      </c>
      <c r="E859" s="5" t="s">
        <v>124</v>
      </c>
      <c r="F859" s="5" t="s">
        <v>19</v>
      </c>
      <c r="G859" s="14">
        <f t="shared" ref="G859:L859" si="217">SUBTOTAL(9,G857:G858)</f>
        <v>0</v>
      </c>
      <c r="H859" s="14">
        <f t="shared" si="217"/>
        <v>0</v>
      </c>
      <c r="I859" s="14">
        <f t="shared" si="217"/>
        <v>0.24</v>
      </c>
      <c r="J859" s="14">
        <f t="shared" si="217"/>
        <v>0</v>
      </c>
      <c r="K859" s="14">
        <f t="shared" si="217"/>
        <v>-0.02</v>
      </c>
      <c r="L859" s="14">
        <f t="shared" si="217"/>
        <v>0.22000000000000003</v>
      </c>
      <c r="M859" s="10">
        <v>2330</v>
      </c>
      <c r="N859" s="69"/>
      <c r="O859" s="11">
        <f>O855+1</f>
        <v>212</v>
      </c>
    </row>
    <row r="860" spans="1:15" s="4" customFormat="1" x14ac:dyDescent="0.25">
      <c r="A860" s="10"/>
      <c r="B860"/>
      <c r="C860"/>
      <c r="D860"/>
      <c r="E860"/>
      <c r="F860"/>
      <c r="G860" s="21"/>
      <c r="H860" s="21"/>
      <c r="I860" s="21"/>
      <c r="J860" s="21"/>
      <c r="K860" s="21"/>
      <c r="L860" s="21"/>
      <c r="M860" s="10"/>
      <c r="N860" s="67"/>
      <c r="O860" s="11"/>
    </row>
    <row r="861" spans="1:15" s="4" customFormat="1" x14ac:dyDescent="0.25">
      <c r="A861" s="6">
        <v>419</v>
      </c>
      <c r="B861" s="5" t="s">
        <v>22</v>
      </c>
      <c r="C861" s="5" t="s">
        <v>17</v>
      </c>
      <c r="D861" s="5" t="s">
        <v>123</v>
      </c>
      <c r="E861" s="5" t="s">
        <v>124</v>
      </c>
      <c r="F861" s="5" t="s">
        <v>23</v>
      </c>
      <c r="G861" s="22">
        <v>0</v>
      </c>
      <c r="H861" s="22">
        <v>0</v>
      </c>
      <c r="I861" s="22">
        <v>0.01</v>
      </c>
      <c r="J861" s="22">
        <v>0</v>
      </c>
      <c r="K861" s="22">
        <v>0</v>
      </c>
      <c r="L861" s="22">
        <v>0.01</v>
      </c>
      <c r="M861" s="10"/>
      <c r="N861" s="67"/>
      <c r="O861" s="11"/>
    </row>
    <row r="862" spans="1:15" x14ac:dyDescent="0.25">
      <c r="A862" s="6"/>
      <c r="B862" s="5"/>
      <c r="C862" s="5"/>
      <c r="D862" s="5" t="s">
        <v>123</v>
      </c>
      <c r="E862" s="5" t="s">
        <v>124</v>
      </c>
      <c r="F862" s="5" t="s">
        <v>23</v>
      </c>
      <c r="G862" s="14">
        <f t="shared" ref="G862:L862" si="218">SUBTOTAL(9,G861:G861)</f>
        <v>0</v>
      </c>
      <c r="H862" s="14">
        <f t="shared" si="218"/>
        <v>0</v>
      </c>
      <c r="I862" s="14">
        <f t="shared" si="218"/>
        <v>0.01</v>
      </c>
      <c r="J862" s="14">
        <f t="shared" si="218"/>
        <v>0</v>
      </c>
      <c r="K862" s="14">
        <f t="shared" si="218"/>
        <v>0</v>
      </c>
      <c r="L862" s="14">
        <f t="shared" si="218"/>
        <v>0.01</v>
      </c>
      <c r="M862" s="10">
        <v>2331</v>
      </c>
      <c r="N862" s="69"/>
      <c r="O862" s="11">
        <f>O859+1</f>
        <v>213</v>
      </c>
    </row>
    <row r="863" spans="1:15" x14ac:dyDescent="0.25">
      <c r="A863" s="10"/>
      <c r="G863" s="21"/>
      <c r="H863" s="21"/>
      <c r="I863" s="21"/>
      <c r="J863" s="21"/>
      <c r="K863" s="21"/>
      <c r="L863" s="21"/>
      <c r="M863" s="10"/>
      <c r="O863" s="11"/>
    </row>
    <row r="864" spans="1:15" s="4" customFormat="1" x14ac:dyDescent="0.25">
      <c r="A864" s="6">
        <v>420</v>
      </c>
      <c r="B864" s="5" t="s">
        <v>22</v>
      </c>
      <c r="C864" s="5" t="s">
        <v>17</v>
      </c>
      <c r="D864" s="5" t="s">
        <v>123</v>
      </c>
      <c r="E864" s="5" t="s">
        <v>124</v>
      </c>
      <c r="F864" s="5" t="s">
        <v>24</v>
      </c>
      <c r="G864" s="22">
        <v>0</v>
      </c>
      <c r="H864" s="22">
        <v>0</v>
      </c>
      <c r="I864" s="22">
        <v>0</v>
      </c>
      <c r="J864" s="22">
        <v>0</v>
      </c>
      <c r="K864" s="22">
        <v>0</v>
      </c>
      <c r="L864" s="22">
        <v>0</v>
      </c>
      <c r="M864" s="10"/>
      <c r="N864" s="67"/>
      <c r="O864" s="11"/>
    </row>
    <row r="865" spans="1:15" x14ac:dyDescent="0.25">
      <c r="A865" s="28"/>
      <c r="B865" s="29"/>
      <c r="C865" s="29"/>
      <c r="D865" s="29"/>
      <c r="E865" s="29"/>
      <c r="F865" s="29" t="s">
        <v>660</v>
      </c>
      <c r="G865" s="31">
        <f t="shared" ref="G865:L865" si="219">SUBTOTAL(9,G864:G864)</f>
        <v>0</v>
      </c>
      <c r="H865" s="31">
        <f t="shared" si="219"/>
        <v>0</v>
      </c>
      <c r="I865" s="31">
        <f t="shared" si="219"/>
        <v>0</v>
      </c>
      <c r="J865" s="31">
        <f t="shared" si="219"/>
        <v>0</v>
      </c>
      <c r="K865" s="31">
        <f t="shared" si="219"/>
        <v>0</v>
      </c>
      <c r="L865" s="31">
        <f t="shared" si="219"/>
        <v>0</v>
      </c>
      <c r="M865" s="15"/>
      <c r="O865" s="11"/>
    </row>
    <row r="866" spans="1:15" x14ac:dyDescent="0.25">
      <c r="A866" s="10"/>
      <c r="G866" s="21"/>
      <c r="H866" s="21"/>
      <c r="I866" s="21"/>
      <c r="J866" s="21"/>
      <c r="K866" s="21"/>
      <c r="L866" s="21"/>
      <c r="M866" s="10"/>
      <c r="O866" s="11"/>
    </row>
    <row r="867" spans="1:15" s="4" customFormat="1" x14ac:dyDescent="0.25">
      <c r="A867" s="6">
        <v>421</v>
      </c>
      <c r="B867" s="5" t="s">
        <v>550</v>
      </c>
      <c r="C867" s="5" t="s">
        <v>17</v>
      </c>
      <c r="D867" s="5" t="s">
        <v>123</v>
      </c>
      <c r="E867" s="5" t="s">
        <v>124</v>
      </c>
      <c r="F867" s="5" t="s">
        <v>551</v>
      </c>
      <c r="G867" s="22">
        <v>0</v>
      </c>
      <c r="H867" s="22">
        <v>0</v>
      </c>
      <c r="I867" s="22">
        <v>465.81</v>
      </c>
      <c r="J867" s="22">
        <v>0</v>
      </c>
      <c r="K867" s="22">
        <v>-9.32</v>
      </c>
      <c r="L867" s="22">
        <v>456.49</v>
      </c>
      <c r="M867" s="10"/>
      <c r="N867" s="67"/>
      <c r="O867" s="11"/>
    </row>
    <row r="868" spans="1:15" s="4" customFormat="1" x14ac:dyDescent="0.25">
      <c r="A868" s="6"/>
      <c r="B868" s="5"/>
      <c r="C868" s="5"/>
      <c r="D868" s="5" t="s">
        <v>123</v>
      </c>
      <c r="E868" s="5" t="s">
        <v>124</v>
      </c>
      <c r="F868" s="5" t="s">
        <v>551</v>
      </c>
      <c r="G868" s="14">
        <f t="shared" ref="G868:L868" si="220">SUBTOTAL(9,G867:G867)</f>
        <v>0</v>
      </c>
      <c r="H868" s="14">
        <f t="shared" si="220"/>
        <v>0</v>
      </c>
      <c r="I868" s="14">
        <f t="shared" si="220"/>
        <v>465.81</v>
      </c>
      <c r="J868" s="14">
        <f t="shared" si="220"/>
        <v>0</v>
      </c>
      <c r="K868" s="14">
        <f t="shared" si="220"/>
        <v>-9.32</v>
      </c>
      <c r="L868" s="14">
        <f t="shared" si="220"/>
        <v>456.49</v>
      </c>
      <c r="M868" s="10">
        <v>2332</v>
      </c>
      <c r="N868" s="69"/>
      <c r="O868" s="11">
        <f>O862+1</f>
        <v>214</v>
      </c>
    </row>
    <row r="869" spans="1:15" x14ac:dyDescent="0.25">
      <c r="A869" s="10"/>
      <c r="G869" s="21"/>
      <c r="H869" s="21"/>
      <c r="I869" s="21"/>
      <c r="J869" s="21"/>
      <c r="K869" s="21"/>
      <c r="L869" s="21"/>
      <c r="M869" s="10"/>
      <c r="O869" s="11"/>
    </row>
    <row r="870" spans="1:15" x14ac:dyDescent="0.25">
      <c r="A870" s="6">
        <v>422</v>
      </c>
      <c r="B870" s="5" t="s">
        <v>550</v>
      </c>
      <c r="C870" s="5" t="s">
        <v>17</v>
      </c>
      <c r="D870" s="5" t="s">
        <v>123</v>
      </c>
      <c r="E870" s="5" t="s">
        <v>124</v>
      </c>
      <c r="F870" s="5" t="s">
        <v>552</v>
      </c>
      <c r="G870" s="22">
        <v>0</v>
      </c>
      <c r="H870" s="22">
        <v>0</v>
      </c>
      <c r="I870" s="22">
        <v>0.03</v>
      </c>
      <c r="J870" s="22">
        <v>0</v>
      </c>
      <c r="K870" s="22">
        <v>0</v>
      </c>
      <c r="L870" s="22">
        <v>0.03</v>
      </c>
      <c r="M870" s="10"/>
      <c r="O870" s="11"/>
    </row>
    <row r="871" spans="1:15" s="4" customFormat="1" x14ac:dyDescent="0.25">
      <c r="A871" s="6"/>
      <c r="B871" s="5"/>
      <c r="C871" s="5"/>
      <c r="D871" s="5" t="s">
        <v>123</v>
      </c>
      <c r="E871" s="5" t="s">
        <v>124</v>
      </c>
      <c r="F871" s="5" t="s">
        <v>552</v>
      </c>
      <c r="G871" s="14">
        <f t="shared" ref="G871:L871" si="221">SUBTOTAL(9,G870:G870)</f>
        <v>0</v>
      </c>
      <c r="H871" s="14">
        <f t="shared" si="221"/>
        <v>0</v>
      </c>
      <c r="I871" s="14">
        <f t="shared" si="221"/>
        <v>0.03</v>
      </c>
      <c r="J871" s="14">
        <f t="shared" si="221"/>
        <v>0</v>
      </c>
      <c r="K871" s="14">
        <f t="shared" si="221"/>
        <v>0</v>
      </c>
      <c r="L871" s="14">
        <f t="shared" si="221"/>
        <v>0.03</v>
      </c>
      <c r="M871" s="10">
        <v>2333</v>
      </c>
      <c r="N871" s="69"/>
      <c r="O871" s="11">
        <f>O868+1</f>
        <v>215</v>
      </c>
    </row>
    <row r="872" spans="1:15" s="4" customFormat="1" x14ac:dyDescent="0.25">
      <c r="A872" s="10"/>
      <c r="B872"/>
      <c r="C872"/>
      <c r="D872"/>
      <c r="E872"/>
      <c r="F872"/>
      <c r="G872" s="21"/>
      <c r="H872" s="21"/>
      <c r="I872" s="21"/>
      <c r="J872" s="21"/>
      <c r="K872" s="21"/>
      <c r="L872" s="21"/>
      <c r="M872" s="10"/>
      <c r="N872" s="67"/>
      <c r="O872" s="11"/>
    </row>
    <row r="873" spans="1:15" x14ac:dyDescent="0.25">
      <c r="A873" s="6">
        <v>423</v>
      </c>
      <c r="B873" s="5" t="s">
        <v>550</v>
      </c>
      <c r="C873" s="5" t="s">
        <v>17</v>
      </c>
      <c r="D873" s="5" t="s">
        <v>125</v>
      </c>
      <c r="E873" s="5" t="s">
        <v>126</v>
      </c>
      <c r="F873" s="5" t="s">
        <v>551</v>
      </c>
      <c r="G873" s="22">
        <v>0</v>
      </c>
      <c r="H873" s="22">
        <v>0</v>
      </c>
      <c r="I873" s="22">
        <v>53253.35</v>
      </c>
      <c r="J873" s="22">
        <v>0</v>
      </c>
      <c r="K873" s="22">
        <v>-1065.07</v>
      </c>
      <c r="L873" s="22">
        <v>52188.28</v>
      </c>
      <c r="M873" s="10"/>
      <c r="O873" s="11"/>
    </row>
    <row r="874" spans="1:15" x14ac:dyDescent="0.25">
      <c r="A874" s="6"/>
      <c r="B874" s="5"/>
      <c r="C874" s="5"/>
      <c r="D874" s="5" t="s">
        <v>125</v>
      </c>
      <c r="E874" s="5" t="s">
        <v>126</v>
      </c>
      <c r="F874" s="5" t="s">
        <v>551</v>
      </c>
      <c r="G874" s="14">
        <f t="shared" ref="G874:L874" si="222">SUBTOTAL(9,G873:G873)</f>
        <v>0</v>
      </c>
      <c r="H874" s="14">
        <f t="shared" si="222"/>
        <v>0</v>
      </c>
      <c r="I874" s="14">
        <f t="shared" si="222"/>
        <v>53253.35</v>
      </c>
      <c r="J874" s="14">
        <f t="shared" si="222"/>
        <v>0</v>
      </c>
      <c r="K874" s="14">
        <f t="shared" si="222"/>
        <v>-1065.07</v>
      </c>
      <c r="L874" s="14">
        <f t="shared" si="222"/>
        <v>52188.28</v>
      </c>
      <c r="M874" s="10">
        <v>2334</v>
      </c>
      <c r="N874" s="69"/>
      <c r="O874" s="11">
        <f>O871+1</f>
        <v>216</v>
      </c>
    </row>
    <row r="875" spans="1:15" s="4" customFormat="1" x14ac:dyDescent="0.25">
      <c r="A875" s="10"/>
      <c r="B875"/>
      <c r="C875"/>
      <c r="D875"/>
      <c r="E875"/>
      <c r="F875"/>
      <c r="G875" s="21"/>
      <c r="H875" s="21"/>
      <c r="I875" s="21"/>
      <c r="J875" s="21"/>
      <c r="K875" s="21"/>
      <c r="L875" s="21"/>
      <c r="M875" s="10"/>
      <c r="N875" s="67"/>
      <c r="O875" s="11"/>
    </row>
    <row r="876" spans="1:15" s="4" customFormat="1" x14ac:dyDescent="0.25">
      <c r="A876" s="6">
        <v>424</v>
      </c>
      <c r="B876" s="5" t="s">
        <v>550</v>
      </c>
      <c r="C876" s="5" t="s">
        <v>17</v>
      </c>
      <c r="D876" s="5" t="s">
        <v>125</v>
      </c>
      <c r="E876" s="5" t="s">
        <v>126</v>
      </c>
      <c r="F876" s="5" t="s">
        <v>552</v>
      </c>
      <c r="G876" s="22">
        <v>0</v>
      </c>
      <c r="H876" s="22">
        <v>0</v>
      </c>
      <c r="I876" s="22">
        <v>3.83</v>
      </c>
      <c r="J876" s="22">
        <v>0</v>
      </c>
      <c r="K876" s="22">
        <v>-0.08</v>
      </c>
      <c r="L876" s="22">
        <v>3.75</v>
      </c>
      <c r="M876" s="10"/>
      <c r="N876" s="67"/>
      <c r="O876" s="11"/>
    </row>
    <row r="877" spans="1:15" x14ac:dyDescent="0.25">
      <c r="A877" s="6"/>
      <c r="B877" s="5"/>
      <c r="C877" s="5"/>
      <c r="D877" s="5" t="s">
        <v>125</v>
      </c>
      <c r="E877" s="5" t="s">
        <v>126</v>
      </c>
      <c r="F877" s="5" t="s">
        <v>552</v>
      </c>
      <c r="G877" s="14">
        <f t="shared" ref="G877:L877" si="223">SUBTOTAL(9,G876:G876)</f>
        <v>0</v>
      </c>
      <c r="H877" s="14">
        <f t="shared" si="223"/>
        <v>0</v>
      </c>
      <c r="I877" s="14">
        <f t="shared" si="223"/>
        <v>3.83</v>
      </c>
      <c r="J877" s="14">
        <f t="shared" si="223"/>
        <v>0</v>
      </c>
      <c r="K877" s="14">
        <f t="shared" si="223"/>
        <v>-0.08</v>
      </c>
      <c r="L877" s="14">
        <f t="shared" si="223"/>
        <v>3.75</v>
      </c>
      <c r="M877" s="10">
        <v>2335</v>
      </c>
      <c r="N877" s="69"/>
      <c r="O877" s="11">
        <f>O874+1</f>
        <v>217</v>
      </c>
    </row>
    <row r="878" spans="1:15" x14ac:dyDescent="0.25">
      <c r="A878" s="10"/>
      <c r="G878" s="21"/>
      <c r="H878" s="21"/>
      <c r="I878" s="21"/>
      <c r="J878" s="21"/>
      <c r="K878" s="21"/>
      <c r="L878" s="21"/>
      <c r="M878" s="10"/>
      <c r="O878" s="11"/>
    </row>
    <row r="879" spans="1:15" s="4" customFormat="1" x14ac:dyDescent="0.25">
      <c r="A879" s="6">
        <v>425</v>
      </c>
      <c r="B879" s="5" t="s">
        <v>18</v>
      </c>
      <c r="C879" s="5" t="s">
        <v>17</v>
      </c>
      <c r="D879" s="5" t="s">
        <v>127</v>
      </c>
      <c r="E879" s="5" t="s">
        <v>128</v>
      </c>
      <c r="F879" s="5" t="s">
        <v>19</v>
      </c>
      <c r="G879" s="22">
        <v>0</v>
      </c>
      <c r="H879" s="22">
        <v>0</v>
      </c>
      <c r="I879" s="22">
        <v>0.54</v>
      </c>
      <c r="J879" s="22">
        <v>0</v>
      </c>
      <c r="K879" s="22">
        <v>-0.06</v>
      </c>
      <c r="L879" s="22">
        <v>0.48</v>
      </c>
      <c r="M879" s="10"/>
      <c r="N879" s="67"/>
      <c r="O879" s="11"/>
    </row>
    <row r="880" spans="1:15" s="4" customFormat="1" x14ac:dyDescent="0.25">
      <c r="A880" s="6"/>
      <c r="B880" s="5"/>
      <c r="C880" s="5"/>
      <c r="D880" s="5" t="s">
        <v>127</v>
      </c>
      <c r="E880" s="5" t="s">
        <v>128</v>
      </c>
      <c r="F880" s="5" t="s">
        <v>19</v>
      </c>
      <c r="G880" s="14">
        <f t="shared" ref="G880:L880" si="224">SUBTOTAL(9,G879:G879)</f>
        <v>0</v>
      </c>
      <c r="H880" s="14">
        <f t="shared" si="224"/>
        <v>0</v>
      </c>
      <c r="I880" s="14">
        <f t="shared" si="224"/>
        <v>0.54</v>
      </c>
      <c r="J880" s="14">
        <f t="shared" si="224"/>
        <v>0</v>
      </c>
      <c r="K880" s="14">
        <f t="shared" si="224"/>
        <v>-0.06</v>
      </c>
      <c r="L880" s="14">
        <f t="shared" si="224"/>
        <v>0.48</v>
      </c>
      <c r="M880" s="10">
        <v>2336</v>
      </c>
      <c r="N880" s="69"/>
      <c r="O880" s="11">
        <f>O877+1</f>
        <v>218</v>
      </c>
    </row>
    <row r="881" spans="1:15" x14ac:dyDescent="0.25">
      <c r="A881" s="10"/>
      <c r="G881" s="21"/>
      <c r="H881" s="21"/>
      <c r="I881" s="21"/>
      <c r="J881" s="21"/>
      <c r="K881" s="21"/>
      <c r="L881" s="21"/>
      <c r="M881" s="10"/>
      <c r="O881" s="11"/>
    </row>
    <row r="882" spans="1:15" x14ac:dyDescent="0.25">
      <c r="A882" s="6">
        <v>426</v>
      </c>
      <c r="B882" s="5" t="s">
        <v>550</v>
      </c>
      <c r="C882" s="5" t="s">
        <v>17</v>
      </c>
      <c r="D882" s="5" t="s">
        <v>127</v>
      </c>
      <c r="E882" s="5" t="s">
        <v>128</v>
      </c>
      <c r="F882" s="5" t="s">
        <v>551</v>
      </c>
      <c r="G882" s="22">
        <v>0</v>
      </c>
      <c r="H882" s="22">
        <v>0</v>
      </c>
      <c r="I882" s="22">
        <v>2346.69</v>
      </c>
      <c r="J882" s="22">
        <v>0</v>
      </c>
      <c r="K882" s="22">
        <v>-46.93</v>
      </c>
      <c r="L882" s="22">
        <v>2299.7600000000002</v>
      </c>
      <c r="M882" s="10"/>
      <c r="O882" s="11"/>
    </row>
    <row r="883" spans="1:15" s="4" customFormat="1" x14ac:dyDescent="0.25">
      <c r="A883" s="6"/>
      <c r="B883" s="5"/>
      <c r="C883" s="5"/>
      <c r="D883" s="5" t="s">
        <v>127</v>
      </c>
      <c r="E883" s="5" t="s">
        <v>128</v>
      </c>
      <c r="F883" s="5" t="s">
        <v>551</v>
      </c>
      <c r="G883" s="14">
        <f t="shared" ref="G883:L883" si="225">SUBTOTAL(9,G882:G882)</f>
        <v>0</v>
      </c>
      <c r="H883" s="14">
        <f t="shared" si="225"/>
        <v>0</v>
      </c>
      <c r="I883" s="14">
        <f t="shared" si="225"/>
        <v>2346.69</v>
      </c>
      <c r="J883" s="14">
        <f t="shared" si="225"/>
        <v>0</v>
      </c>
      <c r="K883" s="14">
        <f t="shared" si="225"/>
        <v>-46.93</v>
      </c>
      <c r="L883" s="14">
        <f t="shared" si="225"/>
        <v>2299.7600000000002</v>
      </c>
      <c r="M883" s="10">
        <v>2337</v>
      </c>
      <c r="N883" s="69"/>
      <c r="O883" s="11">
        <f>O880+1</f>
        <v>219</v>
      </c>
    </row>
    <row r="884" spans="1:15" s="4" customFormat="1" x14ac:dyDescent="0.25">
      <c r="A884" s="10"/>
      <c r="B884"/>
      <c r="C884"/>
      <c r="D884"/>
      <c r="E884"/>
      <c r="F884"/>
      <c r="G884" s="21"/>
      <c r="H884" s="21"/>
      <c r="I884" s="21"/>
      <c r="J884" s="21"/>
      <c r="K884" s="21"/>
      <c r="L884" s="21"/>
      <c r="M884" s="10"/>
      <c r="N884" s="67"/>
      <c r="O884" s="11"/>
    </row>
    <row r="885" spans="1:15" x14ac:dyDescent="0.25">
      <c r="A885" s="6">
        <v>427</v>
      </c>
      <c r="B885" s="5" t="s">
        <v>550</v>
      </c>
      <c r="C885" s="5" t="s">
        <v>17</v>
      </c>
      <c r="D885" s="5" t="s">
        <v>127</v>
      </c>
      <c r="E885" s="5" t="s">
        <v>128</v>
      </c>
      <c r="F885" s="5" t="s">
        <v>552</v>
      </c>
      <c r="G885" s="22">
        <v>0</v>
      </c>
      <c r="H885" s="22">
        <v>0</v>
      </c>
      <c r="I885" s="22">
        <v>0.17</v>
      </c>
      <c r="J885" s="22">
        <v>0</v>
      </c>
      <c r="K885" s="22">
        <v>0</v>
      </c>
      <c r="L885" s="22">
        <v>0.17</v>
      </c>
      <c r="M885" s="10"/>
      <c r="O885" s="11"/>
    </row>
    <row r="886" spans="1:15" x14ac:dyDescent="0.25">
      <c r="A886" s="6"/>
      <c r="B886" s="5"/>
      <c r="C886" s="5"/>
      <c r="D886" s="5" t="s">
        <v>127</v>
      </c>
      <c r="E886" s="5" t="s">
        <v>128</v>
      </c>
      <c r="F886" s="5" t="s">
        <v>552</v>
      </c>
      <c r="G886" s="14">
        <f t="shared" ref="G886:L886" si="226">SUBTOTAL(9,G885:G885)</f>
        <v>0</v>
      </c>
      <c r="H886" s="14">
        <f t="shared" si="226"/>
        <v>0</v>
      </c>
      <c r="I886" s="14">
        <f t="shared" si="226"/>
        <v>0.17</v>
      </c>
      <c r="J886" s="14">
        <f t="shared" si="226"/>
        <v>0</v>
      </c>
      <c r="K886" s="14">
        <f t="shared" si="226"/>
        <v>0</v>
      </c>
      <c r="L886" s="14">
        <f t="shared" si="226"/>
        <v>0.17</v>
      </c>
      <c r="M886" s="10">
        <v>2338</v>
      </c>
      <c r="N886" s="69"/>
      <c r="O886" s="11">
        <f>O883+1</f>
        <v>220</v>
      </c>
    </row>
    <row r="887" spans="1:15" s="4" customFormat="1" x14ac:dyDescent="0.25">
      <c r="A887" s="10"/>
      <c r="B887"/>
      <c r="C887"/>
      <c r="D887"/>
      <c r="E887"/>
      <c r="F887"/>
      <c r="G887" s="21"/>
      <c r="H887" s="21"/>
      <c r="I887" s="21"/>
      <c r="J887" s="21"/>
      <c r="K887" s="21"/>
      <c r="L887" s="21"/>
      <c r="M887" s="10"/>
      <c r="N887" s="67"/>
      <c r="O887" s="11"/>
    </row>
    <row r="888" spans="1:15" x14ac:dyDescent="0.25">
      <c r="A888" s="6">
        <v>428</v>
      </c>
      <c r="B888" s="5" t="s">
        <v>18</v>
      </c>
      <c r="C888" s="5" t="s">
        <v>17</v>
      </c>
      <c r="D888" s="5" t="s">
        <v>129</v>
      </c>
      <c r="E888" s="5" t="s">
        <v>130</v>
      </c>
      <c r="F888" s="5" t="s">
        <v>19</v>
      </c>
      <c r="G888" s="22">
        <v>1.28</v>
      </c>
      <c r="H888" s="22">
        <v>0</v>
      </c>
      <c r="I888" s="22">
        <v>0</v>
      </c>
      <c r="J888" s="22">
        <v>0</v>
      </c>
      <c r="K888" s="22">
        <v>-1.1399999999999999</v>
      </c>
      <c r="L888" s="22">
        <v>0.14000000000000001</v>
      </c>
      <c r="M888" s="10"/>
      <c r="O888" s="11"/>
    </row>
    <row r="889" spans="1:15" x14ac:dyDescent="0.25">
      <c r="A889" s="6"/>
      <c r="B889" s="5"/>
      <c r="C889" s="5"/>
      <c r="D889" s="5" t="s">
        <v>129</v>
      </c>
      <c r="E889" s="5" t="s">
        <v>130</v>
      </c>
      <c r="F889" s="5" t="s">
        <v>19</v>
      </c>
      <c r="G889" s="14">
        <f t="shared" ref="G889:L889" si="227">SUBTOTAL(9,G888:G888)</f>
        <v>1.28</v>
      </c>
      <c r="H889" s="14">
        <f t="shared" si="227"/>
        <v>0</v>
      </c>
      <c r="I889" s="14">
        <f t="shared" si="227"/>
        <v>0</v>
      </c>
      <c r="J889" s="14">
        <f t="shared" si="227"/>
        <v>0</v>
      </c>
      <c r="K889" s="14">
        <f t="shared" si="227"/>
        <v>-1.1399999999999999</v>
      </c>
      <c r="L889" s="14">
        <f t="shared" si="227"/>
        <v>0.14000000000000001</v>
      </c>
      <c r="M889" s="10">
        <v>2339</v>
      </c>
      <c r="N889" s="69"/>
      <c r="O889" s="11">
        <f>O886+1</f>
        <v>221</v>
      </c>
    </row>
    <row r="890" spans="1:15" s="4" customFormat="1" x14ac:dyDescent="0.25">
      <c r="A890" s="10"/>
      <c r="B890"/>
      <c r="C890"/>
      <c r="D890"/>
      <c r="E890"/>
      <c r="F890"/>
      <c r="G890" s="21"/>
      <c r="H890" s="21"/>
      <c r="I890" s="21"/>
      <c r="J890" s="21"/>
      <c r="K890" s="21"/>
      <c r="L890" s="21"/>
      <c r="M890" s="10"/>
      <c r="N890" s="67"/>
      <c r="O890" s="11"/>
    </row>
    <row r="891" spans="1:15" x14ac:dyDescent="0.25">
      <c r="A891" s="6">
        <v>429</v>
      </c>
      <c r="B891" s="5" t="s">
        <v>550</v>
      </c>
      <c r="C891" s="5" t="s">
        <v>17</v>
      </c>
      <c r="D891" s="5" t="s">
        <v>129</v>
      </c>
      <c r="E891" s="5" t="s">
        <v>130</v>
      </c>
      <c r="F891" s="5" t="s">
        <v>551</v>
      </c>
      <c r="G891" s="22">
        <v>38759</v>
      </c>
      <c r="H891" s="22">
        <v>0</v>
      </c>
      <c r="I891" s="22">
        <v>0</v>
      </c>
      <c r="J891" s="22">
        <v>0</v>
      </c>
      <c r="K891" s="22">
        <v>-775.18</v>
      </c>
      <c r="L891" s="22">
        <v>37983.82</v>
      </c>
      <c r="M891" s="10"/>
      <c r="O891" s="11"/>
    </row>
    <row r="892" spans="1:15" x14ac:dyDescent="0.25">
      <c r="A892" s="6">
        <v>430</v>
      </c>
      <c r="B892" s="5" t="s">
        <v>550</v>
      </c>
      <c r="C892" s="5" t="s">
        <v>13</v>
      </c>
      <c r="D892" s="5" t="s">
        <v>129</v>
      </c>
      <c r="E892" s="5" t="s">
        <v>130</v>
      </c>
      <c r="F892" s="5" t="s">
        <v>551</v>
      </c>
      <c r="G892" s="22">
        <v>0</v>
      </c>
      <c r="H892" s="22">
        <v>0</v>
      </c>
      <c r="I892" s="22">
        <v>0</v>
      </c>
      <c r="J892" s="22">
        <v>4651.08</v>
      </c>
      <c r="K892" s="22">
        <v>0</v>
      </c>
      <c r="L892" s="22">
        <v>4651.08</v>
      </c>
      <c r="M892" s="10"/>
      <c r="O892" s="11"/>
    </row>
    <row r="893" spans="1:15" s="4" customFormat="1" x14ac:dyDescent="0.25">
      <c r="A893" s="6"/>
      <c r="B893" s="5"/>
      <c r="C893" s="5"/>
      <c r="D893" s="5" t="s">
        <v>129</v>
      </c>
      <c r="E893" s="5" t="s">
        <v>130</v>
      </c>
      <c r="F893" s="5" t="s">
        <v>551</v>
      </c>
      <c r="G893" s="14">
        <f t="shared" ref="G893:L893" si="228">SUBTOTAL(9,G891:G892)</f>
        <v>38759</v>
      </c>
      <c r="H893" s="14">
        <f t="shared" si="228"/>
        <v>0</v>
      </c>
      <c r="I893" s="14">
        <f t="shared" si="228"/>
        <v>0</v>
      </c>
      <c r="J893" s="14">
        <f t="shared" si="228"/>
        <v>4651.08</v>
      </c>
      <c r="K893" s="14">
        <f t="shared" si="228"/>
        <v>-775.18</v>
      </c>
      <c r="L893" s="14">
        <f t="shared" si="228"/>
        <v>42634.9</v>
      </c>
      <c r="M893" s="10">
        <v>2340</v>
      </c>
      <c r="N893" s="69"/>
      <c r="O893" s="11">
        <f>O889+1</f>
        <v>222</v>
      </c>
    </row>
    <row r="894" spans="1:15" s="4" customFormat="1" x14ac:dyDescent="0.25">
      <c r="A894" s="10"/>
      <c r="B894"/>
      <c r="C894"/>
      <c r="D894"/>
      <c r="E894"/>
      <c r="F894"/>
      <c r="G894" s="21"/>
      <c r="H894" s="21"/>
      <c r="I894" s="21"/>
      <c r="J894" s="21"/>
      <c r="K894" s="21"/>
      <c r="L894" s="21"/>
      <c r="M894" s="10"/>
      <c r="N894" s="67"/>
      <c r="O894" s="11"/>
    </row>
    <row r="895" spans="1:15" x14ac:dyDescent="0.25">
      <c r="A895" s="6">
        <v>431</v>
      </c>
      <c r="B895" s="5" t="s">
        <v>550</v>
      </c>
      <c r="C895" s="5" t="s">
        <v>17</v>
      </c>
      <c r="D895" s="5" t="s">
        <v>129</v>
      </c>
      <c r="E895" s="5" t="s">
        <v>130</v>
      </c>
      <c r="F895" s="5" t="s">
        <v>552</v>
      </c>
      <c r="G895" s="22">
        <v>2.79</v>
      </c>
      <c r="H895" s="22">
        <v>0</v>
      </c>
      <c r="I895" s="22">
        <v>0</v>
      </c>
      <c r="J895" s="22">
        <v>0</v>
      </c>
      <c r="K895" s="22">
        <v>-0.06</v>
      </c>
      <c r="L895" s="22">
        <v>2.73</v>
      </c>
      <c r="M895" s="10"/>
      <c r="O895" s="11"/>
    </row>
    <row r="896" spans="1:15" x14ac:dyDescent="0.25">
      <c r="A896" s="6">
        <v>432</v>
      </c>
      <c r="B896" s="5" t="s">
        <v>550</v>
      </c>
      <c r="C896" s="5" t="s">
        <v>13</v>
      </c>
      <c r="D896" s="5" t="s">
        <v>129</v>
      </c>
      <c r="E896" s="5" t="s">
        <v>130</v>
      </c>
      <c r="F896" s="5" t="s">
        <v>552</v>
      </c>
      <c r="G896" s="22">
        <v>0</v>
      </c>
      <c r="H896" s="22">
        <v>0</v>
      </c>
      <c r="I896" s="22">
        <v>0</v>
      </c>
      <c r="J896" s="22">
        <v>0.33</v>
      </c>
      <c r="K896" s="22">
        <v>0</v>
      </c>
      <c r="L896" s="22">
        <v>0.33</v>
      </c>
      <c r="M896" s="10"/>
      <c r="O896" s="11"/>
    </row>
    <row r="897" spans="1:15" s="4" customFormat="1" x14ac:dyDescent="0.25">
      <c r="A897" s="6"/>
      <c r="B897" s="5"/>
      <c r="C897" s="5"/>
      <c r="D897" s="5" t="s">
        <v>129</v>
      </c>
      <c r="E897" s="5" t="s">
        <v>130</v>
      </c>
      <c r="F897" s="5" t="s">
        <v>552</v>
      </c>
      <c r="G897" s="14">
        <f t="shared" ref="G897:L897" si="229">SUBTOTAL(9,G895:G896)</f>
        <v>2.79</v>
      </c>
      <c r="H897" s="14">
        <f t="shared" si="229"/>
        <v>0</v>
      </c>
      <c r="I897" s="14">
        <f t="shared" si="229"/>
        <v>0</v>
      </c>
      <c r="J897" s="14">
        <f t="shared" si="229"/>
        <v>0.33</v>
      </c>
      <c r="K897" s="14">
        <f t="shared" si="229"/>
        <v>-0.06</v>
      </c>
      <c r="L897" s="14">
        <f t="shared" si="229"/>
        <v>3.06</v>
      </c>
      <c r="M897" s="10">
        <v>2341</v>
      </c>
      <c r="N897" s="69"/>
      <c r="O897" s="11">
        <f>O893+1</f>
        <v>223</v>
      </c>
    </row>
    <row r="898" spans="1:15" s="4" customFormat="1" x14ac:dyDescent="0.25">
      <c r="A898" s="10"/>
      <c r="B898"/>
      <c r="C898"/>
      <c r="D898"/>
      <c r="E898"/>
      <c r="F898"/>
      <c r="G898" s="21"/>
      <c r="H898" s="21"/>
      <c r="I898" s="21"/>
      <c r="J898" s="21"/>
      <c r="K898" s="21"/>
      <c r="L898" s="21"/>
      <c r="M898" s="10"/>
      <c r="N898" s="67"/>
      <c r="O898" s="11"/>
    </row>
    <row r="899" spans="1:15" x14ac:dyDescent="0.25">
      <c r="A899" s="6">
        <v>433</v>
      </c>
      <c r="B899" s="5" t="s">
        <v>555</v>
      </c>
      <c r="C899" s="5" t="s">
        <v>17</v>
      </c>
      <c r="D899" s="5" t="s">
        <v>131</v>
      </c>
      <c r="E899" s="5" t="s">
        <v>132</v>
      </c>
      <c r="F899" s="5" t="s">
        <v>556</v>
      </c>
      <c r="G899" s="22">
        <v>4223.24</v>
      </c>
      <c r="H899" s="22">
        <v>0</v>
      </c>
      <c r="I899" s="22">
        <v>0</v>
      </c>
      <c r="J899" s="22">
        <v>0</v>
      </c>
      <c r="K899" s="22">
        <v>-84.46</v>
      </c>
      <c r="L899" s="22">
        <v>4138.78</v>
      </c>
      <c r="M899" s="10"/>
      <c r="O899" s="11"/>
    </row>
    <row r="900" spans="1:15" x14ac:dyDescent="0.25">
      <c r="A900" s="6">
        <v>434</v>
      </c>
      <c r="B900" s="5" t="s">
        <v>555</v>
      </c>
      <c r="C900" s="5" t="s">
        <v>13</v>
      </c>
      <c r="D900" s="5" t="s">
        <v>131</v>
      </c>
      <c r="E900" s="5" t="s">
        <v>132</v>
      </c>
      <c r="F900" s="5" t="s">
        <v>556</v>
      </c>
      <c r="G900" s="22">
        <v>0</v>
      </c>
      <c r="H900" s="22">
        <v>0</v>
      </c>
      <c r="I900" s="22">
        <v>0</v>
      </c>
      <c r="J900" s="22">
        <v>506.79</v>
      </c>
      <c r="K900" s="22">
        <v>0</v>
      </c>
      <c r="L900" s="22">
        <v>506.79</v>
      </c>
      <c r="M900" s="10"/>
      <c r="O900" s="11"/>
    </row>
    <row r="901" spans="1:15" s="4" customFormat="1" x14ac:dyDescent="0.25">
      <c r="A901" s="6"/>
      <c r="B901" s="5"/>
      <c r="C901" s="5"/>
      <c r="D901" s="5" t="s">
        <v>131</v>
      </c>
      <c r="E901" s="5" t="s">
        <v>132</v>
      </c>
      <c r="F901" s="5" t="s">
        <v>556</v>
      </c>
      <c r="G901" s="14">
        <f t="shared" ref="G901:L901" si="230">SUBTOTAL(9,G899:G900)</f>
        <v>4223.24</v>
      </c>
      <c r="H901" s="14">
        <f t="shared" si="230"/>
        <v>0</v>
      </c>
      <c r="I901" s="14">
        <f t="shared" si="230"/>
        <v>0</v>
      </c>
      <c r="J901" s="14">
        <f t="shared" si="230"/>
        <v>506.79</v>
      </c>
      <c r="K901" s="14">
        <f t="shared" si="230"/>
        <v>-84.46</v>
      </c>
      <c r="L901" s="14">
        <f t="shared" si="230"/>
        <v>4645.57</v>
      </c>
      <c r="M901" s="10">
        <v>2342</v>
      </c>
      <c r="N901" s="69"/>
      <c r="O901" s="11">
        <f>O897+1</f>
        <v>224</v>
      </c>
    </row>
    <row r="902" spans="1:15" s="4" customFormat="1" x14ac:dyDescent="0.25">
      <c r="A902" s="10"/>
      <c r="B902"/>
      <c r="C902"/>
      <c r="D902"/>
      <c r="E902"/>
      <c r="F902"/>
      <c r="G902" s="21"/>
      <c r="H902" s="21"/>
      <c r="I902" s="21"/>
      <c r="J902" s="21"/>
      <c r="K902" s="21"/>
      <c r="L902" s="21"/>
      <c r="M902" s="10"/>
      <c r="N902" s="67"/>
      <c r="O902" s="11"/>
    </row>
    <row r="903" spans="1:15" s="4" customFormat="1" x14ac:dyDescent="0.25">
      <c r="A903" s="6">
        <v>435</v>
      </c>
      <c r="B903" s="5" t="s">
        <v>557</v>
      </c>
      <c r="C903" s="5" t="s">
        <v>17</v>
      </c>
      <c r="D903" s="5" t="s">
        <v>131</v>
      </c>
      <c r="E903" s="5" t="s">
        <v>132</v>
      </c>
      <c r="F903" s="5" t="s">
        <v>558</v>
      </c>
      <c r="G903" s="22">
        <v>2955.94</v>
      </c>
      <c r="H903" s="22">
        <v>0</v>
      </c>
      <c r="I903" s="22">
        <v>0</v>
      </c>
      <c r="J903" s="22">
        <v>0</v>
      </c>
      <c r="K903" s="22">
        <v>-59.12</v>
      </c>
      <c r="L903" s="22">
        <v>2896.82</v>
      </c>
      <c r="M903" s="10"/>
      <c r="N903" s="67"/>
      <c r="O903" s="11"/>
    </row>
    <row r="904" spans="1:15" x14ac:dyDescent="0.25">
      <c r="A904" s="6">
        <v>436</v>
      </c>
      <c r="B904" s="5" t="s">
        <v>557</v>
      </c>
      <c r="C904" s="5" t="s">
        <v>13</v>
      </c>
      <c r="D904" s="5" t="s">
        <v>131</v>
      </c>
      <c r="E904" s="5" t="s">
        <v>132</v>
      </c>
      <c r="F904" s="5" t="s">
        <v>558</v>
      </c>
      <c r="G904" s="22">
        <v>0</v>
      </c>
      <c r="H904" s="22">
        <v>0</v>
      </c>
      <c r="I904" s="22">
        <v>0</v>
      </c>
      <c r="J904" s="22">
        <v>354.71</v>
      </c>
      <c r="K904" s="22">
        <v>0</v>
      </c>
      <c r="L904" s="22">
        <v>354.71</v>
      </c>
      <c r="M904" s="10"/>
      <c r="O904" s="11"/>
    </row>
    <row r="905" spans="1:15" x14ac:dyDescent="0.25">
      <c r="A905" s="6"/>
      <c r="B905" s="5"/>
      <c r="C905" s="5"/>
      <c r="D905" s="5" t="s">
        <v>131</v>
      </c>
      <c r="E905" s="5" t="s">
        <v>132</v>
      </c>
      <c r="F905" s="5" t="s">
        <v>558</v>
      </c>
      <c r="G905" s="14">
        <f t="shared" ref="G905:L905" si="231">SUBTOTAL(9,G903:G904)</f>
        <v>2955.94</v>
      </c>
      <c r="H905" s="14">
        <f t="shared" si="231"/>
        <v>0</v>
      </c>
      <c r="I905" s="14">
        <f t="shared" si="231"/>
        <v>0</v>
      </c>
      <c r="J905" s="14">
        <f t="shared" si="231"/>
        <v>354.71</v>
      </c>
      <c r="K905" s="14">
        <f t="shared" si="231"/>
        <v>-59.12</v>
      </c>
      <c r="L905" s="14">
        <f t="shared" si="231"/>
        <v>3251.53</v>
      </c>
      <c r="M905" s="10">
        <v>2343</v>
      </c>
      <c r="N905" s="69"/>
      <c r="O905" s="11">
        <f>O901+1</f>
        <v>225</v>
      </c>
    </row>
    <row r="906" spans="1:15" s="4" customFormat="1" x14ac:dyDescent="0.25">
      <c r="A906" s="10"/>
      <c r="B906"/>
      <c r="C906"/>
      <c r="D906"/>
      <c r="E906"/>
      <c r="F906"/>
      <c r="G906" s="21"/>
      <c r="H906" s="21"/>
      <c r="I906" s="21"/>
      <c r="J906" s="21"/>
      <c r="K906" s="21"/>
      <c r="L906" s="21"/>
      <c r="M906" s="10"/>
      <c r="N906" s="67"/>
      <c r="O906" s="11"/>
    </row>
    <row r="907" spans="1:15" s="4" customFormat="1" x14ac:dyDescent="0.25">
      <c r="A907" s="6">
        <v>437</v>
      </c>
      <c r="B907" s="5" t="s">
        <v>559</v>
      </c>
      <c r="C907" s="5" t="s">
        <v>17</v>
      </c>
      <c r="D907" s="5" t="s">
        <v>131</v>
      </c>
      <c r="E907" s="5" t="s">
        <v>132</v>
      </c>
      <c r="F907" s="5" t="s">
        <v>560</v>
      </c>
      <c r="G907" s="22">
        <v>1126.5999999999999</v>
      </c>
      <c r="H907" s="22">
        <v>0</v>
      </c>
      <c r="I907" s="22">
        <v>0</v>
      </c>
      <c r="J907" s="22">
        <v>0</v>
      </c>
      <c r="K907" s="22">
        <v>-22.53</v>
      </c>
      <c r="L907" s="22">
        <v>1104.07</v>
      </c>
      <c r="M907" s="10"/>
      <c r="N907" s="67"/>
      <c r="O907" s="11"/>
    </row>
    <row r="908" spans="1:15" x14ac:dyDescent="0.25">
      <c r="A908" s="6">
        <v>438</v>
      </c>
      <c r="B908" s="5" t="s">
        <v>559</v>
      </c>
      <c r="C908" s="5" t="s">
        <v>13</v>
      </c>
      <c r="D908" s="5" t="s">
        <v>131</v>
      </c>
      <c r="E908" s="5" t="s">
        <v>132</v>
      </c>
      <c r="F908" s="5" t="s">
        <v>560</v>
      </c>
      <c r="G908" s="22">
        <v>0</v>
      </c>
      <c r="H908" s="22">
        <v>0</v>
      </c>
      <c r="I908" s="22">
        <v>0</v>
      </c>
      <c r="J908" s="22">
        <v>135.19</v>
      </c>
      <c r="K908" s="22">
        <v>0</v>
      </c>
      <c r="L908" s="22">
        <v>135.19</v>
      </c>
      <c r="M908" s="10"/>
      <c r="O908" s="11"/>
    </row>
    <row r="909" spans="1:15" x14ac:dyDescent="0.25">
      <c r="A909" s="6"/>
      <c r="B909" s="5"/>
      <c r="C909" s="5"/>
      <c r="D909" s="5" t="s">
        <v>131</v>
      </c>
      <c r="E909" s="5" t="s">
        <v>132</v>
      </c>
      <c r="F909" s="5" t="s">
        <v>560</v>
      </c>
      <c r="G909" s="14">
        <f t="shared" ref="G909:L909" si="232">SUBTOTAL(9,G907:G908)</f>
        <v>1126.5999999999999</v>
      </c>
      <c r="H909" s="14">
        <f t="shared" si="232"/>
        <v>0</v>
      </c>
      <c r="I909" s="14">
        <f t="shared" si="232"/>
        <v>0</v>
      </c>
      <c r="J909" s="14">
        <f t="shared" si="232"/>
        <v>135.19</v>
      </c>
      <c r="K909" s="14">
        <f t="shared" si="232"/>
        <v>-22.53</v>
      </c>
      <c r="L909" s="14">
        <f t="shared" si="232"/>
        <v>1239.26</v>
      </c>
      <c r="M909" s="10">
        <v>2344</v>
      </c>
      <c r="N909" s="69"/>
      <c r="O909" s="11">
        <f>O905+1</f>
        <v>226</v>
      </c>
    </row>
    <row r="910" spans="1:15" s="4" customFormat="1" x14ac:dyDescent="0.25">
      <c r="A910" s="10"/>
      <c r="B910"/>
      <c r="C910"/>
      <c r="D910"/>
      <c r="E910"/>
      <c r="F910"/>
      <c r="G910" s="21"/>
      <c r="H910" s="21"/>
      <c r="I910" s="21"/>
      <c r="J910" s="21"/>
      <c r="K910" s="21"/>
      <c r="L910" s="21"/>
      <c r="M910" s="10"/>
      <c r="N910" s="67"/>
      <c r="O910" s="11"/>
    </row>
    <row r="911" spans="1:15" x14ac:dyDescent="0.25">
      <c r="A911" s="6">
        <v>439</v>
      </c>
      <c r="B911" s="5" t="s">
        <v>18</v>
      </c>
      <c r="C911" s="5" t="s">
        <v>17</v>
      </c>
      <c r="D911" s="5" t="s">
        <v>131</v>
      </c>
      <c r="E911" s="5" t="s">
        <v>132</v>
      </c>
      <c r="F911" s="5" t="s">
        <v>19</v>
      </c>
      <c r="G911" s="22">
        <v>7.81</v>
      </c>
      <c r="H911" s="22">
        <v>0</v>
      </c>
      <c r="I911" s="22">
        <v>0</v>
      </c>
      <c r="J911" s="22">
        <v>0</v>
      </c>
      <c r="K911" s="22">
        <v>-6.93</v>
      </c>
      <c r="L911" s="22">
        <v>0.88</v>
      </c>
      <c r="M911" s="10"/>
      <c r="O911" s="11"/>
    </row>
    <row r="912" spans="1:15" x14ac:dyDescent="0.25">
      <c r="A912" s="6"/>
      <c r="B912" s="5"/>
      <c r="C912" s="5"/>
      <c r="D912" s="5" t="s">
        <v>131</v>
      </c>
      <c r="E912" s="5" t="s">
        <v>132</v>
      </c>
      <c r="F912" s="5" t="s">
        <v>19</v>
      </c>
      <c r="G912" s="14">
        <f t="shared" ref="G912:L912" si="233">SUBTOTAL(9,G911:G911)</f>
        <v>7.81</v>
      </c>
      <c r="H912" s="14">
        <f t="shared" si="233"/>
        <v>0</v>
      </c>
      <c r="I912" s="14">
        <f t="shared" si="233"/>
        <v>0</v>
      </c>
      <c r="J912" s="14">
        <f t="shared" si="233"/>
        <v>0</v>
      </c>
      <c r="K912" s="14">
        <f t="shared" si="233"/>
        <v>-6.93</v>
      </c>
      <c r="L912" s="14">
        <f t="shared" si="233"/>
        <v>0.88</v>
      </c>
      <c r="M912" s="10">
        <v>2345</v>
      </c>
      <c r="N912" s="69"/>
      <c r="O912" s="11">
        <f>O909+1</f>
        <v>227</v>
      </c>
    </row>
    <row r="913" spans="1:15" s="4" customFormat="1" x14ac:dyDescent="0.25">
      <c r="A913" s="10"/>
      <c r="B913"/>
      <c r="C913"/>
      <c r="D913"/>
      <c r="E913"/>
      <c r="F913"/>
      <c r="G913" s="21"/>
      <c r="H913" s="21"/>
      <c r="I913" s="21"/>
      <c r="J913" s="21"/>
      <c r="K913" s="21"/>
      <c r="L913" s="21"/>
      <c r="M913" s="10"/>
      <c r="N913" s="67"/>
      <c r="O913" s="11"/>
    </row>
    <row r="914" spans="1:15" x14ac:dyDescent="0.25">
      <c r="A914" s="6">
        <v>440</v>
      </c>
      <c r="B914" s="5" t="s">
        <v>550</v>
      </c>
      <c r="C914" s="5" t="s">
        <v>17</v>
      </c>
      <c r="D914" s="5" t="s">
        <v>131</v>
      </c>
      <c r="E914" s="5" t="s">
        <v>132</v>
      </c>
      <c r="F914" s="5" t="s">
        <v>551</v>
      </c>
      <c r="G914" s="22">
        <v>360535.65</v>
      </c>
      <c r="H914" s="22">
        <v>0</v>
      </c>
      <c r="I914" s="22">
        <v>0</v>
      </c>
      <c r="J914" s="22">
        <v>0</v>
      </c>
      <c r="K914" s="22">
        <v>-7210.71</v>
      </c>
      <c r="L914" s="22">
        <v>353324.94</v>
      </c>
      <c r="M914" s="10"/>
      <c r="O914" s="11"/>
    </row>
    <row r="915" spans="1:15" x14ac:dyDescent="0.25">
      <c r="A915" s="6">
        <v>441</v>
      </c>
      <c r="B915" s="5" t="s">
        <v>550</v>
      </c>
      <c r="C915" s="5" t="s">
        <v>13</v>
      </c>
      <c r="D915" s="5" t="s">
        <v>131</v>
      </c>
      <c r="E915" s="5" t="s">
        <v>132</v>
      </c>
      <c r="F915" s="5" t="s">
        <v>551</v>
      </c>
      <c r="G915" s="22">
        <v>0</v>
      </c>
      <c r="H915" s="22">
        <v>0</v>
      </c>
      <c r="I915" s="22">
        <v>0</v>
      </c>
      <c r="J915" s="22">
        <v>43264.28</v>
      </c>
      <c r="K915" s="22">
        <v>0</v>
      </c>
      <c r="L915" s="22">
        <v>43264.28</v>
      </c>
      <c r="M915" s="10"/>
      <c r="O915" s="11"/>
    </row>
    <row r="916" spans="1:15" s="4" customFormat="1" x14ac:dyDescent="0.25">
      <c r="A916" s="6"/>
      <c r="B916" s="5"/>
      <c r="C916" s="5"/>
      <c r="D916" s="5" t="s">
        <v>131</v>
      </c>
      <c r="E916" s="5" t="s">
        <v>132</v>
      </c>
      <c r="F916" s="5" t="s">
        <v>551</v>
      </c>
      <c r="G916" s="14">
        <f t="shared" ref="G916:L916" si="234">SUBTOTAL(9,G914:G915)</f>
        <v>360535.65</v>
      </c>
      <c r="H916" s="14">
        <f t="shared" si="234"/>
        <v>0</v>
      </c>
      <c r="I916" s="14">
        <f t="shared" si="234"/>
        <v>0</v>
      </c>
      <c r="J916" s="14">
        <f t="shared" si="234"/>
        <v>43264.28</v>
      </c>
      <c r="K916" s="14">
        <f t="shared" si="234"/>
        <v>-7210.71</v>
      </c>
      <c r="L916" s="14">
        <f t="shared" si="234"/>
        <v>396589.22</v>
      </c>
      <c r="M916" s="10">
        <v>2346</v>
      </c>
      <c r="N916" s="69"/>
      <c r="O916" s="11">
        <f>O912+1</f>
        <v>228</v>
      </c>
    </row>
    <row r="917" spans="1:15" s="4" customFormat="1" x14ac:dyDescent="0.25">
      <c r="A917" s="10"/>
      <c r="B917"/>
      <c r="C917"/>
      <c r="D917"/>
      <c r="E917"/>
      <c r="F917"/>
      <c r="G917" s="21"/>
      <c r="H917" s="21"/>
      <c r="I917" s="21"/>
      <c r="J917" s="21"/>
      <c r="K917" s="21"/>
      <c r="L917" s="21"/>
      <c r="M917" s="10"/>
      <c r="N917" s="67"/>
      <c r="O917" s="11"/>
    </row>
    <row r="918" spans="1:15" s="4" customFormat="1" x14ac:dyDescent="0.25">
      <c r="A918" s="6">
        <v>442</v>
      </c>
      <c r="B918" s="5" t="s">
        <v>550</v>
      </c>
      <c r="C918" s="5" t="s">
        <v>17</v>
      </c>
      <c r="D918" s="5" t="s">
        <v>131</v>
      </c>
      <c r="E918" s="5" t="s">
        <v>132</v>
      </c>
      <c r="F918" s="5" t="s">
        <v>552</v>
      </c>
      <c r="G918" s="22">
        <v>25.93</v>
      </c>
      <c r="H918" s="22">
        <v>0</v>
      </c>
      <c r="I918" s="22">
        <v>0</v>
      </c>
      <c r="J918" s="22">
        <v>0</v>
      </c>
      <c r="K918" s="22">
        <v>-0.52</v>
      </c>
      <c r="L918" s="22">
        <v>25.41</v>
      </c>
      <c r="M918" s="10"/>
      <c r="N918" s="67"/>
      <c r="O918" s="11"/>
    </row>
    <row r="919" spans="1:15" x14ac:dyDescent="0.25">
      <c r="A919" s="6">
        <v>443</v>
      </c>
      <c r="B919" s="5" t="s">
        <v>550</v>
      </c>
      <c r="C919" s="5" t="s">
        <v>13</v>
      </c>
      <c r="D919" s="5" t="s">
        <v>131</v>
      </c>
      <c r="E919" s="5" t="s">
        <v>132</v>
      </c>
      <c r="F919" s="5" t="s">
        <v>552</v>
      </c>
      <c r="G919" s="22">
        <v>0</v>
      </c>
      <c r="H919" s="22">
        <v>0</v>
      </c>
      <c r="I919" s="22">
        <v>0</v>
      </c>
      <c r="J919" s="22">
        <v>3.11</v>
      </c>
      <c r="K919" s="22">
        <v>0</v>
      </c>
      <c r="L919" s="22">
        <v>3.11</v>
      </c>
      <c r="M919" s="10"/>
      <c r="O919" s="11"/>
    </row>
    <row r="920" spans="1:15" x14ac:dyDescent="0.25">
      <c r="A920" s="6"/>
      <c r="B920" s="5"/>
      <c r="C920" s="5"/>
      <c r="D920" s="5" t="s">
        <v>131</v>
      </c>
      <c r="E920" s="5" t="s">
        <v>132</v>
      </c>
      <c r="F920" s="5" t="s">
        <v>552</v>
      </c>
      <c r="G920" s="14">
        <f t="shared" ref="G920:L920" si="235">SUBTOTAL(9,G918:G919)</f>
        <v>25.93</v>
      </c>
      <c r="H920" s="14">
        <f t="shared" si="235"/>
        <v>0</v>
      </c>
      <c r="I920" s="14">
        <f t="shared" si="235"/>
        <v>0</v>
      </c>
      <c r="J920" s="14">
        <f t="shared" si="235"/>
        <v>3.11</v>
      </c>
      <c r="K920" s="14">
        <f t="shared" si="235"/>
        <v>-0.52</v>
      </c>
      <c r="L920" s="14">
        <f t="shared" si="235"/>
        <v>28.52</v>
      </c>
      <c r="M920" s="10">
        <v>2347</v>
      </c>
      <c r="N920" s="69"/>
      <c r="O920" s="11">
        <f>O916+1</f>
        <v>229</v>
      </c>
    </row>
    <row r="921" spans="1:15" s="4" customFormat="1" x14ac:dyDescent="0.25">
      <c r="A921" s="10"/>
      <c r="B921"/>
      <c r="C921"/>
      <c r="D921"/>
      <c r="E921"/>
      <c r="F921"/>
      <c r="G921" s="21"/>
      <c r="H921" s="21"/>
      <c r="I921" s="21"/>
      <c r="J921" s="21"/>
      <c r="K921" s="21"/>
      <c r="L921" s="21"/>
      <c r="M921" s="10"/>
      <c r="N921" s="67"/>
      <c r="O921" s="11"/>
    </row>
    <row r="922" spans="1:15" s="4" customFormat="1" x14ac:dyDescent="0.25">
      <c r="A922" s="6">
        <v>444</v>
      </c>
      <c r="B922" s="5" t="s">
        <v>555</v>
      </c>
      <c r="C922" s="5" t="s">
        <v>17</v>
      </c>
      <c r="D922" s="5" t="s">
        <v>133</v>
      </c>
      <c r="E922" s="5" t="s">
        <v>134</v>
      </c>
      <c r="F922" s="5" t="s">
        <v>556</v>
      </c>
      <c r="G922" s="22">
        <v>0.11</v>
      </c>
      <c r="H922" s="22">
        <v>0</v>
      </c>
      <c r="I922" s="22">
        <v>0</v>
      </c>
      <c r="J922" s="22">
        <v>0</v>
      </c>
      <c r="K922" s="22">
        <v>0</v>
      </c>
      <c r="L922" s="22">
        <v>0.11</v>
      </c>
      <c r="M922" s="10"/>
      <c r="N922" s="67"/>
      <c r="O922" s="11"/>
    </row>
    <row r="923" spans="1:15" s="4" customFormat="1" x14ac:dyDescent="0.25">
      <c r="A923" s="6">
        <v>445</v>
      </c>
      <c r="B923" s="5" t="s">
        <v>555</v>
      </c>
      <c r="C923" s="5" t="s">
        <v>13</v>
      </c>
      <c r="D923" s="5" t="s">
        <v>133</v>
      </c>
      <c r="E923" s="5" t="s">
        <v>134</v>
      </c>
      <c r="F923" s="5" t="s">
        <v>556</v>
      </c>
      <c r="G923" s="22">
        <v>0</v>
      </c>
      <c r="H923" s="22">
        <v>0</v>
      </c>
      <c r="I923" s="22">
        <v>0</v>
      </c>
      <c r="J923" s="22">
        <v>0.01</v>
      </c>
      <c r="K923" s="22">
        <v>0</v>
      </c>
      <c r="L923" s="22">
        <v>0.01</v>
      </c>
      <c r="M923" s="10"/>
      <c r="N923" s="67"/>
      <c r="O923" s="11"/>
    </row>
    <row r="924" spans="1:15" x14ac:dyDescent="0.25">
      <c r="A924" s="6"/>
      <c r="B924" s="5"/>
      <c r="C924" s="5"/>
      <c r="D924" s="5" t="s">
        <v>133</v>
      </c>
      <c r="E924" s="5" t="s">
        <v>134</v>
      </c>
      <c r="F924" s="5" t="s">
        <v>556</v>
      </c>
      <c r="G924" s="14">
        <f t="shared" ref="G924:L924" si="236">SUBTOTAL(9,G922:G923)</f>
        <v>0.11</v>
      </c>
      <c r="H924" s="14">
        <f t="shared" si="236"/>
        <v>0</v>
      </c>
      <c r="I924" s="14">
        <f t="shared" si="236"/>
        <v>0</v>
      </c>
      <c r="J924" s="14">
        <f t="shared" si="236"/>
        <v>0.01</v>
      </c>
      <c r="K924" s="14">
        <f t="shared" si="236"/>
        <v>0</v>
      </c>
      <c r="L924" s="14">
        <f t="shared" si="236"/>
        <v>0.12</v>
      </c>
      <c r="M924" s="10">
        <v>2348</v>
      </c>
      <c r="N924" s="69"/>
      <c r="O924" s="11">
        <f>O920+1</f>
        <v>230</v>
      </c>
    </row>
    <row r="925" spans="1:15" x14ac:dyDescent="0.25">
      <c r="A925" s="10"/>
      <c r="G925" s="21"/>
      <c r="H925" s="21"/>
      <c r="I925" s="21"/>
      <c r="J925" s="21"/>
      <c r="K925" s="21"/>
      <c r="L925" s="21"/>
      <c r="M925" s="10"/>
      <c r="O925" s="11"/>
    </row>
    <row r="926" spans="1:15" s="4" customFormat="1" x14ac:dyDescent="0.25">
      <c r="A926" s="6">
        <v>446</v>
      </c>
      <c r="B926" s="5" t="s">
        <v>557</v>
      </c>
      <c r="C926" s="5" t="s">
        <v>17</v>
      </c>
      <c r="D926" s="5" t="s">
        <v>133</v>
      </c>
      <c r="E926" s="5" t="s">
        <v>134</v>
      </c>
      <c r="F926" s="5" t="s">
        <v>558</v>
      </c>
      <c r="G926" s="22">
        <v>7.0000000000000007E-2</v>
      </c>
      <c r="H926" s="22">
        <v>0</v>
      </c>
      <c r="I926" s="22">
        <v>0</v>
      </c>
      <c r="J926" s="22">
        <v>0</v>
      </c>
      <c r="K926" s="22">
        <v>0</v>
      </c>
      <c r="L926" s="22">
        <v>7.0000000000000007E-2</v>
      </c>
      <c r="M926" s="10"/>
      <c r="N926" s="67"/>
      <c r="O926" s="11"/>
    </row>
    <row r="927" spans="1:15" s="4" customFormat="1" x14ac:dyDescent="0.25">
      <c r="A927" s="6">
        <v>447</v>
      </c>
      <c r="B927" s="5" t="s">
        <v>557</v>
      </c>
      <c r="C927" s="5" t="s">
        <v>13</v>
      </c>
      <c r="D927" s="5" t="s">
        <v>133</v>
      </c>
      <c r="E927" s="5" t="s">
        <v>134</v>
      </c>
      <c r="F927" s="5" t="s">
        <v>558</v>
      </c>
      <c r="G927" s="22">
        <v>0</v>
      </c>
      <c r="H927" s="22">
        <v>0</v>
      </c>
      <c r="I927" s="22">
        <v>0</v>
      </c>
      <c r="J927" s="22">
        <v>0.01</v>
      </c>
      <c r="K927" s="22">
        <v>0</v>
      </c>
      <c r="L927" s="22">
        <v>0.01</v>
      </c>
      <c r="M927" s="10"/>
      <c r="N927" s="67"/>
      <c r="O927" s="11"/>
    </row>
    <row r="928" spans="1:15" x14ac:dyDescent="0.25">
      <c r="A928" s="6"/>
      <c r="B928" s="5"/>
      <c r="C928" s="5"/>
      <c r="D928" s="5" t="s">
        <v>133</v>
      </c>
      <c r="E928" s="5" t="s">
        <v>134</v>
      </c>
      <c r="F928" s="5" t="s">
        <v>558</v>
      </c>
      <c r="G928" s="14">
        <f t="shared" ref="G928:L928" si="237">SUBTOTAL(9,G926:G927)</f>
        <v>7.0000000000000007E-2</v>
      </c>
      <c r="H928" s="14">
        <f t="shared" si="237"/>
        <v>0</v>
      </c>
      <c r="I928" s="14">
        <f t="shared" si="237"/>
        <v>0</v>
      </c>
      <c r="J928" s="14">
        <f t="shared" si="237"/>
        <v>0.01</v>
      </c>
      <c r="K928" s="14">
        <f t="shared" si="237"/>
        <v>0</v>
      </c>
      <c r="L928" s="14">
        <f t="shared" si="237"/>
        <v>0.08</v>
      </c>
      <c r="M928" s="10">
        <v>2349</v>
      </c>
      <c r="N928" s="69"/>
      <c r="O928" s="11">
        <f>O924+1</f>
        <v>231</v>
      </c>
    </row>
    <row r="929" spans="1:15" x14ac:dyDescent="0.25">
      <c r="A929" s="10"/>
      <c r="G929" s="21"/>
      <c r="H929" s="21"/>
      <c r="I929" s="21"/>
      <c r="J929" s="21"/>
      <c r="K929" s="21"/>
      <c r="L929" s="21"/>
      <c r="M929" s="10"/>
      <c r="O929" s="11"/>
    </row>
    <row r="930" spans="1:15" s="4" customFormat="1" x14ac:dyDescent="0.25">
      <c r="A930" s="6">
        <v>448</v>
      </c>
      <c r="B930" s="5" t="s">
        <v>559</v>
      </c>
      <c r="C930" s="5" t="s">
        <v>17</v>
      </c>
      <c r="D930" s="5" t="s">
        <v>133</v>
      </c>
      <c r="E930" s="5" t="s">
        <v>134</v>
      </c>
      <c r="F930" s="5" t="s">
        <v>560</v>
      </c>
      <c r="G930" s="22">
        <v>0.03</v>
      </c>
      <c r="H930" s="22">
        <v>0</v>
      </c>
      <c r="I930" s="22">
        <v>0</v>
      </c>
      <c r="J930" s="22">
        <v>0</v>
      </c>
      <c r="K930" s="22">
        <v>0</v>
      </c>
      <c r="L930" s="22">
        <v>0.03</v>
      </c>
      <c r="M930" s="10"/>
      <c r="N930" s="67"/>
      <c r="O930" s="11"/>
    </row>
    <row r="931" spans="1:15" x14ac:dyDescent="0.25">
      <c r="A931" s="6">
        <v>449</v>
      </c>
      <c r="B931" s="5" t="s">
        <v>559</v>
      </c>
      <c r="C931" s="5" t="s">
        <v>13</v>
      </c>
      <c r="D931" s="5" t="s">
        <v>133</v>
      </c>
      <c r="E931" s="5" t="s">
        <v>134</v>
      </c>
      <c r="F931" s="5" t="s">
        <v>560</v>
      </c>
      <c r="G931" s="22">
        <v>0</v>
      </c>
      <c r="H931" s="22">
        <v>0</v>
      </c>
      <c r="I931" s="22">
        <v>0</v>
      </c>
      <c r="J931" s="22">
        <v>0</v>
      </c>
      <c r="K931" s="22">
        <v>0</v>
      </c>
      <c r="L931" s="22">
        <v>0</v>
      </c>
      <c r="M931" s="10"/>
      <c r="O931" s="11"/>
    </row>
    <row r="932" spans="1:15" x14ac:dyDescent="0.25">
      <c r="A932" s="6"/>
      <c r="B932" s="5"/>
      <c r="C932" s="5"/>
      <c r="D932" s="5" t="s">
        <v>133</v>
      </c>
      <c r="E932" s="5" t="s">
        <v>134</v>
      </c>
      <c r="F932" s="5" t="s">
        <v>560</v>
      </c>
      <c r="G932" s="14">
        <f t="shared" ref="G932:L932" si="238">SUBTOTAL(9,G930:G931)</f>
        <v>0.03</v>
      </c>
      <c r="H932" s="14">
        <f t="shared" si="238"/>
        <v>0</v>
      </c>
      <c r="I932" s="14">
        <f t="shared" si="238"/>
        <v>0</v>
      </c>
      <c r="J932" s="14">
        <f t="shared" si="238"/>
        <v>0</v>
      </c>
      <c r="K932" s="14">
        <f t="shared" si="238"/>
        <v>0</v>
      </c>
      <c r="L932" s="14">
        <f t="shared" si="238"/>
        <v>0.03</v>
      </c>
      <c r="M932" s="10">
        <v>2350</v>
      </c>
      <c r="N932" s="69"/>
      <c r="O932" s="11">
        <f>O928+1</f>
        <v>232</v>
      </c>
    </row>
    <row r="933" spans="1:15" s="4" customFormat="1" x14ac:dyDescent="0.25">
      <c r="A933" s="10"/>
      <c r="B933"/>
      <c r="C933"/>
      <c r="D933"/>
      <c r="E933"/>
      <c r="F933"/>
      <c r="G933" s="21"/>
      <c r="H933" s="21"/>
      <c r="I933" s="21"/>
      <c r="J933" s="21"/>
      <c r="K933" s="21"/>
      <c r="L933" s="21"/>
      <c r="M933" s="10"/>
      <c r="N933" s="67"/>
      <c r="O933" s="11"/>
    </row>
    <row r="934" spans="1:15" s="4" customFormat="1" x14ac:dyDescent="0.25">
      <c r="A934" s="6">
        <v>450</v>
      </c>
      <c r="B934" s="5" t="s">
        <v>18</v>
      </c>
      <c r="C934" s="5" t="s">
        <v>17</v>
      </c>
      <c r="D934" s="5" t="s">
        <v>133</v>
      </c>
      <c r="E934" s="5" t="s">
        <v>134</v>
      </c>
      <c r="F934" s="5" t="s">
        <v>19</v>
      </c>
      <c r="G934" s="22">
        <v>0.08</v>
      </c>
      <c r="H934" s="22">
        <v>0</v>
      </c>
      <c r="I934" s="22">
        <v>0</v>
      </c>
      <c r="J934" s="22">
        <v>0</v>
      </c>
      <c r="K934" s="22">
        <v>-7.0000000000000007E-2</v>
      </c>
      <c r="L934" s="22">
        <v>0.01</v>
      </c>
      <c r="M934" s="10"/>
      <c r="N934" s="67"/>
      <c r="O934" s="11"/>
    </row>
    <row r="935" spans="1:15" x14ac:dyDescent="0.25">
      <c r="A935" s="6"/>
      <c r="B935" s="5"/>
      <c r="C935" s="5"/>
      <c r="D935" s="5" t="s">
        <v>133</v>
      </c>
      <c r="E935" s="5" t="s">
        <v>134</v>
      </c>
      <c r="F935" s="5" t="s">
        <v>19</v>
      </c>
      <c r="G935" s="14">
        <f t="shared" ref="G935:L935" si="239">SUBTOTAL(9,G934:G934)</f>
        <v>0.08</v>
      </c>
      <c r="H935" s="14">
        <f t="shared" si="239"/>
        <v>0</v>
      </c>
      <c r="I935" s="14">
        <f t="shared" si="239"/>
        <v>0</v>
      </c>
      <c r="J935" s="14">
        <f t="shared" si="239"/>
        <v>0</v>
      </c>
      <c r="K935" s="14">
        <f t="shared" si="239"/>
        <v>-7.0000000000000007E-2</v>
      </c>
      <c r="L935" s="14">
        <f t="shared" si="239"/>
        <v>0.01</v>
      </c>
      <c r="M935" s="10">
        <v>2351</v>
      </c>
      <c r="N935" s="69"/>
      <c r="O935" s="11">
        <f>O932+1</f>
        <v>233</v>
      </c>
    </row>
    <row r="936" spans="1:15" x14ac:dyDescent="0.25">
      <c r="A936" s="10"/>
      <c r="G936" s="21"/>
      <c r="H936" s="21"/>
      <c r="I936" s="21"/>
      <c r="J936" s="21"/>
      <c r="K936" s="21"/>
      <c r="L936" s="21"/>
      <c r="M936" s="10"/>
      <c r="O936" s="11"/>
    </row>
    <row r="937" spans="1:15" s="4" customFormat="1" x14ac:dyDescent="0.25">
      <c r="A937" s="6">
        <v>451</v>
      </c>
      <c r="B937" s="5" t="s">
        <v>22</v>
      </c>
      <c r="C937" s="5" t="s">
        <v>17</v>
      </c>
      <c r="D937" s="5" t="s">
        <v>133</v>
      </c>
      <c r="E937" s="5" t="s">
        <v>134</v>
      </c>
      <c r="F937" s="5" t="s">
        <v>23</v>
      </c>
      <c r="G937" s="22">
        <v>297.73</v>
      </c>
      <c r="H937" s="22">
        <v>0</v>
      </c>
      <c r="I937" s="22">
        <v>0</v>
      </c>
      <c r="J937" s="22">
        <v>0</v>
      </c>
      <c r="K937" s="22">
        <v>-5.95</v>
      </c>
      <c r="L937" s="22">
        <v>291.77999999999997</v>
      </c>
      <c r="M937" s="10"/>
      <c r="N937" s="67"/>
      <c r="O937" s="11"/>
    </row>
    <row r="938" spans="1:15" x14ac:dyDescent="0.25">
      <c r="A938" s="6">
        <v>452</v>
      </c>
      <c r="B938" s="5" t="s">
        <v>22</v>
      </c>
      <c r="C938" s="5" t="s">
        <v>17</v>
      </c>
      <c r="D938" s="5" t="s">
        <v>133</v>
      </c>
      <c r="E938" s="5" t="s">
        <v>134</v>
      </c>
      <c r="F938" s="5" t="s">
        <v>23</v>
      </c>
      <c r="G938" s="22">
        <v>198.03</v>
      </c>
      <c r="H938" s="22">
        <v>0</v>
      </c>
      <c r="I938" s="22">
        <v>0</v>
      </c>
      <c r="J938" s="22">
        <v>0</v>
      </c>
      <c r="K938" s="22">
        <v>-3.96</v>
      </c>
      <c r="L938" s="22">
        <v>194.07</v>
      </c>
      <c r="M938" s="10"/>
      <c r="O938" s="11"/>
    </row>
    <row r="939" spans="1:15" x14ac:dyDescent="0.25">
      <c r="A939" s="6">
        <v>453</v>
      </c>
      <c r="B939" s="5" t="s">
        <v>22</v>
      </c>
      <c r="C939" s="5" t="s">
        <v>49</v>
      </c>
      <c r="D939" s="5" t="s">
        <v>133</v>
      </c>
      <c r="E939" s="5" t="s">
        <v>134</v>
      </c>
      <c r="F939" s="5" t="s">
        <v>23</v>
      </c>
      <c r="G939" s="22">
        <v>1.44</v>
      </c>
      <c r="H939" s="22">
        <v>0</v>
      </c>
      <c r="I939" s="22">
        <v>0</v>
      </c>
      <c r="J939" s="22">
        <v>0</v>
      </c>
      <c r="K939" s="22">
        <v>0</v>
      </c>
      <c r="L939" s="22">
        <v>1.44</v>
      </c>
      <c r="M939" s="10"/>
      <c r="N939" s="70">
        <v>1.44</v>
      </c>
      <c r="O939" s="11"/>
    </row>
    <row r="940" spans="1:15" s="4" customFormat="1" x14ac:dyDescent="0.25">
      <c r="A940" s="6">
        <v>454</v>
      </c>
      <c r="B940" s="5" t="s">
        <v>22</v>
      </c>
      <c r="C940" s="5" t="s">
        <v>49</v>
      </c>
      <c r="D940" s="5" t="s">
        <v>133</v>
      </c>
      <c r="E940" s="5" t="s">
        <v>134</v>
      </c>
      <c r="F940" s="5" t="s">
        <v>23</v>
      </c>
      <c r="G940" s="22">
        <v>0.87</v>
      </c>
      <c r="H940" s="22">
        <v>0</v>
      </c>
      <c r="I940" s="22">
        <v>0</v>
      </c>
      <c r="J940" s="22">
        <v>0</v>
      </c>
      <c r="K940" s="22">
        <v>0</v>
      </c>
      <c r="L940" s="22">
        <v>0.87</v>
      </c>
      <c r="M940" s="10"/>
      <c r="N940" s="70">
        <v>0.87</v>
      </c>
      <c r="O940" s="11"/>
    </row>
    <row r="941" spans="1:15" x14ac:dyDescent="0.25">
      <c r="A941" s="6"/>
      <c r="B941" s="5"/>
      <c r="C941" s="5"/>
      <c r="D941" s="5" t="s">
        <v>133</v>
      </c>
      <c r="E941" s="5" t="s">
        <v>134</v>
      </c>
      <c r="F941" s="5" t="s">
        <v>23</v>
      </c>
      <c r="G941" s="14">
        <f t="shared" ref="G941:L941" si="240">SUBTOTAL(9,G937:G940)</f>
        <v>498.07</v>
      </c>
      <c r="H941" s="14">
        <f t="shared" si="240"/>
        <v>0</v>
      </c>
      <c r="I941" s="14">
        <f t="shared" si="240"/>
        <v>0</v>
      </c>
      <c r="J941" s="14">
        <f t="shared" si="240"/>
        <v>0</v>
      </c>
      <c r="K941" s="14">
        <f t="shared" si="240"/>
        <v>-9.91</v>
      </c>
      <c r="L941" s="14">
        <f t="shared" si="240"/>
        <v>488.15999999999997</v>
      </c>
      <c r="M941" s="10">
        <v>2352</v>
      </c>
      <c r="N941" s="71">
        <f>SUBTOTAL(9,N937:N940)</f>
        <v>2.31</v>
      </c>
      <c r="O941" s="11">
        <f>O935+1</f>
        <v>234</v>
      </c>
    </row>
    <row r="942" spans="1:15" x14ac:dyDescent="0.25">
      <c r="A942" s="10"/>
      <c r="G942" s="21"/>
      <c r="H942" s="21"/>
      <c r="I942" s="21"/>
      <c r="J942" s="21"/>
      <c r="K942" s="21"/>
      <c r="L942" s="21"/>
      <c r="M942" s="10"/>
      <c r="O942" s="11"/>
    </row>
    <row r="943" spans="1:15" s="4" customFormat="1" x14ac:dyDescent="0.25">
      <c r="A943" s="6">
        <v>455</v>
      </c>
      <c r="B943" s="5" t="s">
        <v>22</v>
      </c>
      <c r="C943" s="5" t="s">
        <v>17</v>
      </c>
      <c r="D943" s="5" t="s">
        <v>133</v>
      </c>
      <c r="E943" s="5" t="s">
        <v>134</v>
      </c>
      <c r="F943" s="5" t="s">
        <v>24</v>
      </c>
      <c r="G943" s="22">
        <v>0.57999999999999996</v>
      </c>
      <c r="H943" s="22">
        <v>0</v>
      </c>
      <c r="I943" s="22">
        <v>0</v>
      </c>
      <c r="J943" s="22">
        <v>0</v>
      </c>
      <c r="K943" s="22">
        <v>-0.01</v>
      </c>
      <c r="L943" s="22">
        <v>0.56999999999999995</v>
      </c>
      <c r="M943" s="10"/>
      <c r="N943" s="67"/>
      <c r="O943" s="11"/>
    </row>
    <row r="944" spans="1:15" x14ac:dyDescent="0.25">
      <c r="A944" s="6">
        <v>456</v>
      </c>
      <c r="B944" s="5" t="s">
        <v>22</v>
      </c>
      <c r="C944" s="5" t="s">
        <v>17</v>
      </c>
      <c r="D944" s="5" t="s">
        <v>133</v>
      </c>
      <c r="E944" s="5" t="s">
        <v>134</v>
      </c>
      <c r="F944" s="5" t="s">
        <v>24</v>
      </c>
      <c r="G944" s="22">
        <v>0.38</v>
      </c>
      <c r="H944" s="22">
        <v>0</v>
      </c>
      <c r="I944" s="22">
        <v>0</v>
      </c>
      <c r="J944" s="22">
        <v>0</v>
      </c>
      <c r="K944" s="22">
        <v>0</v>
      </c>
      <c r="L944" s="22">
        <v>0.38</v>
      </c>
      <c r="M944" s="10"/>
      <c r="O944" s="11"/>
    </row>
    <row r="945" spans="1:15" x14ac:dyDescent="0.25">
      <c r="A945" s="6"/>
      <c r="B945" s="5"/>
      <c r="C945" s="5"/>
      <c r="D945" s="5" t="s">
        <v>133</v>
      </c>
      <c r="E945" s="5" t="s">
        <v>134</v>
      </c>
      <c r="F945" s="5" t="s">
        <v>24</v>
      </c>
      <c r="G945" s="14">
        <f t="shared" ref="G945:L945" si="241">SUBTOTAL(9,G943:G944)</f>
        <v>0.96</v>
      </c>
      <c r="H945" s="14">
        <f t="shared" si="241"/>
        <v>0</v>
      </c>
      <c r="I945" s="14">
        <f t="shared" si="241"/>
        <v>0</v>
      </c>
      <c r="J945" s="14">
        <f t="shared" si="241"/>
        <v>0</v>
      </c>
      <c r="K945" s="14">
        <f t="shared" si="241"/>
        <v>-0.01</v>
      </c>
      <c r="L945" s="14">
        <f t="shared" si="241"/>
        <v>0.95</v>
      </c>
      <c r="M945" s="10">
        <v>2353</v>
      </c>
      <c r="N945" s="69"/>
      <c r="O945" s="11">
        <f>O941+1</f>
        <v>235</v>
      </c>
    </row>
    <row r="946" spans="1:15" s="4" customFormat="1" x14ac:dyDescent="0.25">
      <c r="A946" s="10"/>
      <c r="B946"/>
      <c r="C946"/>
      <c r="D946"/>
      <c r="E946"/>
      <c r="F946"/>
      <c r="G946" s="21"/>
      <c r="H946" s="21"/>
      <c r="I946" s="21"/>
      <c r="J946" s="21"/>
      <c r="K946" s="21"/>
      <c r="L946" s="21"/>
      <c r="M946" s="10"/>
      <c r="N946" s="67"/>
      <c r="O946" s="11"/>
    </row>
    <row r="947" spans="1:15" x14ac:dyDescent="0.25">
      <c r="A947" s="6">
        <v>457</v>
      </c>
      <c r="B947" s="5" t="s">
        <v>550</v>
      </c>
      <c r="C947" s="5" t="s">
        <v>17</v>
      </c>
      <c r="D947" s="5" t="s">
        <v>133</v>
      </c>
      <c r="E947" s="5" t="s">
        <v>134</v>
      </c>
      <c r="F947" s="5" t="s">
        <v>551</v>
      </c>
      <c r="G947" s="22">
        <v>176.9</v>
      </c>
      <c r="H947" s="22">
        <v>0</v>
      </c>
      <c r="I947" s="22">
        <v>0</v>
      </c>
      <c r="J947" s="22">
        <v>0</v>
      </c>
      <c r="K947" s="22">
        <v>-3.54</v>
      </c>
      <c r="L947" s="22">
        <v>173.36</v>
      </c>
      <c r="M947" s="10"/>
      <c r="O947" s="11"/>
    </row>
    <row r="948" spans="1:15" x14ac:dyDescent="0.25">
      <c r="A948" s="6">
        <v>458</v>
      </c>
      <c r="B948" s="5" t="s">
        <v>550</v>
      </c>
      <c r="C948" s="5" t="s">
        <v>13</v>
      </c>
      <c r="D948" s="5" t="s">
        <v>133</v>
      </c>
      <c r="E948" s="5" t="s">
        <v>134</v>
      </c>
      <c r="F948" s="5" t="s">
        <v>551</v>
      </c>
      <c r="G948" s="22">
        <v>0</v>
      </c>
      <c r="H948" s="22">
        <v>0</v>
      </c>
      <c r="I948" s="22">
        <v>0</v>
      </c>
      <c r="J948" s="22">
        <v>105.5</v>
      </c>
      <c r="K948" s="22">
        <v>0</v>
      </c>
      <c r="L948" s="22">
        <v>105.5</v>
      </c>
      <c r="M948" s="10"/>
      <c r="O948" s="11"/>
    </row>
    <row r="949" spans="1:15" s="4" customFormat="1" x14ac:dyDescent="0.25">
      <c r="A949" s="6">
        <v>459</v>
      </c>
      <c r="B949" s="5" t="s">
        <v>550</v>
      </c>
      <c r="C949" s="5" t="s">
        <v>13</v>
      </c>
      <c r="D949" s="5" t="s">
        <v>133</v>
      </c>
      <c r="E949" s="5" t="s">
        <v>134</v>
      </c>
      <c r="F949" s="5" t="s">
        <v>551</v>
      </c>
      <c r="G949" s="22">
        <v>0</v>
      </c>
      <c r="H949" s="22">
        <v>0</v>
      </c>
      <c r="I949" s="22">
        <v>0</v>
      </c>
      <c r="J949" s="22">
        <v>135.49</v>
      </c>
      <c r="K949" s="22">
        <v>0</v>
      </c>
      <c r="L949" s="22">
        <v>135.49</v>
      </c>
      <c r="M949" s="10"/>
      <c r="N949" s="67"/>
      <c r="O949" s="11"/>
    </row>
    <row r="950" spans="1:15" x14ac:dyDescent="0.25">
      <c r="A950" s="6"/>
      <c r="B950" s="5"/>
      <c r="C950" s="5"/>
      <c r="D950" s="5" t="s">
        <v>133</v>
      </c>
      <c r="E950" s="5" t="s">
        <v>134</v>
      </c>
      <c r="F950" s="5" t="s">
        <v>551</v>
      </c>
      <c r="G950" s="14">
        <f t="shared" ref="G950:L950" si="242">SUBTOTAL(9,G947:G949)</f>
        <v>176.9</v>
      </c>
      <c r="H950" s="14">
        <f t="shared" si="242"/>
        <v>0</v>
      </c>
      <c r="I950" s="14">
        <f t="shared" si="242"/>
        <v>0</v>
      </c>
      <c r="J950" s="14">
        <f t="shared" si="242"/>
        <v>240.99</v>
      </c>
      <c r="K950" s="14">
        <f t="shared" si="242"/>
        <v>-3.54</v>
      </c>
      <c r="L950" s="14">
        <f t="shared" si="242"/>
        <v>414.35</v>
      </c>
      <c r="M950" s="10">
        <v>2354</v>
      </c>
      <c r="N950" s="69"/>
      <c r="O950" s="11">
        <f>O945+1</f>
        <v>236</v>
      </c>
    </row>
    <row r="951" spans="1:15" x14ac:dyDescent="0.25">
      <c r="A951" s="10"/>
      <c r="G951" s="21"/>
      <c r="H951" s="21"/>
      <c r="I951" s="21"/>
      <c r="J951" s="21"/>
      <c r="K951" s="21"/>
      <c r="L951" s="21"/>
      <c r="M951" s="10"/>
      <c r="O951" s="11"/>
    </row>
    <row r="952" spans="1:15" s="4" customFormat="1" x14ac:dyDescent="0.25">
      <c r="A952" s="6">
        <v>460</v>
      </c>
      <c r="B952" s="5" t="s">
        <v>550</v>
      </c>
      <c r="C952" s="5" t="s">
        <v>17</v>
      </c>
      <c r="D952" s="5" t="s">
        <v>133</v>
      </c>
      <c r="E952" s="5" t="s">
        <v>134</v>
      </c>
      <c r="F952" s="5" t="s">
        <v>552</v>
      </c>
      <c r="G952" s="22">
        <v>0.01</v>
      </c>
      <c r="H952" s="22">
        <v>0</v>
      </c>
      <c r="I952" s="22">
        <v>0</v>
      </c>
      <c r="J952" s="22">
        <v>0</v>
      </c>
      <c r="K952" s="22">
        <v>0</v>
      </c>
      <c r="L952" s="22">
        <v>0.01</v>
      </c>
      <c r="M952" s="10"/>
      <c r="N952" s="67"/>
      <c r="O952" s="11"/>
    </row>
    <row r="953" spans="1:15" x14ac:dyDescent="0.25">
      <c r="A953" s="6">
        <v>461</v>
      </c>
      <c r="B953" s="5" t="s">
        <v>550</v>
      </c>
      <c r="C953" s="5" t="s">
        <v>13</v>
      </c>
      <c r="D953" s="5" t="s">
        <v>133</v>
      </c>
      <c r="E953" s="5" t="s">
        <v>134</v>
      </c>
      <c r="F953" s="5" t="s">
        <v>552</v>
      </c>
      <c r="G953" s="22">
        <v>0</v>
      </c>
      <c r="H953" s="22">
        <v>0</v>
      </c>
      <c r="I953" s="22">
        <v>0</v>
      </c>
      <c r="J953" s="22">
        <v>0.01</v>
      </c>
      <c r="K953" s="22">
        <v>0</v>
      </c>
      <c r="L953" s="22">
        <v>0.01</v>
      </c>
      <c r="M953" s="10"/>
      <c r="O953" s="11"/>
    </row>
    <row r="954" spans="1:15" x14ac:dyDescent="0.25">
      <c r="A954" s="6">
        <v>462</v>
      </c>
      <c r="B954" s="5" t="s">
        <v>550</v>
      </c>
      <c r="C954" s="5" t="s">
        <v>13</v>
      </c>
      <c r="D954" s="5" t="s">
        <v>133</v>
      </c>
      <c r="E954" s="5" t="s">
        <v>134</v>
      </c>
      <c r="F954" s="5" t="s">
        <v>552</v>
      </c>
      <c r="G954" s="22">
        <v>0</v>
      </c>
      <c r="H954" s="22">
        <v>0</v>
      </c>
      <c r="I954" s="22">
        <v>0</v>
      </c>
      <c r="J954" s="22">
        <v>0.01</v>
      </c>
      <c r="K954" s="22">
        <v>0</v>
      </c>
      <c r="L954" s="22">
        <v>0.01</v>
      </c>
      <c r="M954" s="10"/>
      <c r="O954" s="11"/>
    </row>
    <row r="955" spans="1:15" s="4" customFormat="1" x14ac:dyDescent="0.25">
      <c r="A955" s="6"/>
      <c r="B955" s="5"/>
      <c r="C955" s="5"/>
      <c r="D955" s="5" t="s">
        <v>133</v>
      </c>
      <c r="E955" s="5" t="s">
        <v>134</v>
      </c>
      <c r="F955" s="5" t="s">
        <v>552</v>
      </c>
      <c r="G955" s="14">
        <f t="shared" ref="G955:L955" si="243">SUBTOTAL(9,G952:G954)</f>
        <v>0.01</v>
      </c>
      <c r="H955" s="14">
        <f t="shared" si="243"/>
        <v>0</v>
      </c>
      <c r="I955" s="14">
        <f t="shared" si="243"/>
        <v>0</v>
      </c>
      <c r="J955" s="14">
        <f t="shared" si="243"/>
        <v>0.02</v>
      </c>
      <c r="K955" s="14">
        <f t="shared" si="243"/>
        <v>0</v>
      </c>
      <c r="L955" s="14">
        <f t="shared" si="243"/>
        <v>0.03</v>
      </c>
      <c r="M955" s="10">
        <v>2355</v>
      </c>
      <c r="N955" s="69"/>
      <c r="O955" s="11">
        <f>O950+1</f>
        <v>237</v>
      </c>
    </row>
    <row r="956" spans="1:15" x14ac:dyDescent="0.25">
      <c r="A956" s="10"/>
      <c r="G956" s="21"/>
      <c r="H956" s="21"/>
      <c r="I956" s="21"/>
      <c r="J956" s="21"/>
      <c r="K956" s="21"/>
      <c r="L956" s="21"/>
      <c r="M956" s="10"/>
      <c r="O956" s="11"/>
    </row>
    <row r="957" spans="1:15" x14ac:dyDescent="0.25">
      <c r="A957" s="6">
        <v>463</v>
      </c>
      <c r="B957" s="5" t="s">
        <v>555</v>
      </c>
      <c r="C957" s="5" t="s">
        <v>17</v>
      </c>
      <c r="D957" s="5" t="s">
        <v>135</v>
      </c>
      <c r="E957" s="5" t="s">
        <v>136</v>
      </c>
      <c r="F957" s="5" t="s">
        <v>556</v>
      </c>
      <c r="G957" s="22">
        <v>77.19</v>
      </c>
      <c r="H957" s="22">
        <v>0</v>
      </c>
      <c r="I957" s="22">
        <v>0</v>
      </c>
      <c r="J957" s="22">
        <v>0</v>
      </c>
      <c r="K957" s="22">
        <v>-1.54</v>
      </c>
      <c r="L957" s="22">
        <v>75.650000000000006</v>
      </c>
      <c r="M957" s="10"/>
      <c r="O957" s="11"/>
    </row>
    <row r="958" spans="1:15" s="4" customFormat="1" x14ac:dyDescent="0.25">
      <c r="A958" s="6">
        <v>464</v>
      </c>
      <c r="B958" s="5" t="s">
        <v>555</v>
      </c>
      <c r="C958" s="5" t="s">
        <v>13</v>
      </c>
      <c r="D958" s="5" t="s">
        <v>135</v>
      </c>
      <c r="E958" s="5" t="s">
        <v>136</v>
      </c>
      <c r="F958" s="5" t="s">
        <v>556</v>
      </c>
      <c r="G958" s="22">
        <v>0</v>
      </c>
      <c r="H958" s="22">
        <v>0</v>
      </c>
      <c r="I958" s="22">
        <v>0</v>
      </c>
      <c r="J958" s="22">
        <v>9.26</v>
      </c>
      <c r="K958" s="22">
        <v>0</v>
      </c>
      <c r="L958" s="22">
        <v>9.26</v>
      </c>
      <c r="M958" s="10"/>
      <c r="N958" s="67"/>
      <c r="O958" s="11"/>
    </row>
    <row r="959" spans="1:15" x14ac:dyDescent="0.25">
      <c r="A959" s="6"/>
      <c r="B959" s="5"/>
      <c r="C959" s="5"/>
      <c r="D959" s="5" t="s">
        <v>135</v>
      </c>
      <c r="E959" s="5" t="s">
        <v>136</v>
      </c>
      <c r="F959" s="5" t="s">
        <v>556</v>
      </c>
      <c r="G959" s="14">
        <f t="shared" ref="G959:L959" si="244">SUBTOTAL(9,G957:G958)</f>
        <v>77.19</v>
      </c>
      <c r="H959" s="14">
        <f t="shared" si="244"/>
        <v>0</v>
      </c>
      <c r="I959" s="14">
        <f t="shared" si="244"/>
        <v>0</v>
      </c>
      <c r="J959" s="14">
        <f t="shared" si="244"/>
        <v>9.26</v>
      </c>
      <c r="K959" s="14">
        <f t="shared" si="244"/>
        <v>-1.54</v>
      </c>
      <c r="L959" s="14">
        <f t="shared" si="244"/>
        <v>84.910000000000011</v>
      </c>
      <c r="M959" s="10">
        <v>2356</v>
      </c>
      <c r="N959" s="69"/>
      <c r="O959" s="11">
        <f>O955+1</f>
        <v>238</v>
      </c>
    </row>
    <row r="960" spans="1:15" x14ac:dyDescent="0.25">
      <c r="A960" s="10"/>
      <c r="G960" s="21"/>
      <c r="H960" s="21"/>
      <c r="I960" s="21"/>
      <c r="J960" s="21"/>
      <c r="K960" s="21"/>
      <c r="L960" s="21"/>
      <c r="M960" s="10"/>
      <c r="O960" s="11"/>
    </row>
    <row r="961" spans="1:15" s="4" customFormat="1" x14ac:dyDescent="0.25">
      <c r="A961" s="6">
        <v>465</v>
      </c>
      <c r="B961" s="5" t="s">
        <v>557</v>
      </c>
      <c r="C961" s="5" t="s">
        <v>17</v>
      </c>
      <c r="D961" s="5" t="s">
        <v>135</v>
      </c>
      <c r="E961" s="5" t="s">
        <v>136</v>
      </c>
      <c r="F961" s="5" t="s">
        <v>558</v>
      </c>
      <c r="G961" s="22">
        <v>45.82</v>
      </c>
      <c r="H961" s="22">
        <v>0</v>
      </c>
      <c r="I961" s="22">
        <v>0</v>
      </c>
      <c r="J961" s="22">
        <v>0</v>
      </c>
      <c r="K961" s="22">
        <v>-0.92</v>
      </c>
      <c r="L961" s="22">
        <v>44.9</v>
      </c>
      <c r="M961" s="10"/>
      <c r="N961" s="67"/>
      <c r="O961" s="11"/>
    </row>
    <row r="962" spans="1:15" x14ac:dyDescent="0.25">
      <c r="A962" s="6">
        <v>466</v>
      </c>
      <c r="B962" s="5" t="s">
        <v>557</v>
      </c>
      <c r="C962" s="5" t="s">
        <v>13</v>
      </c>
      <c r="D962" s="5" t="s">
        <v>135</v>
      </c>
      <c r="E962" s="5" t="s">
        <v>136</v>
      </c>
      <c r="F962" s="5" t="s">
        <v>558</v>
      </c>
      <c r="G962" s="22">
        <v>0</v>
      </c>
      <c r="H962" s="22">
        <v>0</v>
      </c>
      <c r="I962" s="22">
        <v>0</v>
      </c>
      <c r="J962" s="22">
        <v>5.5</v>
      </c>
      <c r="K962" s="22">
        <v>0</v>
      </c>
      <c r="L962" s="22">
        <v>5.5</v>
      </c>
      <c r="M962" s="10"/>
      <c r="O962" s="11"/>
    </row>
    <row r="963" spans="1:15" x14ac:dyDescent="0.25">
      <c r="A963" s="6"/>
      <c r="B963" s="5"/>
      <c r="C963" s="5"/>
      <c r="D963" s="5" t="s">
        <v>135</v>
      </c>
      <c r="E963" s="5" t="s">
        <v>136</v>
      </c>
      <c r="F963" s="5" t="s">
        <v>558</v>
      </c>
      <c r="G963" s="14">
        <f t="shared" ref="G963:L963" si="245">SUBTOTAL(9,G961:G962)</f>
        <v>45.82</v>
      </c>
      <c r="H963" s="14">
        <f t="shared" si="245"/>
        <v>0</v>
      </c>
      <c r="I963" s="14">
        <f t="shared" si="245"/>
        <v>0</v>
      </c>
      <c r="J963" s="14">
        <f t="shared" si="245"/>
        <v>5.5</v>
      </c>
      <c r="K963" s="14">
        <f t="shared" si="245"/>
        <v>-0.92</v>
      </c>
      <c r="L963" s="14">
        <f t="shared" si="245"/>
        <v>50.4</v>
      </c>
      <c r="M963" s="10">
        <v>2357</v>
      </c>
      <c r="N963" s="69"/>
      <c r="O963" s="11">
        <f>O959+1</f>
        <v>239</v>
      </c>
    </row>
    <row r="964" spans="1:15" s="4" customFormat="1" x14ac:dyDescent="0.25">
      <c r="A964" s="10"/>
      <c r="B964"/>
      <c r="C964"/>
      <c r="D964"/>
      <c r="E964"/>
      <c r="F964"/>
      <c r="G964" s="21"/>
      <c r="H964" s="21"/>
      <c r="I964" s="21"/>
      <c r="J964" s="21"/>
      <c r="K964" s="21"/>
      <c r="L964" s="21"/>
      <c r="M964" s="10"/>
      <c r="N964" s="67"/>
      <c r="O964" s="11"/>
    </row>
    <row r="965" spans="1:15" x14ac:dyDescent="0.25">
      <c r="A965" s="6">
        <v>467</v>
      </c>
      <c r="B965" s="5" t="s">
        <v>550</v>
      </c>
      <c r="C965" s="5" t="s">
        <v>17</v>
      </c>
      <c r="D965" s="5" t="s">
        <v>135</v>
      </c>
      <c r="E965" s="5" t="s">
        <v>136</v>
      </c>
      <c r="F965" s="5" t="s">
        <v>551</v>
      </c>
      <c r="G965" s="22">
        <v>4119.24</v>
      </c>
      <c r="H965" s="22">
        <v>0</v>
      </c>
      <c r="I965" s="22">
        <v>0</v>
      </c>
      <c r="J965" s="22">
        <v>0</v>
      </c>
      <c r="K965" s="22">
        <v>-82.38</v>
      </c>
      <c r="L965" s="22">
        <v>4036.86</v>
      </c>
      <c r="M965" s="10"/>
      <c r="O965" s="11"/>
    </row>
    <row r="966" spans="1:15" x14ac:dyDescent="0.25">
      <c r="A966" s="6">
        <v>468</v>
      </c>
      <c r="B966" s="5" t="s">
        <v>550</v>
      </c>
      <c r="C966" s="5" t="s">
        <v>17</v>
      </c>
      <c r="D966" s="5" t="s">
        <v>135</v>
      </c>
      <c r="E966" s="5" t="s">
        <v>136</v>
      </c>
      <c r="F966" s="5" t="s">
        <v>551</v>
      </c>
      <c r="G966" s="22">
        <v>523.94000000000005</v>
      </c>
      <c r="H966" s="22">
        <v>0</v>
      </c>
      <c r="I966" s="22">
        <v>0</v>
      </c>
      <c r="J966" s="22">
        <v>0</v>
      </c>
      <c r="K966" s="22">
        <v>-10.48</v>
      </c>
      <c r="L966" s="22">
        <v>513.46</v>
      </c>
      <c r="M966" s="10"/>
      <c r="O966" s="11"/>
    </row>
    <row r="967" spans="1:15" s="4" customFormat="1" x14ac:dyDescent="0.25">
      <c r="A967" s="6">
        <v>469</v>
      </c>
      <c r="B967" s="5" t="s">
        <v>550</v>
      </c>
      <c r="C967" s="5" t="s">
        <v>13</v>
      </c>
      <c r="D967" s="5" t="s">
        <v>135</v>
      </c>
      <c r="E967" s="5" t="s">
        <v>136</v>
      </c>
      <c r="F967" s="5" t="s">
        <v>551</v>
      </c>
      <c r="G967" s="22">
        <v>0</v>
      </c>
      <c r="H967" s="22">
        <v>0</v>
      </c>
      <c r="I967" s="22">
        <v>0</v>
      </c>
      <c r="J967" s="22">
        <v>494.31</v>
      </c>
      <c r="K967" s="22">
        <v>0</v>
      </c>
      <c r="L967" s="22">
        <v>494.31</v>
      </c>
      <c r="M967" s="10"/>
      <c r="N967" s="67"/>
      <c r="O967" s="11"/>
    </row>
    <row r="968" spans="1:15" x14ac:dyDescent="0.25">
      <c r="A968" s="6">
        <v>470</v>
      </c>
      <c r="B968" s="5" t="s">
        <v>550</v>
      </c>
      <c r="C968" s="5" t="s">
        <v>13</v>
      </c>
      <c r="D968" s="5" t="s">
        <v>135</v>
      </c>
      <c r="E968" s="5" t="s">
        <v>136</v>
      </c>
      <c r="F968" s="5" t="s">
        <v>551</v>
      </c>
      <c r="G968" s="22">
        <v>0</v>
      </c>
      <c r="H968" s="22">
        <v>0</v>
      </c>
      <c r="I968" s="22">
        <v>0</v>
      </c>
      <c r="J968" s="22">
        <v>62.87</v>
      </c>
      <c r="K968" s="22">
        <v>0</v>
      </c>
      <c r="L968" s="22">
        <v>62.87</v>
      </c>
      <c r="M968" s="10"/>
      <c r="O968" s="11"/>
    </row>
    <row r="969" spans="1:15" x14ac:dyDescent="0.25">
      <c r="A969" s="6"/>
      <c r="B969" s="5"/>
      <c r="C969" s="5"/>
      <c r="D969" s="5" t="s">
        <v>135</v>
      </c>
      <c r="E969" s="5" t="s">
        <v>136</v>
      </c>
      <c r="F969" s="5" t="s">
        <v>551</v>
      </c>
      <c r="G969" s="14">
        <f t="shared" ref="G969:L969" si="246">SUBTOTAL(9,G965:G968)</f>
        <v>4643.18</v>
      </c>
      <c r="H969" s="14">
        <f t="shared" si="246"/>
        <v>0</v>
      </c>
      <c r="I969" s="14">
        <f t="shared" si="246"/>
        <v>0</v>
      </c>
      <c r="J969" s="14">
        <f t="shared" si="246"/>
        <v>557.17999999999995</v>
      </c>
      <c r="K969" s="14">
        <f t="shared" si="246"/>
        <v>-92.86</v>
      </c>
      <c r="L969" s="14">
        <f t="shared" si="246"/>
        <v>5107.5</v>
      </c>
      <c r="M969" s="10">
        <v>2358</v>
      </c>
      <c r="N969" s="69"/>
      <c r="O969" s="11">
        <f>O963+1</f>
        <v>240</v>
      </c>
    </row>
    <row r="970" spans="1:15" s="4" customFormat="1" x14ac:dyDescent="0.25">
      <c r="A970" s="10"/>
      <c r="B970"/>
      <c r="C970"/>
      <c r="D970"/>
      <c r="E970"/>
      <c r="F970"/>
      <c r="G970" s="21"/>
      <c r="H970" s="21"/>
      <c r="I970" s="21"/>
      <c r="J970" s="21"/>
      <c r="K970" s="21"/>
      <c r="L970" s="21"/>
      <c r="M970" s="10"/>
      <c r="N970" s="67"/>
      <c r="O970" s="11"/>
    </row>
    <row r="971" spans="1:15" x14ac:dyDescent="0.25">
      <c r="A971" s="6">
        <v>471</v>
      </c>
      <c r="B971" s="5" t="s">
        <v>550</v>
      </c>
      <c r="C971" s="5" t="s">
        <v>17</v>
      </c>
      <c r="D971" s="5" t="s">
        <v>135</v>
      </c>
      <c r="E971" s="5" t="s">
        <v>136</v>
      </c>
      <c r="F971" s="5" t="s">
        <v>552</v>
      </c>
      <c r="G971" s="22">
        <v>0.3</v>
      </c>
      <c r="H971" s="22">
        <v>0</v>
      </c>
      <c r="I971" s="22">
        <v>0</v>
      </c>
      <c r="J971" s="22">
        <v>0</v>
      </c>
      <c r="K971" s="22">
        <v>-0.01</v>
      </c>
      <c r="L971" s="22">
        <v>0.28999999999999998</v>
      </c>
      <c r="M971" s="10"/>
      <c r="O971" s="11"/>
    </row>
    <row r="972" spans="1:15" x14ac:dyDescent="0.25">
      <c r="A972" s="6">
        <v>472</v>
      </c>
      <c r="B972" s="5" t="s">
        <v>550</v>
      </c>
      <c r="C972" s="5" t="s">
        <v>17</v>
      </c>
      <c r="D972" s="5" t="s">
        <v>135</v>
      </c>
      <c r="E972" s="5" t="s">
        <v>136</v>
      </c>
      <c r="F972" s="5" t="s">
        <v>552</v>
      </c>
      <c r="G972" s="22">
        <v>0.04</v>
      </c>
      <c r="H972" s="22">
        <v>0</v>
      </c>
      <c r="I972" s="22">
        <v>0</v>
      </c>
      <c r="J972" s="22">
        <v>0</v>
      </c>
      <c r="K972" s="22">
        <v>0</v>
      </c>
      <c r="L972" s="22">
        <v>0.04</v>
      </c>
      <c r="M972" s="10"/>
      <c r="O972" s="11"/>
    </row>
    <row r="973" spans="1:15" s="4" customFormat="1" x14ac:dyDescent="0.25">
      <c r="A973" s="6">
        <v>473</v>
      </c>
      <c r="B973" s="5" t="s">
        <v>550</v>
      </c>
      <c r="C973" s="5" t="s">
        <v>13</v>
      </c>
      <c r="D973" s="5" t="s">
        <v>135</v>
      </c>
      <c r="E973" s="5" t="s">
        <v>136</v>
      </c>
      <c r="F973" s="5" t="s">
        <v>552</v>
      </c>
      <c r="G973" s="22">
        <v>0</v>
      </c>
      <c r="H973" s="22">
        <v>0</v>
      </c>
      <c r="I973" s="22">
        <v>0</v>
      </c>
      <c r="J973" s="22">
        <v>0.04</v>
      </c>
      <c r="K973" s="22">
        <v>0</v>
      </c>
      <c r="L973" s="22">
        <v>0.04</v>
      </c>
      <c r="M973" s="10"/>
      <c r="N973" s="67"/>
      <c r="O973" s="11"/>
    </row>
    <row r="974" spans="1:15" s="4" customFormat="1" x14ac:dyDescent="0.25">
      <c r="A974" s="6">
        <v>474</v>
      </c>
      <c r="B974" s="5" t="s">
        <v>550</v>
      </c>
      <c r="C974" s="5" t="s">
        <v>13</v>
      </c>
      <c r="D974" s="5" t="s">
        <v>135</v>
      </c>
      <c r="E974" s="5" t="s">
        <v>136</v>
      </c>
      <c r="F974" s="5" t="s">
        <v>552</v>
      </c>
      <c r="G974" s="22">
        <v>0</v>
      </c>
      <c r="H974" s="22">
        <v>0</v>
      </c>
      <c r="I974" s="22">
        <v>0</v>
      </c>
      <c r="J974" s="22">
        <v>0</v>
      </c>
      <c r="K974" s="22">
        <v>0</v>
      </c>
      <c r="L974" s="22">
        <v>0</v>
      </c>
      <c r="M974" s="10"/>
      <c r="N974" s="67"/>
      <c r="O974" s="11"/>
    </row>
    <row r="975" spans="1:15" x14ac:dyDescent="0.25">
      <c r="A975" s="6"/>
      <c r="B975" s="5"/>
      <c r="C975" s="5"/>
      <c r="D975" s="5" t="s">
        <v>135</v>
      </c>
      <c r="E975" s="5" t="s">
        <v>136</v>
      </c>
      <c r="F975" s="5" t="s">
        <v>552</v>
      </c>
      <c r="G975" s="14">
        <f t="shared" ref="G975:L975" si="247">SUBTOTAL(9,G971:G974)</f>
        <v>0.33999999999999997</v>
      </c>
      <c r="H975" s="14">
        <f t="shared" si="247"/>
        <v>0</v>
      </c>
      <c r="I975" s="14">
        <f t="shared" si="247"/>
        <v>0</v>
      </c>
      <c r="J975" s="14">
        <f t="shared" si="247"/>
        <v>0.04</v>
      </c>
      <c r="K975" s="14">
        <f t="shared" si="247"/>
        <v>-0.01</v>
      </c>
      <c r="L975" s="14">
        <f t="shared" si="247"/>
        <v>0.36999999999999994</v>
      </c>
      <c r="M975" s="10">
        <v>2359</v>
      </c>
      <c r="N975" s="69"/>
      <c r="O975" s="11">
        <f>O969+1</f>
        <v>241</v>
      </c>
    </row>
    <row r="976" spans="1:15" x14ac:dyDescent="0.25">
      <c r="A976" s="10"/>
      <c r="G976" s="21"/>
      <c r="H976" s="21"/>
      <c r="I976" s="21"/>
      <c r="J976" s="21"/>
      <c r="K976" s="21"/>
      <c r="L976" s="21"/>
      <c r="M976" s="10"/>
      <c r="O976" s="11"/>
    </row>
    <row r="977" spans="1:15" s="4" customFormat="1" x14ac:dyDescent="0.25">
      <c r="A977" s="6">
        <v>475</v>
      </c>
      <c r="B977" s="5" t="s">
        <v>18</v>
      </c>
      <c r="C977" s="5" t="s">
        <v>17</v>
      </c>
      <c r="D977" s="5" t="s">
        <v>137</v>
      </c>
      <c r="E977" s="5" t="s">
        <v>138</v>
      </c>
      <c r="F977" s="5" t="s">
        <v>19</v>
      </c>
      <c r="G977" s="22">
        <v>0.02</v>
      </c>
      <c r="H977" s="22">
        <v>0</v>
      </c>
      <c r="I977" s="22">
        <v>0</v>
      </c>
      <c r="J977" s="22">
        <v>0</v>
      </c>
      <c r="K977" s="22">
        <v>-0.02</v>
      </c>
      <c r="L977" s="22">
        <v>0</v>
      </c>
      <c r="M977" s="10"/>
      <c r="N977" s="67"/>
      <c r="O977" s="11"/>
    </row>
    <row r="978" spans="1:15" s="4" customFormat="1" x14ac:dyDescent="0.25">
      <c r="A978" s="6"/>
      <c r="B978" s="5"/>
      <c r="C978" s="5"/>
      <c r="D978" s="5" t="s">
        <v>137</v>
      </c>
      <c r="E978" s="5" t="s">
        <v>138</v>
      </c>
      <c r="F978" s="5" t="s">
        <v>19</v>
      </c>
      <c r="G978" s="14">
        <f t="shared" ref="G978:L978" si="248">SUBTOTAL(9,G977:G977)</f>
        <v>0.02</v>
      </c>
      <c r="H978" s="14">
        <f t="shared" si="248"/>
        <v>0</v>
      </c>
      <c r="I978" s="14">
        <f t="shared" si="248"/>
        <v>0</v>
      </c>
      <c r="J978" s="14">
        <f t="shared" si="248"/>
        <v>0</v>
      </c>
      <c r="K978" s="14">
        <f t="shared" si="248"/>
        <v>-0.02</v>
      </c>
      <c r="L978" s="14">
        <f t="shared" si="248"/>
        <v>0</v>
      </c>
      <c r="M978" s="10">
        <v>2360</v>
      </c>
      <c r="N978" s="69"/>
      <c r="O978" s="11">
        <f>O975+1</f>
        <v>242</v>
      </c>
    </row>
    <row r="979" spans="1:15" x14ac:dyDescent="0.25">
      <c r="A979" s="10"/>
      <c r="G979" s="21"/>
      <c r="H979" s="21"/>
      <c r="I979" s="21"/>
      <c r="J979" s="21"/>
      <c r="K979" s="21"/>
      <c r="L979" s="21"/>
      <c r="M979" s="10"/>
      <c r="O979" s="11"/>
    </row>
    <row r="980" spans="1:15" x14ac:dyDescent="0.25">
      <c r="A980" s="6">
        <v>476</v>
      </c>
      <c r="B980" s="5" t="s">
        <v>550</v>
      </c>
      <c r="C980" s="5" t="s">
        <v>17</v>
      </c>
      <c r="D980" s="5" t="s">
        <v>137</v>
      </c>
      <c r="E980" s="5" t="s">
        <v>138</v>
      </c>
      <c r="F980" s="5" t="s">
        <v>551</v>
      </c>
      <c r="G980" s="22">
        <v>502.98</v>
      </c>
      <c r="H980" s="22">
        <v>0</v>
      </c>
      <c r="I980" s="22">
        <v>0</v>
      </c>
      <c r="J980" s="22">
        <v>0</v>
      </c>
      <c r="K980" s="22">
        <v>-10.06</v>
      </c>
      <c r="L980" s="22">
        <v>492.92</v>
      </c>
      <c r="M980" s="10"/>
      <c r="O980" s="11"/>
    </row>
    <row r="981" spans="1:15" s="4" customFormat="1" x14ac:dyDescent="0.25">
      <c r="A981" s="6">
        <v>477</v>
      </c>
      <c r="B981" s="5" t="s">
        <v>550</v>
      </c>
      <c r="C981" s="5" t="s">
        <v>17</v>
      </c>
      <c r="D981" s="5" t="s">
        <v>137</v>
      </c>
      <c r="E981" s="5" t="s">
        <v>138</v>
      </c>
      <c r="F981" s="5" t="s">
        <v>551</v>
      </c>
      <c r="G981" s="22">
        <v>429.41</v>
      </c>
      <c r="H981" s="22">
        <v>0</v>
      </c>
      <c r="I981" s="22">
        <v>0</v>
      </c>
      <c r="J981" s="22">
        <v>0</v>
      </c>
      <c r="K981" s="22">
        <v>-8.59</v>
      </c>
      <c r="L981" s="22">
        <v>420.82</v>
      </c>
      <c r="M981" s="10"/>
      <c r="N981" s="67"/>
      <c r="O981" s="11"/>
    </row>
    <row r="982" spans="1:15" s="4" customFormat="1" x14ac:dyDescent="0.25">
      <c r="A982" s="6">
        <v>478</v>
      </c>
      <c r="B982" s="5" t="s">
        <v>550</v>
      </c>
      <c r="C982" s="5" t="s">
        <v>13</v>
      </c>
      <c r="D982" s="5" t="s">
        <v>137</v>
      </c>
      <c r="E982" s="5" t="s">
        <v>138</v>
      </c>
      <c r="F982" s="5" t="s">
        <v>551</v>
      </c>
      <c r="G982" s="22">
        <v>0</v>
      </c>
      <c r="H982" s="22">
        <v>0</v>
      </c>
      <c r="I982" s="22">
        <v>0</v>
      </c>
      <c r="J982" s="22">
        <v>60.36</v>
      </c>
      <c r="K982" s="22">
        <v>0</v>
      </c>
      <c r="L982" s="22">
        <v>60.36</v>
      </c>
      <c r="M982" s="10"/>
      <c r="N982" s="67"/>
      <c r="O982" s="11"/>
    </row>
    <row r="983" spans="1:15" x14ac:dyDescent="0.25">
      <c r="A983" s="6">
        <v>479</v>
      </c>
      <c r="B983" s="5" t="s">
        <v>550</v>
      </c>
      <c r="C983" s="5" t="s">
        <v>13</v>
      </c>
      <c r="D983" s="5" t="s">
        <v>137</v>
      </c>
      <c r="E983" s="5" t="s">
        <v>138</v>
      </c>
      <c r="F983" s="5" t="s">
        <v>551</v>
      </c>
      <c r="G983" s="22">
        <v>0</v>
      </c>
      <c r="H983" s="22">
        <v>0</v>
      </c>
      <c r="I983" s="22">
        <v>0</v>
      </c>
      <c r="J983" s="22">
        <v>51.53</v>
      </c>
      <c r="K983" s="22">
        <v>0</v>
      </c>
      <c r="L983" s="22">
        <v>51.53</v>
      </c>
      <c r="M983" s="10"/>
      <c r="O983" s="11"/>
    </row>
    <row r="984" spans="1:15" x14ac:dyDescent="0.25">
      <c r="A984" s="6"/>
      <c r="B984" s="5"/>
      <c r="C984" s="5"/>
      <c r="D984" s="5" t="s">
        <v>137</v>
      </c>
      <c r="E984" s="5" t="s">
        <v>138</v>
      </c>
      <c r="F984" s="5" t="s">
        <v>551</v>
      </c>
      <c r="G984" s="14">
        <f t="shared" ref="G984:L984" si="249">SUBTOTAL(9,G980:G983)</f>
        <v>932.3900000000001</v>
      </c>
      <c r="H984" s="14">
        <f t="shared" si="249"/>
        <v>0</v>
      </c>
      <c r="I984" s="14">
        <f t="shared" si="249"/>
        <v>0</v>
      </c>
      <c r="J984" s="14">
        <f t="shared" si="249"/>
        <v>111.89</v>
      </c>
      <c r="K984" s="14">
        <f t="shared" si="249"/>
        <v>-18.649999999999999</v>
      </c>
      <c r="L984" s="14">
        <f t="shared" si="249"/>
        <v>1025.6300000000001</v>
      </c>
      <c r="M984" s="10">
        <v>2361</v>
      </c>
      <c r="N984" s="69"/>
      <c r="O984" s="11">
        <f>O978+1</f>
        <v>243</v>
      </c>
    </row>
    <row r="985" spans="1:15" s="4" customFormat="1" x14ac:dyDescent="0.25">
      <c r="A985" s="10"/>
      <c r="B985"/>
      <c r="C985"/>
      <c r="D985"/>
      <c r="E985"/>
      <c r="F985"/>
      <c r="G985" s="21"/>
      <c r="H985" s="21"/>
      <c r="I985" s="21"/>
      <c r="J985" s="21"/>
      <c r="K985" s="21"/>
      <c r="L985" s="21"/>
      <c r="M985" s="10"/>
      <c r="N985" s="67"/>
      <c r="O985" s="11"/>
    </row>
    <row r="986" spans="1:15" x14ac:dyDescent="0.25">
      <c r="A986" s="6">
        <v>480</v>
      </c>
      <c r="B986" s="5" t="s">
        <v>550</v>
      </c>
      <c r="C986" s="5" t="s">
        <v>17</v>
      </c>
      <c r="D986" s="5" t="s">
        <v>137</v>
      </c>
      <c r="E986" s="5" t="s">
        <v>138</v>
      </c>
      <c r="F986" s="5" t="s">
        <v>552</v>
      </c>
      <c r="G986" s="22">
        <v>0.04</v>
      </c>
      <c r="H986" s="22">
        <v>0</v>
      </c>
      <c r="I986" s="22">
        <v>0</v>
      </c>
      <c r="J986" s="22">
        <v>0</v>
      </c>
      <c r="K986" s="22">
        <v>0</v>
      </c>
      <c r="L986" s="22">
        <v>0.04</v>
      </c>
      <c r="M986" s="10"/>
      <c r="O986" s="11"/>
    </row>
    <row r="987" spans="1:15" x14ac:dyDescent="0.25">
      <c r="A987" s="6">
        <v>481</v>
      </c>
      <c r="B987" s="5" t="s">
        <v>550</v>
      </c>
      <c r="C987" s="5" t="s">
        <v>17</v>
      </c>
      <c r="D987" s="5" t="s">
        <v>137</v>
      </c>
      <c r="E987" s="5" t="s">
        <v>138</v>
      </c>
      <c r="F987" s="5" t="s">
        <v>552</v>
      </c>
      <c r="G987" s="22">
        <v>0.03</v>
      </c>
      <c r="H987" s="22">
        <v>0</v>
      </c>
      <c r="I987" s="22">
        <v>0</v>
      </c>
      <c r="J987" s="22">
        <v>0</v>
      </c>
      <c r="K987" s="22">
        <v>0</v>
      </c>
      <c r="L987" s="22">
        <v>0.03</v>
      </c>
      <c r="M987" s="10"/>
      <c r="O987" s="11"/>
    </row>
    <row r="988" spans="1:15" s="4" customFormat="1" x14ac:dyDescent="0.25">
      <c r="A988" s="6">
        <v>482</v>
      </c>
      <c r="B988" s="5" t="s">
        <v>550</v>
      </c>
      <c r="C988" s="5" t="s">
        <v>13</v>
      </c>
      <c r="D988" s="5" t="s">
        <v>137</v>
      </c>
      <c r="E988" s="5" t="s">
        <v>138</v>
      </c>
      <c r="F988" s="5" t="s">
        <v>552</v>
      </c>
      <c r="G988" s="22">
        <v>0</v>
      </c>
      <c r="H988" s="22">
        <v>0</v>
      </c>
      <c r="I988" s="22">
        <v>0</v>
      </c>
      <c r="J988" s="22">
        <v>0</v>
      </c>
      <c r="K988" s="22">
        <v>0</v>
      </c>
      <c r="L988" s="22">
        <v>0</v>
      </c>
      <c r="M988" s="10"/>
      <c r="N988" s="67"/>
      <c r="O988" s="11"/>
    </row>
    <row r="989" spans="1:15" x14ac:dyDescent="0.25">
      <c r="A989" s="6">
        <v>483</v>
      </c>
      <c r="B989" s="5" t="s">
        <v>550</v>
      </c>
      <c r="C989" s="5" t="s">
        <v>13</v>
      </c>
      <c r="D989" s="5" t="s">
        <v>137</v>
      </c>
      <c r="E989" s="5" t="s">
        <v>138</v>
      </c>
      <c r="F989" s="5" t="s">
        <v>552</v>
      </c>
      <c r="G989" s="22">
        <v>0</v>
      </c>
      <c r="H989" s="22">
        <v>0</v>
      </c>
      <c r="I989" s="22">
        <v>0</v>
      </c>
      <c r="J989" s="22">
        <v>0</v>
      </c>
      <c r="K989" s="22">
        <v>0</v>
      </c>
      <c r="L989" s="22">
        <v>0</v>
      </c>
      <c r="M989" s="10"/>
      <c r="O989" s="11"/>
    </row>
    <row r="990" spans="1:15" x14ac:dyDescent="0.25">
      <c r="A990" s="6"/>
      <c r="B990" s="5"/>
      <c r="C990" s="5"/>
      <c r="D990" s="5" t="s">
        <v>137</v>
      </c>
      <c r="E990" s="5" t="s">
        <v>138</v>
      </c>
      <c r="F990" s="5" t="s">
        <v>552</v>
      </c>
      <c r="G990" s="14">
        <f t="shared" ref="G990:L990" si="250">SUBTOTAL(9,G986:G989)</f>
        <v>7.0000000000000007E-2</v>
      </c>
      <c r="H990" s="14">
        <f t="shared" si="250"/>
        <v>0</v>
      </c>
      <c r="I990" s="14">
        <f t="shared" si="250"/>
        <v>0</v>
      </c>
      <c r="J990" s="14">
        <f t="shared" si="250"/>
        <v>0</v>
      </c>
      <c r="K990" s="14">
        <f t="shared" si="250"/>
        <v>0</v>
      </c>
      <c r="L990" s="14">
        <f t="shared" si="250"/>
        <v>7.0000000000000007E-2</v>
      </c>
      <c r="M990" s="10">
        <v>2362</v>
      </c>
      <c r="N990" s="69"/>
      <c r="O990" s="11">
        <f>O984+1</f>
        <v>244</v>
      </c>
    </row>
    <row r="991" spans="1:15" s="4" customFormat="1" x14ac:dyDescent="0.25">
      <c r="A991" s="10"/>
      <c r="B991"/>
      <c r="C991"/>
      <c r="D991"/>
      <c r="E991"/>
      <c r="F991"/>
      <c r="G991" s="21"/>
      <c r="H991" s="21"/>
      <c r="I991" s="21"/>
      <c r="J991" s="21"/>
      <c r="K991" s="21"/>
      <c r="L991" s="21"/>
      <c r="M991" s="10"/>
      <c r="N991" s="67"/>
      <c r="O991" s="11"/>
    </row>
    <row r="992" spans="1:15" s="4" customFormat="1" x14ac:dyDescent="0.25">
      <c r="A992" s="6">
        <v>484</v>
      </c>
      <c r="B992" s="5" t="s">
        <v>555</v>
      </c>
      <c r="C992" s="5" t="s">
        <v>17</v>
      </c>
      <c r="D992" s="5" t="s">
        <v>139</v>
      </c>
      <c r="E992" s="5" t="s">
        <v>140</v>
      </c>
      <c r="F992" s="5" t="s">
        <v>556</v>
      </c>
      <c r="G992" s="22">
        <v>48.06</v>
      </c>
      <c r="H992" s="22">
        <v>0</v>
      </c>
      <c r="I992" s="22">
        <v>0</v>
      </c>
      <c r="J992" s="22">
        <v>0</v>
      </c>
      <c r="K992" s="22">
        <v>-0.96</v>
      </c>
      <c r="L992" s="22">
        <v>47.1</v>
      </c>
      <c r="M992" s="10"/>
      <c r="N992" s="67"/>
      <c r="O992" s="11"/>
    </row>
    <row r="993" spans="1:15" x14ac:dyDescent="0.25">
      <c r="A993" s="6">
        <v>485</v>
      </c>
      <c r="B993" s="5" t="s">
        <v>555</v>
      </c>
      <c r="C993" s="5" t="s">
        <v>13</v>
      </c>
      <c r="D993" s="5" t="s">
        <v>139</v>
      </c>
      <c r="E993" s="5" t="s">
        <v>140</v>
      </c>
      <c r="F993" s="5" t="s">
        <v>556</v>
      </c>
      <c r="G993" s="22">
        <v>0</v>
      </c>
      <c r="H993" s="22">
        <v>0</v>
      </c>
      <c r="I993" s="22">
        <v>0</v>
      </c>
      <c r="J993" s="22">
        <v>5.77</v>
      </c>
      <c r="K993" s="22">
        <v>0</v>
      </c>
      <c r="L993" s="22">
        <v>5.77</v>
      </c>
      <c r="M993" s="10"/>
      <c r="O993" s="11"/>
    </row>
    <row r="994" spans="1:15" x14ac:dyDescent="0.25">
      <c r="A994" s="6"/>
      <c r="B994" s="5"/>
      <c r="C994" s="5"/>
      <c r="D994" s="5" t="s">
        <v>139</v>
      </c>
      <c r="E994" s="5" t="s">
        <v>140</v>
      </c>
      <c r="F994" s="5" t="s">
        <v>556</v>
      </c>
      <c r="G994" s="14">
        <f t="shared" ref="G994:L994" si="251">SUBTOTAL(9,G992:G993)</f>
        <v>48.06</v>
      </c>
      <c r="H994" s="14">
        <f t="shared" si="251"/>
        <v>0</v>
      </c>
      <c r="I994" s="14">
        <f t="shared" si="251"/>
        <v>0</v>
      </c>
      <c r="J994" s="14">
        <f t="shared" si="251"/>
        <v>5.77</v>
      </c>
      <c r="K994" s="14">
        <f t="shared" si="251"/>
        <v>-0.96</v>
      </c>
      <c r="L994" s="14">
        <f t="shared" si="251"/>
        <v>52.870000000000005</v>
      </c>
      <c r="M994" s="10">
        <v>2363</v>
      </c>
      <c r="N994" s="69"/>
      <c r="O994" s="11">
        <f>O990+1</f>
        <v>245</v>
      </c>
    </row>
    <row r="995" spans="1:15" s="4" customFormat="1" x14ac:dyDescent="0.25">
      <c r="A995" s="10"/>
      <c r="B995"/>
      <c r="C995"/>
      <c r="D995"/>
      <c r="E995"/>
      <c r="F995"/>
      <c r="G995" s="21"/>
      <c r="H995" s="21"/>
      <c r="I995" s="21"/>
      <c r="J995" s="21"/>
      <c r="K995" s="21"/>
      <c r="L995" s="21"/>
      <c r="M995" s="10"/>
      <c r="N995" s="67"/>
      <c r="O995" s="11"/>
    </row>
    <row r="996" spans="1:15" s="4" customFormat="1" x14ac:dyDescent="0.25">
      <c r="A996" s="6">
        <v>486</v>
      </c>
      <c r="B996" s="5" t="s">
        <v>557</v>
      </c>
      <c r="C996" s="5" t="s">
        <v>17</v>
      </c>
      <c r="D996" s="5" t="s">
        <v>139</v>
      </c>
      <c r="E996" s="5" t="s">
        <v>140</v>
      </c>
      <c r="F996" s="5" t="s">
        <v>558</v>
      </c>
      <c r="G996" s="22">
        <v>21.08</v>
      </c>
      <c r="H996" s="22">
        <v>0</v>
      </c>
      <c r="I996" s="22">
        <v>0</v>
      </c>
      <c r="J996" s="22">
        <v>0</v>
      </c>
      <c r="K996" s="22">
        <v>-0.42</v>
      </c>
      <c r="L996" s="22">
        <v>20.66</v>
      </c>
      <c r="M996" s="10"/>
      <c r="N996" s="67"/>
      <c r="O996" s="11"/>
    </row>
    <row r="997" spans="1:15" x14ac:dyDescent="0.25">
      <c r="A997" s="6">
        <v>487</v>
      </c>
      <c r="B997" s="5" t="s">
        <v>557</v>
      </c>
      <c r="C997" s="5" t="s">
        <v>13</v>
      </c>
      <c r="D997" s="5" t="s">
        <v>139</v>
      </c>
      <c r="E997" s="5" t="s">
        <v>140</v>
      </c>
      <c r="F997" s="5" t="s">
        <v>558</v>
      </c>
      <c r="G997" s="22">
        <v>0</v>
      </c>
      <c r="H997" s="22">
        <v>0</v>
      </c>
      <c r="I997" s="22">
        <v>0</v>
      </c>
      <c r="J997" s="22">
        <v>2.5299999999999998</v>
      </c>
      <c r="K997" s="22">
        <v>0</v>
      </c>
      <c r="L997" s="22">
        <v>2.5299999999999998</v>
      </c>
      <c r="M997" s="10"/>
      <c r="O997" s="11"/>
    </row>
    <row r="998" spans="1:15" x14ac:dyDescent="0.25">
      <c r="A998" s="6"/>
      <c r="B998" s="5"/>
      <c r="C998" s="5"/>
      <c r="D998" s="5" t="s">
        <v>139</v>
      </c>
      <c r="E998" s="5" t="s">
        <v>140</v>
      </c>
      <c r="F998" s="5" t="s">
        <v>558</v>
      </c>
      <c r="G998" s="14">
        <f t="shared" ref="G998:L998" si="252">SUBTOTAL(9,G996:G997)</f>
        <v>21.08</v>
      </c>
      <c r="H998" s="14">
        <f t="shared" si="252"/>
        <v>0</v>
      </c>
      <c r="I998" s="14">
        <f t="shared" si="252"/>
        <v>0</v>
      </c>
      <c r="J998" s="14">
        <f t="shared" si="252"/>
        <v>2.5299999999999998</v>
      </c>
      <c r="K998" s="14">
        <f t="shared" si="252"/>
        <v>-0.42</v>
      </c>
      <c r="L998" s="14">
        <f t="shared" si="252"/>
        <v>23.19</v>
      </c>
      <c r="M998" s="10">
        <v>2364</v>
      </c>
      <c r="N998" s="69"/>
      <c r="O998" s="11">
        <f>O994+1</f>
        <v>246</v>
      </c>
    </row>
    <row r="999" spans="1:15" s="4" customFormat="1" x14ac:dyDescent="0.25">
      <c r="A999" s="10"/>
      <c r="B999"/>
      <c r="C999"/>
      <c r="D999"/>
      <c r="E999"/>
      <c r="F999"/>
      <c r="G999" s="21"/>
      <c r="H999" s="21"/>
      <c r="I999" s="21"/>
      <c r="J999" s="21"/>
      <c r="K999" s="21"/>
      <c r="L999" s="21"/>
      <c r="M999" s="10"/>
      <c r="N999" s="67"/>
      <c r="O999" s="11"/>
    </row>
    <row r="1000" spans="1:15" s="4" customFormat="1" x14ac:dyDescent="0.25">
      <c r="A1000" s="6">
        <v>488</v>
      </c>
      <c r="B1000" s="5" t="s">
        <v>559</v>
      </c>
      <c r="C1000" s="5" t="s">
        <v>17</v>
      </c>
      <c r="D1000" s="5" t="s">
        <v>139</v>
      </c>
      <c r="E1000" s="5" t="s">
        <v>140</v>
      </c>
      <c r="F1000" s="5" t="s">
        <v>560</v>
      </c>
      <c r="G1000" s="22">
        <v>1.1100000000000001</v>
      </c>
      <c r="H1000" s="22">
        <v>0</v>
      </c>
      <c r="I1000" s="22">
        <v>0</v>
      </c>
      <c r="J1000" s="22">
        <v>0</v>
      </c>
      <c r="K1000" s="22">
        <v>-0.02</v>
      </c>
      <c r="L1000" s="22">
        <v>1.0900000000000001</v>
      </c>
      <c r="M1000" s="10"/>
      <c r="N1000" s="67"/>
      <c r="O1000" s="11"/>
    </row>
    <row r="1001" spans="1:15" x14ac:dyDescent="0.25">
      <c r="A1001" s="6">
        <v>489</v>
      </c>
      <c r="B1001" s="5" t="s">
        <v>559</v>
      </c>
      <c r="C1001" s="5" t="s">
        <v>13</v>
      </c>
      <c r="D1001" s="5" t="s">
        <v>139</v>
      </c>
      <c r="E1001" s="5" t="s">
        <v>140</v>
      </c>
      <c r="F1001" s="5" t="s">
        <v>560</v>
      </c>
      <c r="G1001" s="22">
        <v>0</v>
      </c>
      <c r="H1001" s="22">
        <v>0</v>
      </c>
      <c r="I1001" s="22">
        <v>0</v>
      </c>
      <c r="J1001" s="22">
        <v>0.13</v>
      </c>
      <c r="K1001" s="22">
        <v>0</v>
      </c>
      <c r="L1001" s="22">
        <v>0.13</v>
      </c>
      <c r="M1001" s="10"/>
      <c r="O1001" s="11"/>
    </row>
    <row r="1002" spans="1:15" x14ac:dyDescent="0.25">
      <c r="A1002" s="6"/>
      <c r="B1002" s="5"/>
      <c r="C1002" s="5"/>
      <c r="D1002" s="5" t="s">
        <v>139</v>
      </c>
      <c r="E1002" s="5" t="s">
        <v>140</v>
      </c>
      <c r="F1002" s="5" t="s">
        <v>560</v>
      </c>
      <c r="G1002" s="14">
        <f t="shared" ref="G1002:L1002" si="253">SUBTOTAL(9,G1000:G1001)</f>
        <v>1.1100000000000001</v>
      </c>
      <c r="H1002" s="14">
        <f t="shared" si="253"/>
        <v>0</v>
      </c>
      <c r="I1002" s="14">
        <f t="shared" si="253"/>
        <v>0</v>
      </c>
      <c r="J1002" s="14">
        <f t="shared" si="253"/>
        <v>0.13</v>
      </c>
      <c r="K1002" s="14">
        <f t="shared" si="253"/>
        <v>-0.02</v>
      </c>
      <c r="L1002" s="14">
        <f t="shared" si="253"/>
        <v>1.2200000000000002</v>
      </c>
      <c r="M1002" s="10">
        <v>2365</v>
      </c>
      <c r="N1002" s="69"/>
      <c r="O1002" s="11">
        <f>O998+1</f>
        <v>247</v>
      </c>
    </row>
    <row r="1003" spans="1:15" s="4" customFormat="1" x14ac:dyDescent="0.25">
      <c r="A1003" s="10"/>
      <c r="B1003"/>
      <c r="C1003"/>
      <c r="D1003"/>
      <c r="E1003"/>
      <c r="F1003"/>
      <c r="G1003" s="21"/>
      <c r="H1003" s="21"/>
      <c r="I1003" s="21"/>
      <c r="J1003" s="21"/>
      <c r="K1003" s="21"/>
      <c r="L1003" s="21"/>
      <c r="M1003" s="10"/>
      <c r="N1003" s="67"/>
      <c r="O1003" s="11"/>
    </row>
    <row r="1004" spans="1:15" s="4" customFormat="1" x14ac:dyDescent="0.25">
      <c r="A1004" s="6">
        <v>490</v>
      </c>
      <c r="B1004" s="5" t="s">
        <v>18</v>
      </c>
      <c r="C1004" s="5" t="s">
        <v>17</v>
      </c>
      <c r="D1004" s="5" t="s">
        <v>139</v>
      </c>
      <c r="E1004" s="5" t="s">
        <v>140</v>
      </c>
      <c r="F1004" s="5" t="s">
        <v>19</v>
      </c>
      <c r="G1004" s="22">
        <v>0</v>
      </c>
      <c r="H1004" s="22">
        <v>0</v>
      </c>
      <c r="I1004" s="22">
        <v>1.39</v>
      </c>
      <c r="J1004" s="22">
        <v>0</v>
      </c>
      <c r="K1004" s="22">
        <v>-0.16</v>
      </c>
      <c r="L1004" s="22">
        <v>1.23</v>
      </c>
      <c r="M1004" s="10"/>
      <c r="N1004" s="67"/>
      <c r="O1004" s="11"/>
    </row>
    <row r="1005" spans="1:15" x14ac:dyDescent="0.25">
      <c r="A1005" s="6">
        <v>491</v>
      </c>
      <c r="B1005" s="5" t="s">
        <v>18</v>
      </c>
      <c r="C1005" s="5" t="s">
        <v>17</v>
      </c>
      <c r="D1005" s="5" t="s">
        <v>139</v>
      </c>
      <c r="E1005" s="5" t="s">
        <v>140</v>
      </c>
      <c r="F1005" s="5" t="s">
        <v>19</v>
      </c>
      <c r="G1005" s="22">
        <v>0.44</v>
      </c>
      <c r="H1005" s="22">
        <v>0</v>
      </c>
      <c r="I1005" s="22">
        <v>0</v>
      </c>
      <c r="J1005" s="22">
        <v>0</v>
      </c>
      <c r="K1005" s="22">
        <v>-0.39</v>
      </c>
      <c r="L1005" s="22">
        <v>0.05</v>
      </c>
      <c r="M1005" s="10"/>
      <c r="O1005" s="11"/>
    </row>
    <row r="1006" spans="1:15" x14ac:dyDescent="0.25">
      <c r="A1006" s="6"/>
      <c r="B1006" s="5"/>
      <c r="C1006" s="5"/>
      <c r="D1006" s="5" t="s">
        <v>139</v>
      </c>
      <c r="E1006" s="5" t="s">
        <v>140</v>
      </c>
      <c r="F1006" s="5" t="s">
        <v>19</v>
      </c>
      <c r="G1006" s="14">
        <f t="shared" ref="G1006:L1006" si="254">SUBTOTAL(9,G1004:G1005)</f>
        <v>0.44</v>
      </c>
      <c r="H1006" s="14">
        <f t="shared" si="254"/>
        <v>0</v>
      </c>
      <c r="I1006" s="14">
        <f t="shared" si="254"/>
        <v>1.39</v>
      </c>
      <c r="J1006" s="14">
        <f t="shared" si="254"/>
        <v>0</v>
      </c>
      <c r="K1006" s="14">
        <f t="shared" si="254"/>
        <v>-0.55000000000000004</v>
      </c>
      <c r="L1006" s="14">
        <f t="shared" si="254"/>
        <v>1.28</v>
      </c>
      <c r="M1006" s="10">
        <v>2366</v>
      </c>
      <c r="N1006" s="69"/>
      <c r="O1006" s="11">
        <f>O1002+1</f>
        <v>248</v>
      </c>
    </row>
    <row r="1007" spans="1:15" s="4" customFormat="1" x14ac:dyDescent="0.25">
      <c r="A1007" s="10"/>
      <c r="B1007"/>
      <c r="C1007"/>
      <c r="D1007"/>
      <c r="E1007"/>
      <c r="F1007"/>
      <c r="G1007" s="21"/>
      <c r="H1007" s="21"/>
      <c r="I1007" s="21"/>
      <c r="J1007" s="21"/>
      <c r="K1007" s="21"/>
      <c r="L1007" s="21"/>
      <c r="M1007" s="10"/>
      <c r="N1007" s="67"/>
      <c r="O1007" s="11"/>
    </row>
    <row r="1008" spans="1:15" s="4" customFormat="1" x14ac:dyDescent="0.25">
      <c r="A1008" s="6">
        <v>492</v>
      </c>
      <c r="B1008" s="5" t="s">
        <v>550</v>
      </c>
      <c r="C1008" s="5" t="s">
        <v>17</v>
      </c>
      <c r="D1008" s="5" t="s">
        <v>139</v>
      </c>
      <c r="E1008" s="5" t="s">
        <v>140</v>
      </c>
      <c r="F1008" s="5" t="s">
        <v>551</v>
      </c>
      <c r="G1008" s="22">
        <v>576.21</v>
      </c>
      <c r="H1008" s="22">
        <v>0</v>
      </c>
      <c r="I1008" s="22">
        <v>0</v>
      </c>
      <c r="J1008" s="22">
        <v>0</v>
      </c>
      <c r="K1008" s="22">
        <v>-11.52</v>
      </c>
      <c r="L1008" s="22">
        <v>564.69000000000005</v>
      </c>
      <c r="M1008" s="10"/>
      <c r="N1008" s="67"/>
      <c r="O1008" s="11"/>
    </row>
    <row r="1009" spans="1:15" s="4" customFormat="1" x14ac:dyDescent="0.25">
      <c r="A1009" s="6">
        <v>493</v>
      </c>
      <c r="B1009" s="5" t="s">
        <v>550</v>
      </c>
      <c r="C1009" s="5" t="s">
        <v>17</v>
      </c>
      <c r="D1009" s="5" t="s">
        <v>139</v>
      </c>
      <c r="E1009" s="5" t="s">
        <v>140</v>
      </c>
      <c r="F1009" s="5" t="s">
        <v>551</v>
      </c>
      <c r="G1009" s="22">
        <v>0</v>
      </c>
      <c r="H1009" s="22">
        <v>0</v>
      </c>
      <c r="I1009" s="22">
        <v>3632.12</v>
      </c>
      <c r="J1009" s="22">
        <v>0</v>
      </c>
      <c r="K1009" s="22">
        <v>-72.64</v>
      </c>
      <c r="L1009" s="22">
        <v>3559.48</v>
      </c>
      <c r="M1009" s="10"/>
      <c r="N1009" s="67"/>
      <c r="O1009" s="11"/>
    </row>
    <row r="1010" spans="1:15" s="4" customFormat="1" x14ac:dyDescent="0.25">
      <c r="A1010" s="6">
        <v>494</v>
      </c>
      <c r="B1010" s="5" t="s">
        <v>550</v>
      </c>
      <c r="C1010" s="5" t="s">
        <v>17</v>
      </c>
      <c r="D1010" s="5" t="s">
        <v>139</v>
      </c>
      <c r="E1010" s="5" t="s">
        <v>140</v>
      </c>
      <c r="F1010" s="5" t="s">
        <v>551</v>
      </c>
      <c r="G1010" s="22">
        <v>176.74</v>
      </c>
      <c r="H1010" s="22">
        <v>0</v>
      </c>
      <c r="I1010" s="22">
        <v>0</v>
      </c>
      <c r="J1010" s="22">
        <v>0</v>
      </c>
      <c r="K1010" s="22">
        <v>-3.53</v>
      </c>
      <c r="L1010" s="22">
        <v>173.21</v>
      </c>
      <c r="M1010" s="10"/>
      <c r="N1010" s="67"/>
      <c r="O1010" s="11"/>
    </row>
    <row r="1011" spans="1:15" x14ac:dyDescent="0.25">
      <c r="A1011" s="6">
        <v>495</v>
      </c>
      <c r="B1011" s="5" t="s">
        <v>550</v>
      </c>
      <c r="C1011" s="5" t="s">
        <v>13</v>
      </c>
      <c r="D1011" s="5" t="s">
        <v>139</v>
      </c>
      <c r="E1011" s="5" t="s">
        <v>140</v>
      </c>
      <c r="F1011" s="5" t="s">
        <v>551</v>
      </c>
      <c r="G1011" s="22">
        <v>0</v>
      </c>
      <c r="H1011" s="22">
        <v>0</v>
      </c>
      <c r="I1011" s="22">
        <v>0</v>
      </c>
      <c r="J1011" s="22">
        <v>69.150000000000006</v>
      </c>
      <c r="K1011" s="22">
        <v>0</v>
      </c>
      <c r="L1011" s="22">
        <v>69.150000000000006</v>
      </c>
      <c r="M1011" s="10"/>
      <c r="O1011" s="11"/>
    </row>
    <row r="1012" spans="1:15" x14ac:dyDescent="0.25">
      <c r="A1012" s="6">
        <v>496</v>
      </c>
      <c r="B1012" s="5" t="s">
        <v>550</v>
      </c>
      <c r="C1012" s="5" t="s">
        <v>13</v>
      </c>
      <c r="D1012" s="5" t="s">
        <v>139</v>
      </c>
      <c r="E1012" s="5" t="s">
        <v>140</v>
      </c>
      <c r="F1012" s="5" t="s">
        <v>551</v>
      </c>
      <c r="G1012" s="22">
        <v>0</v>
      </c>
      <c r="H1012" s="22">
        <v>0</v>
      </c>
      <c r="I1012" s="22">
        <v>0</v>
      </c>
      <c r="J1012" s="22">
        <v>21.21</v>
      </c>
      <c r="K1012" s="22">
        <v>0</v>
      </c>
      <c r="L1012" s="22">
        <v>21.21</v>
      </c>
      <c r="M1012" s="10"/>
      <c r="O1012" s="11"/>
    </row>
    <row r="1013" spans="1:15" s="4" customFormat="1" x14ac:dyDescent="0.25">
      <c r="A1013" s="6"/>
      <c r="B1013" s="5"/>
      <c r="C1013" s="5"/>
      <c r="D1013" s="5" t="s">
        <v>139</v>
      </c>
      <c r="E1013" s="5" t="s">
        <v>140</v>
      </c>
      <c r="F1013" s="5" t="s">
        <v>551</v>
      </c>
      <c r="G1013" s="14">
        <f t="shared" ref="G1013:L1013" si="255">SUBTOTAL(9,G1008:G1012)</f>
        <v>752.95</v>
      </c>
      <c r="H1013" s="14">
        <f t="shared" si="255"/>
        <v>0</v>
      </c>
      <c r="I1013" s="14">
        <f t="shared" si="255"/>
        <v>3632.12</v>
      </c>
      <c r="J1013" s="14">
        <f t="shared" si="255"/>
        <v>90.360000000000014</v>
      </c>
      <c r="K1013" s="14">
        <f t="shared" si="255"/>
        <v>-87.69</v>
      </c>
      <c r="L1013" s="14">
        <f t="shared" si="255"/>
        <v>4387.74</v>
      </c>
      <c r="M1013" s="10">
        <v>2367</v>
      </c>
      <c r="N1013" s="69"/>
      <c r="O1013" s="11">
        <f>O1006+1</f>
        <v>249</v>
      </c>
    </row>
    <row r="1014" spans="1:15" s="4" customFormat="1" x14ac:dyDescent="0.25">
      <c r="A1014" s="10"/>
      <c r="B1014"/>
      <c r="C1014"/>
      <c r="D1014"/>
      <c r="E1014"/>
      <c r="F1014"/>
      <c r="G1014" s="21"/>
      <c r="H1014" s="21"/>
      <c r="I1014" s="21"/>
      <c r="J1014" s="21"/>
      <c r="K1014" s="21"/>
      <c r="L1014" s="21"/>
      <c r="M1014" s="10"/>
      <c r="N1014" s="67"/>
      <c r="O1014" s="11"/>
    </row>
    <row r="1015" spans="1:15" s="4" customFormat="1" x14ac:dyDescent="0.25">
      <c r="A1015" s="6">
        <v>497</v>
      </c>
      <c r="B1015" s="5" t="s">
        <v>550</v>
      </c>
      <c r="C1015" s="5" t="s">
        <v>17</v>
      </c>
      <c r="D1015" s="5" t="s">
        <v>139</v>
      </c>
      <c r="E1015" s="5" t="s">
        <v>140</v>
      </c>
      <c r="F1015" s="5" t="s">
        <v>552</v>
      </c>
      <c r="G1015" s="22">
        <v>0.04</v>
      </c>
      <c r="H1015" s="22">
        <v>0</v>
      </c>
      <c r="I1015" s="22">
        <v>0</v>
      </c>
      <c r="J1015" s="22">
        <v>0</v>
      </c>
      <c r="K1015" s="22">
        <v>0</v>
      </c>
      <c r="L1015" s="22">
        <v>0.04</v>
      </c>
      <c r="M1015" s="10"/>
      <c r="N1015" s="67"/>
      <c r="O1015" s="11"/>
    </row>
    <row r="1016" spans="1:15" x14ac:dyDescent="0.25">
      <c r="A1016" s="6">
        <v>498</v>
      </c>
      <c r="B1016" s="5" t="s">
        <v>550</v>
      </c>
      <c r="C1016" s="5" t="s">
        <v>17</v>
      </c>
      <c r="D1016" s="5" t="s">
        <v>139</v>
      </c>
      <c r="E1016" s="5" t="s">
        <v>140</v>
      </c>
      <c r="F1016" s="5" t="s">
        <v>552</v>
      </c>
      <c r="G1016" s="22">
        <v>0</v>
      </c>
      <c r="H1016" s="22">
        <v>0</v>
      </c>
      <c r="I1016" s="22">
        <v>0.26</v>
      </c>
      <c r="J1016" s="22">
        <v>0</v>
      </c>
      <c r="K1016" s="22">
        <v>-0.01</v>
      </c>
      <c r="L1016" s="22">
        <v>0.25</v>
      </c>
      <c r="M1016" s="10"/>
      <c r="O1016" s="11"/>
    </row>
    <row r="1017" spans="1:15" x14ac:dyDescent="0.25">
      <c r="A1017" s="6">
        <v>499</v>
      </c>
      <c r="B1017" s="5" t="s">
        <v>550</v>
      </c>
      <c r="C1017" s="5" t="s">
        <v>17</v>
      </c>
      <c r="D1017" s="5" t="s">
        <v>139</v>
      </c>
      <c r="E1017" s="5" t="s">
        <v>140</v>
      </c>
      <c r="F1017" s="5" t="s">
        <v>552</v>
      </c>
      <c r="G1017" s="22">
        <v>0.01</v>
      </c>
      <c r="H1017" s="22">
        <v>0</v>
      </c>
      <c r="I1017" s="22">
        <v>0</v>
      </c>
      <c r="J1017" s="22">
        <v>0</v>
      </c>
      <c r="K1017" s="22">
        <v>0</v>
      </c>
      <c r="L1017" s="22">
        <v>0.01</v>
      </c>
      <c r="M1017" s="10"/>
      <c r="O1017" s="11"/>
    </row>
    <row r="1018" spans="1:15" s="4" customFormat="1" x14ac:dyDescent="0.25">
      <c r="A1018" s="6">
        <v>500</v>
      </c>
      <c r="B1018" s="5" t="s">
        <v>550</v>
      </c>
      <c r="C1018" s="5" t="s">
        <v>13</v>
      </c>
      <c r="D1018" s="5" t="s">
        <v>139</v>
      </c>
      <c r="E1018" s="5" t="s">
        <v>140</v>
      </c>
      <c r="F1018" s="5" t="s">
        <v>552</v>
      </c>
      <c r="G1018" s="22">
        <v>0</v>
      </c>
      <c r="H1018" s="22">
        <v>0</v>
      </c>
      <c r="I1018" s="22">
        <v>0</v>
      </c>
      <c r="J1018" s="22">
        <v>0</v>
      </c>
      <c r="K1018" s="22">
        <v>0</v>
      </c>
      <c r="L1018" s="22">
        <v>0</v>
      </c>
      <c r="M1018" s="10"/>
      <c r="N1018" s="67"/>
      <c r="O1018" s="11"/>
    </row>
    <row r="1019" spans="1:15" x14ac:dyDescent="0.25">
      <c r="A1019" s="6">
        <v>501</v>
      </c>
      <c r="B1019" s="5" t="s">
        <v>550</v>
      </c>
      <c r="C1019" s="5" t="s">
        <v>13</v>
      </c>
      <c r="D1019" s="5" t="s">
        <v>139</v>
      </c>
      <c r="E1019" s="5" t="s">
        <v>140</v>
      </c>
      <c r="F1019" s="5" t="s">
        <v>552</v>
      </c>
      <c r="G1019" s="22">
        <v>0</v>
      </c>
      <c r="H1019" s="22">
        <v>0</v>
      </c>
      <c r="I1019" s="22">
        <v>0</v>
      </c>
      <c r="J1019" s="22">
        <v>0</v>
      </c>
      <c r="K1019" s="22">
        <v>0</v>
      </c>
      <c r="L1019" s="22">
        <v>0</v>
      </c>
      <c r="M1019" s="10"/>
      <c r="O1019" s="11"/>
    </row>
    <row r="1020" spans="1:15" x14ac:dyDescent="0.25">
      <c r="A1020" s="6"/>
      <c r="B1020" s="5"/>
      <c r="C1020" s="5"/>
      <c r="D1020" s="5" t="s">
        <v>139</v>
      </c>
      <c r="E1020" s="5" t="s">
        <v>140</v>
      </c>
      <c r="F1020" s="5" t="s">
        <v>552</v>
      </c>
      <c r="G1020" s="14">
        <f t="shared" ref="G1020:L1020" si="256">SUBTOTAL(9,G1015:G1019)</f>
        <v>0.05</v>
      </c>
      <c r="H1020" s="14">
        <f t="shared" si="256"/>
        <v>0</v>
      </c>
      <c r="I1020" s="14">
        <f t="shared" si="256"/>
        <v>0.26</v>
      </c>
      <c r="J1020" s="14">
        <f t="shared" si="256"/>
        <v>0</v>
      </c>
      <c r="K1020" s="14">
        <f t="shared" si="256"/>
        <v>-0.01</v>
      </c>
      <c r="L1020" s="14">
        <f t="shared" si="256"/>
        <v>0.3</v>
      </c>
      <c r="M1020" s="10">
        <v>2368</v>
      </c>
      <c r="N1020" s="69"/>
      <c r="O1020" s="11">
        <f>O1013+1</f>
        <v>250</v>
      </c>
    </row>
    <row r="1021" spans="1:15" s="4" customFormat="1" x14ac:dyDescent="0.25">
      <c r="A1021" s="10"/>
      <c r="B1021"/>
      <c r="C1021"/>
      <c r="D1021"/>
      <c r="E1021"/>
      <c r="F1021"/>
      <c r="G1021" s="21"/>
      <c r="H1021" s="21"/>
      <c r="I1021" s="21"/>
      <c r="J1021" s="21"/>
      <c r="K1021" s="21"/>
      <c r="L1021" s="21"/>
      <c r="M1021" s="10"/>
      <c r="N1021" s="67"/>
      <c r="O1021" s="11"/>
    </row>
    <row r="1022" spans="1:15" x14ac:dyDescent="0.25">
      <c r="A1022" s="6">
        <v>502</v>
      </c>
      <c r="B1022" s="5" t="s">
        <v>557</v>
      </c>
      <c r="C1022" s="5" t="s">
        <v>17</v>
      </c>
      <c r="D1022" s="5" t="s">
        <v>141</v>
      </c>
      <c r="E1022" s="5" t="s">
        <v>142</v>
      </c>
      <c r="F1022" s="5" t="s">
        <v>558</v>
      </c>
      <c r="G1022" s="22">
        <v>4.88</v>
      </c>
      <c r="H1022" s="22">
        <v>0</v>
      </c>
      <c r="I1022" s="22">
        <v>0</v>
      </c>
      <c r="J1022" s="22">
        <v>0</v>
      </c>
      <c r="K1022" s="22">
        <v>-0.1</v>
      </c>
      <c r="L1022" s="22">
        <v>4.78</v>
      </c>
      <c r="M1022" s="10"/>
      <c r="O1022" s="11"/>
    </row>
    <row r="1023" spans="1:15" x14ac:dyDescent="0.25">
      <c r="A1023" s="6">
        <v>503</v>
      </c>
      <c r="B1023" s="5" t="s">
        <v>557</v>
      </c>
      <c r="C1023" s="5" t="s">
        <v>13</v>
      </c>
      <c r="D1023" s="5" t="s">
        <v>141</v>
      </c>
      <c r="E1023" s="5" t="s">
        <v>142</v>
      </c>
      <c r="F1023" s="5" t="s">
        <v>558</v>
      </c>
      <c r="G1023" s="22">
        <v>0</v>
      </c>
      <c r="H1023" s="22">
        <v>0</v>
      </c>
      <c r="I1023" s="22">
        <v>0</v>
      </c>
      <c r="J1023" s="22">
        <v>0.59</v>
      </c>
      <c r="K1023" s="22">
        <v>0</v>
      </c>
      <c r="L1023" s="22">
        <v>0.59</v>
      </c>
      <c r="M1023" s="10"/>
      <c r="O1023" s="11"/>
    </row>
    <row r="1024" spans="1:15" s="4" customFormat="1" x14ac:dyDescent="0.25">
      <c r="A1024" s="6"/>
      <c r="B1024" s="5"/>
      <c r="C1024" s="5"/>
      <c r="D1024" s="5" t="s">
        <v>141</v>
      </c>
      <c r="E1024" s="5" t="s">
        <v>142</v>
      </c>
      <c r="F1024" s="5" t="s">
        <v>558</v>
      </c>
      <c r="G1024" s="14">
        <f t="shared" ref="G1024:L1024" si="257">SUBTOTAL(9,G1022:G1023)</f>
        <v>4.88</v>
      </c>
      <c r="H1024" s="14">
        <f t="shared" si="257"/>
        <v>0</v>
      </c>
      <c r="I1024" s="14">
        <f t="shared" si="257"/>
        <v>0</v>
      </c>
      <c r="J1024" s="14">
        <f t="shared" si="257"/>
        <v>0.59</v>
      </c>
      <c r="K1024" s="14">
        <f t="shared" si="257"/>
        <v>-0.1</v>
      </c>
      <c r="L1024" s="14">
        <f t="shared" si="257"/>
        <v>5.37</v>
      </c>
      <c r="M1024" s="10">
        <v>2369</v>
      </c>
      <c r="N1024" s="69"/>
      <c r="O1024" s="11">
        <f>O1020+1</f>
        <v>251</v>
      </c>
    </row>
    <row r="1025" spans="1:15" s="4" customFormat="1" x14ac:dyDescent="0.25">
      <c r="A1025" s="10"/>
      <c r="B1025"/>
      <c r="C1025"/>
      <c r="D1025"/>
      <c r="E1025"/>
      <c r="F1025"/>
      <c r="G1025" s="21"/>
      <c r="H1025" s="21"/>
      <c r="I1025" s="21"/>
      <c r="J1025" s="21"/>
      <c r="K1025" s="21"/>
      <c r="L1025" s="21"/>
      <c r="M1025" s="10"/>
      <c r="N1025" s="67"/>
      <c r="O1025" s="11"/>
    </row>
    <row r="1026" spans="1:15" x14ac:dyDescent="0.25">
      <c r="A1026" s="6">
        <v>504</v>
      </c>
      <c r="B1026" s="5" t="s">
        <v>18</v>
      </c>
      <c r="C1026" s="5" t="s">
        <v>17</v>
      </c>
      <c r="D1026" s="5" t="s">
        <v>141</v>
      </c>
      <c r="E1026" s="5" t="s">
        <v>142</v>
      </c>
      <c r="F1026" s="5" t="s">
        <v>19</v>
      </c>
      <c r="G1026" s="22">
        <v>0.05</v>
      </c>
      <c r="H1026" s="22">
        <v>0</v>
      </c>
      <c r="I1026" s="22">
        <v>0</v>
      </c>
      <c r="J1026" s="22">
        <v>0</v>
      </c>
      <c r="K1026" s="22">
        <v>-0.04</v>
      </c>
      <c r="L1026" s="22">
        <v>0.01</v>
      </c>
      <c r="M1026" s="10"/>
      <c r="O1026" s="11"/>
    </row>
    <row r="1027" spans="1:15" x14ac:dyDescent="0.25">
      <c r="A1027" s="6"/>
      <c r="B1027" s="5"/>
      <c r="C1027" s="5"/>
      <c r="D1027" s="5" t="s">
        <v>141</v>
      </c>
      <c r="E1027" s="5" t="s">
        <v>142</v>
      </c>
      <c r="F1027" s="5" t="s">
        <v>19</v>
      </c>
      <c r="G1027" s="14">
        <f t="shared" ref="G1027:L1027" si="258">SUBTOTAL(9,G1026:G1026)</f>
        <v>0.05</v>
      </c>
      <c r="H1027" s="14">
        <f t="shared" si="258"/>
        <v>0</v>
      </c>
      <c r="I1027" s="14">
        <f t="shared" si="258"/>
        <v>0</v>
      </c>
      <c r="J1027" s="14">
        <f t="shared" si="258"/>
        <v>0</v>
      </c>
      <c r="K1027" s="14">
        <f t="shared" si="258"/>
        <v>-0.04</v>
      </c>
      <c r="L1027" s="14">
        <f t="shared" si="258"/>
        <v>0.01</v>
      </c>
      <c r="M1027" s="10">
        <v>2370</v>
      </c>
      <c r="N1027" s="69"/>
      <c r="O1027" s="11">
        <f>O1024+1</f>
        <v>252</v>
      </c>
    </row>
    <row r="1028" spans="1:15" s="4" customFormat="1" x14ac:dyDescent="0.25">
      <c r="A1028" s="10"/>
      <c r="B1028"/>
      <c r="C1028"/>
      <c r="D1028"/>
      <c r="E1028"/>
      <c r="F1028"/>
      <c r="G1028" s="21"/>
      <c r="H1028" s="21"/>
      <c r="I1028" s="21"/>
      <c r="J1028" s="21"/>
      <c r="K1028" s="21"/>
      <c r="L1028" s="21"/>
      <c r="M1028" s="10"/>
      <c r="N1028" s="67"/>
      <c r="O1028" s="11"/>
    </row>
    <row r="1029" spans="1:15" s="4" customFormat="1" x14ac:dyDescent="0.25">
      <c r="A1029" s="6">
        <v>505</v>
      </c>
      <c r="B1029" s="5" t="s">
        <v>550</v>
      </c>
      <c r="C1029" s="5" t="s">
        <v>17</v>
      </c>
      <c r="D1029" s="5" t="s">
        <v>141</v>
      </c>
      <c r="E1029" s="5" t="s">
        <v>142</v>
      </c>
      <c r="F1029" s="5" t="s">
        <v>551</v>
      </c>
      <c r="G1029" s="22">
        <v>791.08</v>
      </c>
      <c r="H1029" s="22">
        <v>0</v>
      </c>
      <c r="I1029" s="22">
        <v>0</v>
      </c>
      <c r="J1029" s="22">
        <v>0</v>
      </c>
      <c r="K1029" s="22">
        <v>-15.82</v>
      </c>
      <c r="L1029" s="22">
        <v>775.26</v>
      </c>
      <c r="M1029" s="10"/>
      <c r="N1029" s="67"/>
      <c r="O1029" s="11"/>
    </row>
    <row r="1030" spans="1:15" x14ac:dyDescent="0.25">
      <c r="A1030" s="6">
        <v>506</v>
      </c>
      <c r="B1030" s="5" t="s">
        <v>550</v>
      </c>
      <c r="C1030" s="5" t="s">
        <v>13</v>
      </c>
      <c r="D1030" s="5" t="s">
        <v>141</v>
      </c>
      <c r="E1030" s="5" t="s">
        <v>142</v>
      </c>
      <c r="F1030" s="5" t="s">
        <v>551</v>
      </c>
      <c r="G1030" s="22">
        <v>0</v>
      </c>
      <c r="H1030" s="22">
        <v>0</v>
      </c>
      <c r="I1030" s="22">
        <v>0</v>
      </c>
      <c r="J1030" s="22">
        <v>94.93</v>
      </c>
      <c r="K1030" s="22">
        <v>0</v>
      </c>
      <c r="L1030" s="22">
        <v>94.93</v>
      </c>
      <c r="M1030" s="10"/>
      <c r="O1030" s="11"/>
    </row>
    <row r="1031" spans="1:15" x14ac:dyDescent="0.25">
      <c r="A1031" s="6"/>
      <c r="B1031" s="5"/>
      <c r="C1031" s="5"/>
      <c r="D1031" s="5" t="s">
        <v>141</v>
      </c>
      <c r="E1031" s="5" t="s">
        <v>142</v>
      </c>
      <c r="F1031" s="5" t="s">
        <v>551</v>
      </c>
      <c r="G1031" s="14">
        <f t="shared" ref="G1031:L1031" si="259">SUBTOTAL(9,G1029:G1030)</f>
        <v>791.08</v>
      </c>
      <c r="H1031" s="14">
        <f t="shared" si="259"/>
        <v>0</v>
      </c>
      <c r="I1031" s="14">
        <f t="shared" si="259"/>
        <v>0</v>
      </c>
      <c r="J1031" s="14">
        <f t="shared" si="259"/>
        <v>94.93</v>
      </c>
      <c r="K1031" s="14">
        <f t="shared" si="259"/>
        <v>-15.82</v>
      </c>
      <c r="L1031" s="14">
        <f t="shared" si="259"/>
        <v>870.19</v>
      </c>
      <c r="M1031" s="10">
        <v>2371</v>
      </c>
      <c r="N1031" s="69"/>
      <c r="O1031" s="11">
        <f>O1027+1</f>
        <v>253</v>
      </c>
    </row>
    <row r="1032" spans="1:15" s="4" customFormat="1" x14ac:dyDescent="0.25">
      <c r="A1032" s="10"/>
      <c r="B1032"/>
      <c r="C1032"/>
      <c r="D1032"/>
      <c r="E1032"/>
      <c r="F1032"/>
      <c r="G1032" s="21"/>
      <c r="H1032" s="21"/>
      <c r="I1032" s="21"/>
      <c r="J1032" s="21"/>
      <c r="K1032" s="21"/>
      <c r="L1032" s="21"/>
      <c r="M1032" s="10"/>
      <c r="N1032" s="67"/>
      <c r="O1032" s="11"/>
    </row>
    <row r="1033" spans="1:15" s="4" customFormat="1" x14ac:dyDescent="0.25">
      <c r="A1033" s="6">
        <v>507</v>
      </c>
      <c r="B1033" s="5" t="s">
        <v>550</v>
      </c>
      <c r="C1033" s="5" t="s">
        <v>17</v>
      </c>
      <c r="D1033" s="5" t="s">
        <v>141</v>
      </c>
      <c r="E1033" s="5" t="s">
        <v>142</v>
      </c>
      <c r="F1033" s="5" t="s">
        <v>552</v>
      </c>
      <c r="G1033" s="22">
        <v>0.06</v>
      </c>
      <c r="H1033" s="22">
        <v>0</v>
      </c>
      <c r="I1033" s="22">
        <v>0</v>
      </c>
      <c r="J1033" s="22">
        <v>0</v>
      </c>
      <c r="K1033" s="22">
        <v>0</v>
      </c>
      <c r="L1033" s="22">
        <v>0.06</v>
      </c>
      <c r="M1033" s="10"/>
      <c r="N1033" s="67"/>
      <c r="O1033" s="11"/>
    </row>
    <row r="1034" spans="1:15" x14ac:dyDescent="0.25">
      <c r="A1034" s="6">
        <v>508</v>
      </c>
      <c r="B1034" s="5" t="s">
        <v>550</v>
      </c>
      <c r="C1034" s="5" t="s">
        <v>13</v>
      </c>
      <c r="D1034" s="5" t="s">
        <v>141</v>
      </c>
      <c r="E1034" s="5" t="s">
        <v>142</v>
      </c>
      <c r="F1034" s="5" t="s">
        <v>552</v>
      </c>
      <c r="G1034" s="22">
        <v>0</v>
      </c>
      <c r="H1034" s="22">
        <v>0</v>
      </c>
      <c r="I1034" s="22">
        <v>0</v>
      </c>
      <c r="J1034" s="22">
        <v>0.01</v>
      </c>
      <c r="K1034" s="22">
        <v>0</v>
      </c>
      <c r="L1034" s="22">
        <v>0.01</v>
      </c>
      <c r="M1034" s="10"/>
      <c r="O1034" s="11"/>
    </row>
    <row r="1035" spans="1:15" x14ac:dyDescent="0.25">
      <c r="A1035" s="6"/>
      <c r="B1035" s="5"/>
      <c r="C1035" s="5"/>
      <c r="D1035" s="5" t="s">
        <v>141</v>
      </c>
      <c r="E1035" s="5" t="s">
        <v>142</v>
      </c>
      <c r="F1035" s="5" t="s">
        <v>552</v>
      </c>
      <c r="G1035" s="14">
        <f t="shared" ref="G1035:L1035" si="260">SUBTOTAL(9,G1033:G1034)</f>
        <v>0.06</v>
      </c>
      <c r="H1035" s="14">
        <f t="shared" si="260"/>
        <v>0</v>
      </c>
      <c r="I1035" s="14">
        <f t="shared" si="260"/>
        <v>0</v>
      </c>
      <c r="J1035" s="14">
        <f t="shared" si="260"/>
        <v>0.01</v>
      </c>
      <c r="K1035" s="14">
        <f t="shared" si="260"/>
        <v>0</v>
      </c>
      <c r="L1035" s="14">
        <f t="shared" si="260"/>
        <v>6.9999999999999993E-2</v>
      </c>
      <c r="M1035" s="10">
        <v>2372</v>
      </c>
      <c r="N1035" s="69"/>
      <c r="O1035" s="11">
        <f>O1031+1</f>
        <v>254</v>
      </c>
    </row>
    <row r="1036" spans="1:15" s="4" customFormat="1" x14ac:dyDescent="0.25">
      <c r="A1036" s="10"/>
      <c r="B1036"/>
      <c r="C1036"/>
      <c r="D1036"/>
      <c r="E1036"/>
      <c r="F1036"/>
      <c r="G1036" s="21"/>
      <c r="H1036" s="21"/>
      <c r="I1036" s="21"/>
      <c r="J1036" s="21"/>
      <c r="K1036" s="21"/>
      <c r="L1036" s="21"/>
      <c r="M1036" s="10"/>
      <c r="N1036" s="67"/>
      <c r="O1036" s="11"/>
    </row>
    <row r="1037" spans="1:15" x14ac:dyDescent="0.25">
      <c r="A1037" s="6">
        <v>509</v>
      </c>
      <c r="B1037" s="5" t="s">
        <v>18</v>
      </c>
      <c r="C1037" s="5" t="s">
        <v>17</v>
      </c>
      <c r="D1037" s="5" t="s">
        <v>143</v>
      </c>
      <c r="E1037" s="5" t="s">
        <v>144</v>
      </c>
      <c r="F1037" s="5" t="s">
        <v>19</v>
      </c>
      <c r="G1037" s="22">
        <v>5.35</v>
      </c>
      <c r="H1037" s="22">
        <v>0</v>
      </c>
      <c r="I1037" s="22">
        <v>0</v>
      </c>
      <c r="J1037" s="22">
        <v>0</v>
      </c>
      <c r="K1037" s="22">
        <v>-4.74</v>
      </c>
      <c r="L1037" s="22">
        <v>0.61</v>
      </c>
      <c r="M1037" s="10"/>
      <c r="O1037" s="11"/>
    </row>
    <row r="1038" spans="1:15" x14ac:dyDescent="0.25">
      <c r="A1038" s="6"/>
      <c r="B1038" s="5"/>
      <c r="C1038" s="5"/>
      <c r="D1038" s="5" t="s">
        <v>143</v>
      </c>
      <c r="E1038" s="5" t="s">
        <v>144</v>
      </c>
      <c r="F1038" s="5" t="s">
        <v>19</v>
      </c>
      <c r="G1038" s="14">
        <f t="shared" ref="G1038:L1038" si="261">SUBTOTAL(9,G1037:G1037)</f>
        <v>5.35</v>
      </c>
      <c r="H1038" s="14">
        <f t="shared" si="261"/>
        <v>0</v>
      </c>
      <c r="I1038" s="14">
        <f t="shared" si="261"/>
        <v>0</v>
      </c>
      <c r="J1038" s="14">
        <f t="shared" si="261"/>
        <v>0</v>
      </c>
      <c r="K1038" s="14">
        <f t="shared" si="261"/>
        <v>-4.74</v>
      </c>
      <c r="L1038" s="14">
        <f t="shared" si="261"/>
        <v>0.61</v>
      </c>
      <c r="M1038" s="10">
        <v>2373</v>
      </c>
      <c r="N1038" s="69"/>
      <c r="O1038" s="11">
        <f>O1035+1</f>
        <v>255</v>
      </c>
    </row>
    <row r="1039" spans="1:15" s="4" customFormat="1" x14ac:dyDescent="0.25">
      <c r="A1039" s="10"/>
      <c r="B1039"/>
      <c r="C1039"/>
      <c r="D1039"/>
      <c r="E1039"/>
      <c r="F1039"/>
      <c r="G1039" s="21"/>
      <c r="H1039" s="21"/>
      <c r="I1039" s="21"/>
      <c r="J1039" s="21"/>
      <c r="K1039" s="21"/>
      <c r="L1039" s="21"/>
      <c r="M1039" s="10"/>
      <c r="N1039" s="67"/>
      <c r="O1039" s="11"/>
    </row>
    <row r="1040" spans="1:15" x14ac:dyDescent="0.25">
      <c r="A1040" s="6">
        <v>510</v>
      </c>
      <c r="B1040" s="5" t="s">
        <v>550</v>
      </c>
      <c r="C1040" s="5" t="s">
        <v>17</v>
      </c>
      <c r="D1040" s="5" t="s">
        <v>143</v>
      </c>
      <c r="E1040" s="5" t="s">
        <v>144</v>
      </c>
      <c r="F1040" s="5" t="s">
        <v>551</v>
      </c>
      <c r="G1040" s="22">
        <v>139328.16</v>
      </c>
      <c r="H1040" s="22">
        <v>0</v>
      </c>
      <c r="I1040" s="22">
        <v>0</v>
      </c>
      <c r="J1040" s="22">
        <v>0</v>
      </c>
      <c r="K1040" s="22">
        <v>-2786.56</v>
      </c>
      <c r="L1040" s="22">
        <v>136541.6</v>
      </c>
      <c r="M1040" s="10"/>
      <c r="O1040" s="11"/>
    </row>
    <row r="1041" spans="1:15" x14ac:dyDescent="0.25">
      <c r="A1041" s="6">
        <v>511</v>
      </c>
      <c r="B1041" s="5" t="s">
        <v>550</v>
      </c>
      <c r="C1041" s="5" t="s">
        <v>13</v>
      </c>
      <c r="D1041" s="5" t="s">
        <v>143</v>
      </c>
      <c r="E1041" s="5" t="s">
        <v>144</v>
      </c>
      <c r="F1041" s="5" t="s">
        <v>551</v>
      </c>
      <c r="G1041" s="22">
        <v>0</v>
      </c>
      <c r="H1041" s="22">
        <v>0</v>
      </c>
      <c r="I1041" s="22">
        <v>0</v>
      </c>
      <c r="J1041" s="22">
        <v>16719.38</v>
      </c>
      <c r="K1041" s="22">
        <v>0</v>
      </c>
      <c r="L1041" s="22">
        <v>16719.38</v>
      </c>
      <c r="M1041" s="10"/>
      <c r="O1041" s="11"/>
    </row>
    <row r="1042" spans="1:15" s="4" customFormat="1" x14ac:dyDescent="0.25">
      <c r="A1042" s="6"/>
      <c r="B1042" s="5"/>
      <c r="C1042" s="5"/>
      <c r="D1042" s="5" t="s">
        <v>143</v>
      </c>
      <c r="E1042" s="5" t="s">
        <v>144</v>
      </c>
      <c r="F1042" s="5" t="s">
        <v>551</v>
      </c>
      <c r="G1042" s="14">
        <f t="shared" ref="G1042:L1042" si="262">SUBTOTAL(9,G1040:G1041)</f>
        <v>139328.16</v>
      </c>
      <c r="H1042" s="14">
        <f t="shared" si="262"/>
        <v>0</v>
      </c>
      <c r="I1042" s="14">
        <f t="shared" si="262"/>
        <v>0</v>
      </c>
      <c r="J1042" s="14">
        <f t="shared" si="262"/>
        <v>16719.38</v>
      </c>
      <c r="K1042" s="14">
        <f t="shared" si="262"/>
        <v>-2786.56</v>
      </c>
      <c r="L1042" s="14">
        <f t="shared" si="262"/>
        <v>153260.98000000001</v>
      </c>
      <c r="M1042" s="10">
        <v>2374</v>
      </c>
      <c r="N1042" s="69"/>
      <c r="O1042" s="11">
        <f>O1038+1</f>
        <v>256</v>
      </c>
    </row>
    <row r="1043" spans="1:15" s="4" customFormat="1" x14ac:dyDescent="0.25">
      <c r="A1043" s="10"/>
      <c r="B1043"/>
      <c r="C1043"/>
      <c r="D1043"/>
      <c r="E1043"/>
      <c r="F1043"/>
      <c r="G1043" s="21"/>
      <c r="H1043" s="21"/>
      <c r="I1043" s="21"/>
      <c r="J1043" s="21"/>
      <c r="K1043" s="21"/>
      <c r="L1043" s="21"/>
      <c r="M1043" s="10"/>
      <c r="N1043" s="67"/>
      <c r="O1043" s="11"/>
    </row>
    <row r="1044" spans="1:15" s="4" customFormat="1" x14ac:dyDescent="0.25">
      <c r="A1044" s="6">
        <v>512</v>
      </c>
      <c r="B1044" s="5" t="s">
        <v>550</v>
      </c>
      <c r="C1044" s="5" t="s">
        <v>17</v>
      </c>
      <c r="D1044" s="5" t="s">
        <v>143</v>
      </c>
      <c r="E1044" s="5" t="s">
        <v>144</v>
      </c>
      <c r="F1044" s="5" t="s">
        <v>552</v>
      </c>
      <c r="G1044" s="22">
        <v>10.02</v>
      </c>
      <c r="H1044" s="22">
        <v>0</v>
      </c>
      <c r="I1044" s="22">
        <v>0</v>
      </c>
      <c r="J1044" s="22">
        <v>0</v>
      </c>
      <c r="K1044" s="22">
        <v>-0.2</v>
      </c>
      <c r="L1044" s="22">
        <v>9.82</v>
      </c>
      <c r="M1044" s="10"/>
      <c r="N1044" s="67"/>
      <c r="O1044" s="11"/>
    </row>
    <row r="1045" spans="1:15" x14ac:dyDescent="0.25">
      <c r="A1045" s="6">
        <v>513</v>
      </c>
      <c r="B1045" s="5" t="s">
        <v>550</v>
      </c>
      <c r="C1045" s="5" t="s">
        <v>13</v>
      </c>
      <c r="D1045" s="5" t="s">
        <v>143</v>
      </c>
      <c r="E1045" s="5" t="s">
        <v>144</v>
      </c>
      <c r="F1045" s="5" t="s">
        <v>552</v>
      </c>
      <c r="G1045" s="22">
        <v>0</v>
      </c>
      <c r="H1045" s="22">
        <v>0</v>
      </c>
      <c r="I1045" s="22">
        <v>0</v>
      </c>
      <c r="J1045" s="22">
        <v>1.2</v>
      </c>
      <c r="K1045" s="22">
        <v>0</v>
      </c>
      <c r="L1045" s="22">
        <v>1.2</v>
      </c>
      <c r="M1045" s="10"/>
      <c r="O1045" s="11"/>
    </row>
    <row r="1046" spans="1:15" x14ac:dyDescent="0.25">
      <c r="A1046" s="6"/>
      <c r="B1046" s="5"/>
      <c r="C1046" s="5"/>
      <c r="D1046" s="5" t="s">
        <v>143</v>
      </c>
      <c r="E1046" s="5" t="s">
        <v>144</v>
      </c>
      <c r="F1046" s="5" t="s">
        <v>552</v>
      </c>
      <c r="G1046" s="14">
        <f t="shared" ref="G1046:L1046" si="263">SUBTOTAL(9,G1044:G1045)</f>
        <v>10.02</v>
      </c>
      <c r="H1046" s="14">
        <f t="shared" si="263"/>
        <v>0</v>
      </c>
      <c r="I1046" s="14">
        <f t="shared" si="263"/>
        <v>0</v>
      </c>
      <c r="J1046" s="14">
        <f t="shared" si="263"/>
        <v>1.2</v>
      </c>
      <c r="K1046" s="14">
        <f t="shared" si="263"/>
        <v>-0.2</v>
      </c>
      <c r="L1046" s="14">
        <f t="shared" si="263"/>
        <v>11.02</v>
      </c>
      <c r="M1046" s="10">
        <v>2375</v>
      </c>
      <c r="N1046" s="69"/>
      <c r="O1046" s="11">
        <f>O1042+1</f>
        <v>257</v>
      </c>
    </row>
    <row r="1047" spans="1:15" s="4" customFormat="1" x14ac:dyDescent="0.25">
      <c r="A1047" s="10"/>
      <c r="B1047"/>
      <c r="C1047"/>
      <c r="D1047"/>
      <c r="E1047"/>
      <c r="F1047"/>
      <c r="G1047" s="21"/>
      <c r="H1047" s="21"/>
      <c r="I1047" s="21"/>
      <c r="J1047" s="21"/>
      <c r="K1047" s="21"/>
      <c r="L1047" s="21"/>
      <c r="M1047" s="10"/>
      <c r="N1047" s="67"/>
      <c r="O1047" s="11"/>
    </row>
    <row r="1048" spans="1:15" s="4" customFormat="1" x14ac:dyDescent="0.25">
      <c r="A1048" s="6">
        <v>514</v>
      </c>
      <c r="B1048" s="5" t="s">
        <v>555</v>
      </c>
      <c r="C1048" s="5" t="s">
        <v>17</v>
      </c>
      <c r="D1048" s="5" t="s">
        <v>145</v>
      </c>
      <c r="E1048" s="5" t="s">
        <v>146</v>
      </c>
      <c r="F1048" s="5" t="s">
        <v>556</v>
      </c>
      <c r="G1048" s="22">
        <v>458</v>
      </c>
      <c r="H1048" s="22">
        <v>0</v>
      </c>
      <c r="I1048" s="22">
        <v>0</v>
      </c>
      <c r="J1048" s="22">
        <v>0</v>
      </c>
      <c r="K1048" s="22">
        <v>-9.16</v>
      </c>
      <c r="L1048" s="22">
        <v>448.84</v>
      </c>
      <c r="M1048" s="10"/>
      <c r="N1048" s="67"/>
      <c r="O1048" s="11"/>
    </row>
    <row r="1049" spans="1:15" x14ac:dyDescent="0.25">
      <c r="A1049" s="6">
        <v>515</v>
      </c>
      <c r="B1049" s="5" t="s">
        <v>555</v>
      </c>
      <c r="C1049" s="5" t="s">
        <v>13</v>
      </c>
      <c r="D1049" s="5" t="s">
        <v>145</v>
      </c>
      <c r="E1049" s="5" t="s">
        <v>146</v>
      </c>
      <c r="F1049" s="5" t="s">
        <v>556</v>
      </c>
      <c r="G1049" s="22">
        <v>0</v>
      </c>
      <c r="H1049" s="22">
        <v>0</v>
      </c>
      <c r="I1049" s="22">
        <v>0</v>
      </c>
      <c r="J1049" s="22">
        <v>54.96</v>
      </c>
      <c r="K1049" s="22">
        <v>0</v>
      </c>
      <c r="L1049" s="22">
        <v>54.96</v>
      </c>
      <c r="M1049" s="10"/>
      <c r="O1049" s="11"/>
    </row>
    <row r="1050" spans="1:15" x14ac:dyDescent="0.25">
      <c r="A1050" s="6"/>
      <c r="B1050" s="5"/>
      <c r="C1050" s="5"/>
      <c r="D1050" s="5" t="s">
        <v>145</v>
      </c>
      <c r="E1050" s="5" t="s">
        <v>146</v>
      </c>
      <c r="F1050" s="5" t="s">
        <v>556</v>
      </c>
      <c r="G1050" s="14">
        <f t="shared" ref="G1050:L1050" si="264">SUBTOTAL(9,G1048:G1049)</f>
        <v>458</v>
      </c>
      <c r="H1050" s="14">
        <f t="shared" si="264"/>
        <v>0</v>
      </c>
      <c r="I1050" s="14">
        <f t="shared" si="264"/>
        <v>0</v>
      </c>
      <c r="J1050" s="14">
        <f t="shared" si="264"/>
        <v>54.96</v>
      </c>
      <c r="K1050" s="14">
        <f t="shared" si="264"/>
        <v>-9.16</v>
      </c>
      <c r="L1050" s="14">
        <f t="shared" si="264"/>
        <v>503.79999999999995</v>
      </c>
      <c r="M1050" s="10">
        <v>2376</v>
      </c>
      <c r="N1050" s="69"/>
      <c r="O1050" s="11">
        <f>O1046+1</f>
        <v>258</v>
      </c>
    </row>
    <row r="1051" spans="1:15" s="4" customFormat="1" x14ac:dyDescent="0.25">
      <c r="A1051" s="10"/>
      <c r="B1051"/>
      <c r="C1051"/>
      <c r="D1051"/>
      <c r="E1051"/>
      <c r="F1051"/>
      <c r="G1051" s="21"/>
      <c r="H1051" s="21"/>
      <c r="I1051" s="21"/>
      <c r="J1051" s="21"/>
      <c r="K1051" s="21"/>
      <c r="L1051" s="21"/>
      <c r="M1051" s="10"/>
      <c r="N1051" s="67"/>
      <c r="O1051" s="11"/>
    </row>
    <row r="1052" spans="1:15" s="4" customFormat="1" x14ac:dyDescent="0.25">
      <c r="A1052" s="6">
        <v>516</v>
      </c>
      <c r="B1052" s="5" t="s">
        <v>557</v>
      </c>
      <c r="C1052" s="5" t="s">
        <v>17</v>
      </c>
      <c r="D1052" s="5" t="s">
        <v>145</v>
      </c>
      <c r="E1052" s="5" t="s">
        <v>146</v>
      </c>
      <c r="F1052" s="5" t="s">
        <v>558</v>
      </c>
      <c r="G1052" s="22">
        <v>323.27</v>
      </c>
      <c r="H1052" s="22">
        <v>0</v>
      </c>
      <c r="I1052" s="22">
        <v>0</v>
      </c>
      <c r="J1052" s="22">
        <v>0</v>
      </c>
      <c r="K1052" s="22">
        <v>-6.47</v>
      </c>
      <c r="L1052" s="22">
        <v>316.8</v>
      </c>
      <c r="M1052" s="10"/>
      <c r="N1052" s="67"/>
      <c r="O1052" s="11"/>
    </row>
    <row r="1053" spans="1:15" x14ac:dyDescent="0.25">
      <c r="A1053" s="6">
        <v>517</v>
      </c>
      <c r="B1053" s="5" t="s">
        <v>557</v>
      </c>
      <c r="C1053" s="5" t="s">
        <v>13</v>
      </c>
      <c r="D1053" s="5" t="s">
        <v>145</v>
      </c>
      <c r="E1053" s="5" t="s">
        <v>146</v>
      </c>
      <c r="F1053" s="5" t="s">
        <v>558</v>
      </c>
      <c r="G1053" s="22">
        <v>0</v>
      </c>
      <c r="H1053" s="22">
        <v>0</v>
      </c>
      <c r="I1053" s="22">
        <v>0</v>
      </c>
      <c r="J1053" s="22">
        <v>38.79</v>
      </c>
      <c r="K1053" s="22">
        <v>0</v>
      </c>
      <c r="L1053" s="22">
        <v>38.79</v>
      </c>
      <c r="M1053" s="10"/>
      <c r="O1053" s="11"/>
    </row>
    <row r="1054" spans="1:15" x14ac:dyDescent="0.25">
      <c r="A1054" s="6"/>
      <c r="B1054" s="5"/>
      <c r="C1054" s="5"/>
      <c r="D1054" s="5" t="s">
        <v>145</v>
      </c>
      <c r="E1054" s="5" t="s">
        <v>146</v>
      </c>
      <c r="F1054" s="5" t="s">
        <v>558</v>
      </c>
      <c r="G1054" s="14">
        <f t="shared" ref="G1054:L1054" si="265">SUBTOTAL(9,G1052:G1053)</f>
        <v>323.27</v>
      </c>
      <c r="H1054" s="14">
        <f t="shared" si="265"/>
        <v>0</v>
      </c>
      <c r="I1054" s="14">
        <f t="shared" si="265"/>
        <v>0</v>
      </c>
      <c r="J1054" s="14">
        <f t="shared" si="265"/>
        <v>38.79</v>
      </c>
      <c r="K1054" s="14">
        <f t="shared" si="265"/>
        <v>-6.47</v>
      </c>
      <c r="L1054" s="14">
        <f t="shared" si="265"/>
        <v>355.59000000000003</v>
      </c>
      <c r="M1054" s="10">
        <v>2377</v>
      </c>
      <c r="N1054" s="69"/>
      <c r="O1054" s="11">
        <f>O1050+1</f>
        <v>259</v>
      </c>
    </row>
    <row r="1055" spans="1:15" s="4" customFormat="1" x14ac:dyDescent="0.25">
      <c r="A1055" s="10"/>
      <c r="B1055"/>
      <c r="C1055"/>
      <c r="D1055"/>
      <c r="E1055"/>
      <c r="F1055"/>
      <c r="G1055" s="21"/>
      <c r="H1055" s="21"/>
      <c r="I1055" s="21"/>
      <c r="J1055" s="21"/>
      <c r="K1055" s="21"/>
      <c r="L1055" s="21"/>
      <c r="M1055" s="10"/>
      <c r="N1055" s="67"/>
      <c r="O1055" s="11"/>
    </row>
    <row r="1056" spans="1:15" s="4" customFormat="1" x14ac:dyDescent="0.25">
      <c r="A1056" s="6">
        <v>518</v>
      </c>
      <c r="B1056" s="5" t="s">
        <v>566</v>
      </c>
      <c r="C1056" s="5" t="s">
        <v>17</v>
      </c>
      <c r="D1056" s="5" t="s">
        <v>145</v>
      </c>
      <c r="E1056" s="5" t="s">
        <v>146</v>
      </c>
      <c r="F1056" s="5" t="s">
        <v>567</v>
      </c>
      <c r="G1056" s="22">
        <v>0.01</v>
      </c>
      <c r="H1056" s="22">
        <v>0</v>
      </c>
      <c r="I1056" s="22">
        <v>0</v>
      </c>
      <c r="J1056" s="22">
        <v>0</v>
      </c>
      <c r="K1056" s="22">
        <v>0</v>
      </c>
      <c r="L1056" s="22">
        <v>0.01</v>
      </c>
      <c r="M1056" s="10"/>
      <c r="N1056" s="67"/>
      <c r="O1056" s="11"/>
    </row>
    <row r="1057" spans="1:15" x14ac:dyDescent="0.25">
      <c r="A1057" s="6">
        <v>519</v>
      </c>
      <c r="B1057" s="5" t="s">
        <v>566</v>
      </c>
      <c r="C1057" s="5" t="s">
        <v>13</v>
      </c>
      <c r="D1057" s="5" t="s">
        <v>145</v>
      </c>
      <c r="E1057" s="5" t="s">
        <v>146</v>
      </c>
      <c r="F1057" s="5" t="s">
        <v>567</v>
      </c>
      <c r="G1057" s="22">
        <v>0</v>
      </c>
      <c r="H1057" s="22">
        <v>0</v>
      </c>
      <c r="I1057" s="22">
        <v>0</v>
      </c>
      <c r="J1057" s="22">
        <v>0</v>
      </c>
      <c r="K1057" s="22">
        <v>0</v>
      </c>
      <c r="L1057" s="22">
        <v>0</v>
      </c>
      <c r="M1057" s="10"/>
      <c r="O1057" s="11"/>
    </row>
    <row r="1058" spans="1:15" x14ac:dyDescent="0.25">
      <c r="A1058" s="6"/>
      <c r="B1058" s="5"/>
      <c r="C1058" s="5"/>
      <c r="D1058" s="5" t="s">
        <v>145</v>
      </c>
      <c r="E1058" s="5" t="s">
        <v>146</v>
      </c>
      <c r="F1058" s="5" t="s">
        <v>567</v>
      </c>
      <c r="G1058" s="14">
        <f t="shared" ref="G1058:L1058" si="266">SUBTOTAL(9,G1056:G1057)</f>
        <v>0.01</v>
      </c>
      <c r="H1058" s="14">
        <f t="shared" si="266"/>
        <v>0</v>
      </c>
      <c r="I1058" s="14">
        <f t="shared" si="266"/>
        <v>0</v>
      </c>
      <c r="J1058" s="14">
        <f t="shared" si="266"/>
        <v>0</v>
      </c>
      <c r="K1058" s="14">
        <f t="shared" si="266"/>
        <v>0</v>
      </c>
      <c r="L1058" s="14">
        <f t="shared" si="266"/>
        <v>0.01</v>
      </c>
      <c r="M1058" s="10">
        <v>2378</v>
      </c>
      <c r="N1058" s="69"/>
      <c r="O1058" s="11">
        <f>O1054+1</f>
        <v>260</v>
      </c>
    </row>
    <row r="1059" spans="1:15" s="4" customFormat="1" x14ac:dyDescent="0.25">
      <c r="A1059" s="10"/>
      <c r="B1059"/>
      <c r="C1059"/>
      <c r="D1059"/>
      <c r="E1059"/>
      <c r="F1059"/>
      <c r="G1059" s="21"/>
      <c r="H1059" s="21"/>
      <c r="I1059" s="21"/>
      <c r="J1059" s="21"/>
      <c r="K1059" s="21"/>
      <c r="L1059" s="21"/>
      <c r="M1059" s="10"/>
      <c r="N1059" s="67"/>
      <c r="O1059" s="11"/>
    </row>
    <row r="1060" spans="1:15" s="4" customFormat="1" x14ac:dyDescent="0.25">
      <c r="A1060" s="6">
        <v>520</v>
      </c>
      <c r="B1060" s="5" t="s">
        <v>18</v>
      </c>
      <c r="C1060" s="5" t="s">
        <v>17</v>
      </c>
      <c r="D1060" s="5" t="s">
        <v>145</v>
      </c>
      <c r="E1060" s="5" t="s">
        <v>146</v>
      </c>
      <c r="F1060" s="5" t="s">
        <v>19</v>
      </c>
      <c r="G1060" s="22">
        <v>0.38</v>
      </c>
      <c r="H1060" s="22">
        <v>0</v>
      </c>
      <c r="I1060" s="22">
        <v>0</v>
      </c>
      <c r="J1060" s="22">
        <v>0</v>
      </c>
      <c r="K1060" s="22">
        <v>-0.34</v>
      </c>
      <c r="L1060" s="22">
        <v>0.04</v>
      </c>
      <c r="M1060" s="10"/>
      <c r="N1060" s="67"/>
      <c r="O1060" s="11"/>
    </row>
    <row r="1061" spans="1:15" x14ac:dyDescent="0.25">
      <c r="A1061" s="6">
        <v>521</v>
      </c>
      <c r="B1061" s="5" t="s">
        <v>18</v>
      </c>
      <c r="C1061" s="5" t="s">
        <v>17</v>
      </c>
      <c r="D1061" s="5" t="s">
        <v>145</v>
      </c>
      <c r="E1061" s="5" t="s">
        <v>146</v>
      </c>
      <c r="F1061" s="5" t="s">
        <v>19</v>
      </c>
      <c r="G1061" s="22">
        <v>3.12</v>
      </c>
      <c r="H1061" s="22">
        <v>0</v>
      </c>
      <c r="I1061" s="22">
        <v>0</v>
      </c>
      <c r="J1061" s="22">
        <v>0</v>
      </c>
      <c r="K1061" s="22">
        <v>-2.77</v>
      </c>
      <c r="L1061" s="22">
        <v>0.35</v>
      </c>
      <c r="M1061" s="10"/>
      <c r="O1061" s="11"/>
    </row>
    <row r="1062" spans="1:15" x14ac:dyDescent="0.25">
      <c r="A1062" s="6"/>
      <c r="B1062" s="5"/>
      <c r="C1062" s="5"/>
      <c r="D1062" s="5" t="s">
        <v>145</v>
      </c>
      <c r="E1062" s="5" t="s">
        <v>146</v>
      </c>
      <c r="F1062" s="5" t="s">
        <v>19</v>
      </c>
      <c r="G1062" s="14">
        <f t="shared" ref="G1062:L1062" si="267">SUBTOTAL(9,G1060:G1061)</f>
        <v>3.5</v>
      </c>
      <c r="H1062" s="14">
        <f t="shared" si="267"/>
        <v>0</v>
      </c>
      <c r="I1062" s="14">
        <f t="shared" si="267"/>
        <v>0</v>
      </c>
      <c r="J1062" s="14">
        <f t="shared" si="267"/>
        <v>0</v>
      </c>
      <c r="K1062" s="14">
        <f t="shared" si="267"/>
        <v>-3.11</v>
      </c>
      <c r="L1062" s="14">
        <f t="shared" si="267"/>
        <v>0.38999999999999996</v>
      </c>
      <c r="M1062" s="10">
        <v>2379</v>
      </c>
      <c r="N1062" s="69"/>
      <c r="O1062" s="11">
        <f>O1058+1</f>
        <v>261</v>
      </c>
    </row>
    <row r="1063" spans="1:15" s="4" customFormat="1" x14ac:dyDescent="0.25">
      <c r="A1063" s="10"/>
      <c r="B1063"/>
      <c r="C1063"/>
      <c r="D1063"/>
      <c r="E1063"/>
      <c r="F1063"/>
      <c r="G1063" s="21"/>
      <c r="H1063" s="21"/>
      <c r="I1063" s="21"/>
      <c r="J1063" s="21"/>
      <c r="K1063" s="21"/>
      <c r="L1063" s="21"/>
      <c r="M1063" s="10"/>
      <c r="N1063" s="67"/>
      <c r="O1063" s="11"/>
    </row>
    <row r="1064" spans="1:15" s="4" customFormat="1" x14ac:dyDescent="0.25">
      <c r="A1064" s="6">
        <v>522</v>
      </c>
      <c r="B1064" s="5" t="s">
        <v>550</v>
      </c>
      <c r="C1064" s="5" t="s">
        <v>17</v>
      </c>
      <c r="D1064" s="5" t="s">
        <v>145</v>
      </c>
      <c r="E1064" s="5" t="s">
        <v>146</v>
      </c>
      <c r="F1064" s="5" t="s">
        <v>551</v>
      </c>
      <c r="G1064" s="22">
        <v>15658.25</v>
      </c>
      <c r="H1064" s="22">
        <v>0</v>
      </c>
      <c r="I1064" s="22">
        <v>0</v>
      </c>
      <c r="J1064" s="22">
        <v>0</v>
      </c>
      <c r="K1064" s="22">
        <v>-313.17</v>
      </c>
      <c r="L1064" s="22">
        <v>15345.08</v>
      </c>
      <c r="M1064" s="10"/>
      <c r="N1064" s="67"/>
      <c r="O1064" s="11"/>
    </row>
    <row r="1065" spans="1:15" x14ac:dyDescent="0.25">
      <c r="A1065" s="6">
        <v>523</v>
      </c>
      <c r="B1065" s="5" t="s">
        <v>550</v>
      </c>
      <c r="C1065" s="5" t="s">
        <v>17</v>
      </c>
      <c r="D1065" s="5" t="s">
        <v>145</v>
      </c>
      <c r="E1065" s="5" t="s">
        <v>146</v>
      </c>
      <c r="F1065" s="5" t="s">
        <v>551</v>
      </c>
      <c r="G1065" s="22">
        <v>10058.6</v>
      </c>
      <c r="H1065" s="22">
        <v>0</v>
      </c>
      <c r="I1065" s="22">
        <v>0</v>
      </c>
      <c r="J1065" s="22">
        <v>0</v>
      </c>
      <c r="K1065" s="22">
        <v>-201.17</v>
      </c>
      <c r="L1065" s="22">
        <v>9857.43</v>
      </c>
      <c r="M1065" s="10"/>
      <c r="O1065" s="11"/>
    </row>
    <row r="1066" spans="1:15" x14ac:dyDescent="0.25">
      <c r="A1066" s="6">
        <v>524</v>
      </c>
      <c r="B1066" s="5" t="s">
        <v>550</v>
      </c>
      <c r="C1066" s="5" t="s">
        <v>13</v>
      </c>
      <c r="D1066" s="5" t="s">
        <v>145</v>
      </c>
      <c r="E1066" s="5" t="s">
        <v>146</v>
      </c>
      <c r="F1066" s="5" t="s">
        <v>551</v>
      </c>
      <c r="G1066" s="22">
        <v>0</v>
      </c>
      <c r="H1066" s="22">
        <v>0</v>
      </c>
      <c r="I1066" s="22">
        <v>0</v>
      </c>
      <c r="J1066" s="22">
        <v>1878.99</v>
      </c>
      <c r="K1066" s="22">
        <v>0</v>
      </c>
      <c r="L1066" s="22">
        <v>1878.99</v>
      </c>
      <c r="M1066" s="10"/>
      <c r="O1066" s="11"/>
    </row>
    <row r="1067" spans="1:15" s="4" customFormat="1" x14ac:dyDescent="0.25">
      <c r="A1067" s="6">
        <v>525</v>
      </c>
      <c r="B1067" s="5" t="s">
        <v>550</v>
      </c>
      <c r="C1067" s="5" t="s">
        <v>13</v>
      </c>
      <c r="D1067" s="5" t="s">
        <v>145</v>
      </c>
      <c r="E1067" s="5" t="s">
        <v>146</v>
      </c>
      <c r="F1067" s="5" t="s">
        <v>551</v>
      </c>
      <c r="G1067" s="22">
        <v>0</v>
      </c>
      <c r="H1067" s="22">
        <v>0</v>
      </c>
      <c r="I1067" s="22">
        <v>0</v>
      </c>
      <c r="J1067" s="22">
        <v>1207.03</v>
      </c>
      <c r="K1067" s="22">
        <v>0</v>
      </c>
      <c r="L1067" s="22">
        <v>1207.03</v>
      </c>
      <c r="M1067" s="10"/>
      <c r="N1067" s="67"/>
      <c r="O1067" s="11"/>
    </row>
    <row r="1068" spans="1:15" s="4" customFormat="1" x14ac:dyDescent="0.25">
      <c r="A1068" s="6"/>
      <c r="B1068" s="5"/>
      <c r="C1068" s="5"/>
      <c r="D1068" s="5" t="s">
        <v>145</v>
      </c>
      <c r="E1068" s="5" t="s">
        <v>146</v>
      </c>
      <c r="F1068" s="5" t="s">
        <v>551</v>
      </c>
      <c r="G1068" s="14">
        <f t="shared" ref="G1068:L1068" si="268">SUBTOTAL(9,G1064:G1067)</f>
        <v>25716.85</v>
      </c>
      <c r="H1068" s="14">
        <f t="shared" si="268"/>
        <v>0</v>
      </c>
      <c r="I1068" s="14">
        <f t="shared" si="268"/>
        <v>0</v>
      </c>
      <c r="J1068" s="14">
        <f t="shared" si="268"/>
        <v>3086.02</v>
      </c>
      <c r="K1068" s="14">
        <f t="shared" si="268"/>
        <v>-514.34</v>
      </c>
      <c r="L1068" s="14">
        <f t="shared" si="268"/>
        <v>28288.530000000002</v>
      </c>
      <c r="M1068" s="10">
        <v>2380</v>
      </c>
      <c r="N1068" s="69"/>
      <c r="O1068" s="11">
        <f>O1062+1</f>
        <v>262</v>
      </c>
    </row>
    <row r="1069" spans="1:15" x14ac:dyDescent="0.25">
      <c r="A1069" s="10"/>
      <c r="G1069" s="21"/>
      <c r="H1069" s="21"/>
      <c r="I1069" s="21"/>
      <c r="J1069" s="21"/>
      <c r="K1069" s="21"/>
      <c r="L1069" s="21"/>
      <c r="M1069" s="10"/>
      <c r="O1069" s="11"/>
    </row>
    <row r="1070" spans="1:15" x14ac:dyDescent="0.25">
      <c r="A1070" s="6">
        <v>526</v>
      </c>
      <c r="B1070" s="5" t="s">
        <v>550</v>
      </c>
      <c r="C1070" s="5" t="s">
        <v>17</v>
      </c>
      <c r="D1070" s="5" t="s">
        <v>145</v>
      </c>
      <c r="E1070" s="5" t="s">
        <v>146</v>
      </c>
      <c r="F1070" s="5" t="s">
        <v>552</v>
      </c>
      <c r="G1070" s="22">
        <v>1.1299999999999999</v>
      </c>
      <c r="H1070" s="22">
        <v>0</v>
      </c>
      <c r="I1070" s="22">
        <v>0</v>
      </c>
      <c r="J1070" s="22">
        <v>0</v>
      </c>
      <c r="K1070" s="22">
        <v>-0.02</v>
      </c>
      <c r="L1070" s="22">
        <v>1.1100000000000001</v>
      </c>
      <c r="M1070" s="10"/>
      <c r="O1070" s="11"/>
    </row>
    <row r="1071" spans="1:15" s="4" customFormat="1" x14ac:dyDescent="0.25">
      <c r="A1071" s="6">
        <v>527</v>
      </c>
      <c r="B1071" s="5" t="s">
        <v>550</v>
      </c>
      <c r="C1071" s="5" t="s">
        <v>17</v>
      </c>
      <c r="D1071" s="5" t="s">
        <v>145</v>
      </c>
      <c r="E1071" s="5" t="s">
        <v>146</v>
      </c>
      <c r="F1071" s="5" t="s">
        <v>552</v>
      </c>
      <c r="G1071" s="22">
        <v>0.72</v>
      </c>
      <c r="H1071" s="22">
        <v>0</v>
      </c>
      <c r="I1071" s="22">
        <v>0</v>
      </c>
      <c r="J1071" s="22">
        <v>0</v>
      </c>
      <c r="K1071" s="22">
        <v>-0.01</v>
      </c>
      <c r="L1071" s="22">
        <v>0.71</v>
      </c>
      <c r="M1071" s="10"/>
      <c r="N1071" s="67"/>
      <c r="O1071" s="11"/>
    </row>
    <row r="1072" spans="1:15" x14ac:dyDescent="0.25">
      <c r="A1072" s="6">
        <v>528</v>
      </c>
      <c r="B1072" s="5" t="s">
        <v>550</v>
      </c>
      <c r="C1072" s="5" t="s">
        <v>13</v>
      </c>
      <c r="D1072" s="5" t="s">
        <v>145</v>
      </c>
      <c r="E1072" s="5" t="s">
        <v>146</v>
      </c>
      <c r="F1072" s="5" t="s">
        <v>552</v>
      </c>
      <c r="G1072" s="22">
        <v>0</v>
      </c>
      <c r="H1072" s="22">
        <v>0</v>
      </c>
      <c r="I1072" s="22">
        <v>0</v>
      </c>
      <c r="J1072" s="22">
        <v>0.14000000000000001</v>
      </c>
      <c r="K1072" s="22">
        <v>0</v>
      </c>
      <c r="L1072" s="22">
        <v>0.14000000000000001</v>
      </c>
      <c r="M1072" s="10"/>
      <c r="O1072" s="11"/>
    </row>
    <row r="1073" spans="1:15" x14ac:dyDescent="0.25">
      <c r="A1073" s="6">
        <v>529</v>
      </c>
      <c r="B1073" s="5" t="s">
        <v>550</v>
      </c>
      <c r="C1073" s="5" t="s">
        <v>13</v>
      </c>
      <c r="D1073" s="5" t="s">
        <v>145</v>
      </c>
      <c r="E1073" s="5" t="s">
        <v>146</v>
      </c>
      <c r="F1073" s="5" t="s">
        <v>552</v>
      </c>
      <c r="G1073" s="22">
        <v>0</v>
      </c>
      <c r="H1073" s="22">
        <v>0</v>
      </c>
      <c r="I1073" s="22">
        <v>0</v>
      </c>
      <c r="J1073" s="22">
        <v>0.09</v>
      </c>
      <c r="K1073" s="22">
        <v>0</v>
      </c>
      <c r="L1073" s="22">
        <v>0.09</v>
      </c>
      <c r="M1073" s="10"/>
      <c r="O1073" s="11"/>
    </row>
    <row r="1074" spans="1:15" s="4" customFormat="1" x14ac:dyDescent="0.25">
      <c r="A1074" s="6"/>
      <c r="B1074" s="5"/>
      <c r="C1074" s="5"/>
      <c r="D1074" s="5" t="s">
        <v>145</v>
      </c>
      <c r="E1074" s="5" t="s">
        <v>146</v>
      </c>
      <c r="F1074" s="5" t="s">
        <v>552</v>
      </c>
      <c r="G1074" s="14">
        <f t="shared" ref="G1074:L1074" si="269">SUBTOTAL(9,G1070:G1073)</f>
        <v>1.8499999999999999</v>
      </c>
      <c r="H1074" s="14">
        <f t="shared" si="269"/>
        <v>0</v>
      </c>
      <c r="I1074" s="14">
        <f t="shared" si="269"/>
        <v>0</v>
      </c>
      <c r="J1074" s="14">
        <f t="shared" si="269"/>
        <v>0.23</v>
      </c>
      <c r="K1074" s="14">
        <f t="shared" si="269"/>
        <v>-0.03</v>
      </c>
      <c r="L1074" s="14">
        <f t="shared" si="269"/>
        <v>2.0499999999999998</v>
      </c>
      <c r="M1074" s="10">
        <v>2381</v>
      </c>
      <c r="N1074" s="69"/>
      <c r="O1074" s="11">
        <f>O1068+1</f>
        <v>263</v>
      </c>
    </row>
    <row r="1075" spans="1:15" x14ac:dyDescent="0.25">
      <c r="A1075" s="10"/>
      <c r="G1075" s="21"/>
      <c r="H1075" s="21"/>
      <c r="I1075" s="21"/>
      <c r="J1075" s="21"/>
      <c r="K1075" s="21"/>
      <c r="L1075" s="21"/>
      <c r="M1075" s="10"/>
      <c r="O1075" s="11"/>
    </row>
    <row r="1076" spans="1:15" x14ac:dyDescent="0.25">
      <c r="A1076" s="6">
        <v>530</v>
      </c>
      <c r="B1076" s="5" t="s">
        <v>12</v>
      </c>
      <c r="C1076" s="5" t="s">
        <v>13</v>
      </c>
      <c r="D1076" s="5" t="s">
        <v>147</v>
      </c>
      <c r="E1076" s="5" t="s">
        <v>148</v>
      </c>
      <c r="F1076" s="5" t="s">
        <v>16</v>
      </c>
      <c r="G1076" s="22">
        <v>0</v>
      </c>
      <c r="H1076" s="22">
        <v>0</v>
      </c>
      <c r="I1076" s="22">
        <v>0</v>
      </c>
      <c r="J1076" s="22">
        <v>56.9</v>
      </c>
      <c r="K1076" s="22">
        <v>0</v>
      </c>
      <c r="L1076" s="22">
        <v>56.9</v>
      </c>
      <c r="M1076" s="10"/>
      <c r="O1076" s="11"/>
    </row>
    <row r="1077" spans="1:15" s="4" customFormat="1" x14ac:dyDescent="0.25">
      <c r="A1077" s="6"/>
      <c r="B1077" s="5"/>
      <c r="C1077" s="5"/>
      <c r="D1077" s="5" t="s">
        <v>147</v>
      </c>
      <c r="E1077" s="5" t="s">
        <v>148</v>
      </c>
      <c r="F1077" s="5" t="s">
        <v>16</v>
      </c>
      <c r="G1077" s="14">
        <f t="shared" ref="G1077:L1077" si="270">SUBTOTAL(9,G1076:G1076)</f>
        <v>0</v>
      </c>
      <c r="H1077" s="14">
        <f t="shared" si="270"/>
        <v>0</v>
      </c>
      <c r="I1077" s="14">
        <f t="shared" si="270"/>
        <v>0</v>
      </c>
      <c r="J1077" s="14">
        <f t="shared" si="270"/>
        <v>56.9</v>
      </c>
      <c r="K1077" s="14">
        <f t="shared" si="270"/>
        <v>0</v>
      </c>
      <c r="L1077" s="14">
        <f t="shared" si="270"/>
        <v>56.9</v>
      </c>
      <c r="M1077" s="10">
        <v>2382</v>
      </c>
      <c r="N1077" s="69"/>
      <c r="O1077" s="11">
        <f>O1074+1</f>
        <v>264</v>
      </c>
    </row>
    <row r="1078" spans="1:15" s="4" customFormat="1" x14ac:dyDescent="0.25">
      <c r="A1078" s="10"/>
      <c r="B1078"/>
      <c r="C1078"/>
      <c r="D1078"/>
      <c r="E1078"/>
      <c r="F1078"/>
      <c r="G1078" s="21"/>
      <c r="H1078" s="21"/>
      <c r="I1078" s="21"/>
      <c r="J1078" s="21"/>
      <c r="K1078" s="21"/>
      <c r="L1078" s="21"/>
      <c r="M1078" s="10"/>
      <c r="N1078" s="67"/>
      <c r="O1078" s="11"/>
    </row>
    <row r="1079" spans="1:15" x14ac:dyDescent="0.25">
      <c r="A1079" s="6">
        <v>531</v>
      </c>
      <c r="B1079" s="5" t="s">
        <v>555</v>
      </c>
      <c r="C1079" s="5" t="s">
        <v>17</v>
      </c>
      <c r="D1079" s="5" t="s">
        <v>147</v>
      </c>
      <c r="E1079" s="5" t="s">
        <v>148</v>
      </c>
      <c r="F1079" s="5" t="s">
        <v>556</v>
      </c>
      <c r="G1079" s="22">
        <v>588.69000000000005</v>
      </c>
      <c r="H1079" s="22">
        <v>0</v>
      </c>
      <c r="I1079" s="22">
        <v>0</v>
      </c>
      <c r="J1079" s="22">
        <v>0</v>
      </c>
      <c r="K1079" s="22">
        <v>-11.77</v>
      </c>
      <c r="L1079" s="22">
        <v>576.91999999999996</v>
      </c>
      <c r="M1079" s="10"/>
      <c r="O1079" s="11"/>
    </row>
    <row r="1080" spans="1:15" x14ac:dyDescent="0.25">
      <c r="A1080" s="6"/>
      <c r="B1080" s="5"/>
      <c r="C1080" s="5"/>
      <c r="D1080" s="5" t="s">
        <v>147</v>
      </c>
      <c r="E1080" s="5" t="s">
        <v>148</v>
      </c>
      <c r="F1080" s="5" t="s">
        <v>556</v>
      </c>
      <c r="G1080" s="14">
        <f t="shared" ref="G1080:L1080" si="271">SUBTOTAL(9,G1079:G1079)</f>
        <v>588.69000000000005</v>
      </c>
      <c r="H1080" s="14">
        <f t="shared" si="271"/>
        <v>0</v>
      </c>
      <c r="I1080" s="14">
        <f t="shared" si="271"/>
        <v>0</v>
      </c>
      <c r="J1080" s="14">
        <f t="shared" si="271"/>
        <v>0</v>
      </c>
      <c r="K1080" s="14">
        <f t="shared" si="271"/>
        <v>-11.77</v>
      </c>
      <c r="L1080" s="14">
        <f t="shared" si="271"/>
        <v>576.91999999999996</v>
      </c>
      <c r="M1080" s="10">
        <v>2383</v>
      </c>
      <c r="N1080" s="69"/>
      <c r="O1080" s="11">
        <f>O1077+1</f>
        <v>265</v>
      </c>
    </row>
    <row r="1081" spans="1:15" s="4" customFormat="1" x14ac:dyDescent="0.25">
      <c r="A1081" s="10"/>
      <c r="B1081"/>
      <c r="C1081"/>
      <c r="D1081"/>
      <c r="E1081"/>
      <c r="F1081"/>
      <c r="G1081" s="21"/>
      <c r="H1081" s="21"/>
      <c r="I1081" s="21"/>
      <c r="J1081" s="21"/>
      <c r="K1081" s="21"/>
      <c r="L1081" s="21"/>
      <c r="M1081" s="10"/>
      <c r="N1081" s="67"/>
      <c r="O1081" s="11"/>
    </row>
    <row r="1082" spans="1:15" s="4" customFormat="1" x14ac:dyDescent="0.25">
      <c r="A1082" s="6">
        <v>532</v>
      </c>
      <c r="B1082" s="5" t="s">
        <v>33</v>
      </c>
      <c r="C1082" s="5" t="s">
        <v>13</v>
      </c>
      <c r="D1082" s="5" t="s">
        <v>147</v>
      </c>
      <c r="E1082" s="5" t="s">
        <v>148</v>
      </c>
      <c r="F1082" s="5" t="s">
        <v>34</v>
      </c>
      <c r="G1082" s="22">
        <v>0</v>
      </c>
      <c r="H1082" s="22">
        <v>0</v>
      </c>
      <c r="I1082" s="22">
        <v>0</v>
      </c>
      <c r="J1082" s="22">
        <v>6.85</v>
      </c>
      <c r="K1082" s="22">
        <v>0</v>
      </c>
      <c r="L1082" s="22">
        <v>6.85</v>
      </c>
      <c r="M1082" s="10"/>
      <c r="N1082" s="67"/>
      <c r="O1082" s="11"/>
    </row>
    <row r="1083" spans="1:15" x14ac:dyDescent="0.25">
      <c r="A1083" s="6"/>
      <c r="B1083" s="5"/>
      <c r="C1083" s="5"/>
      <c r="D1083" s="5" t="s">
        <v>147</v>
      </c>
      <c r="E1083" s="5" t="s">
        <v>148</v>
      </c>
      <c r="F1083" s="5" t="s">
        <v>34</v>
      </c>
      <c r="G1083" s="14">
        <f t="shared" ref="G1083:L1083" si="272">SUBTOTAL(9,G1082:G1082)</f>
        <v>0</v>
      </c>
      <c r="H1083" s="14">
        <f t="shared" si="272"/>
        <v>0</v>
      </c>
      <c r="I1083" s="14">
        <f t="shared" si="272"/>
        <v>0</v>
      </c>
      <c r="J1083" s="14">
        <f t="shared" si="272"/>
        <v>6.85</v>
      </c>
      <c r="K1083" s="14">
        <f t="shared" si="272"/>
        <v>0</v>
      </c>
      <c r="L1083" s="14">
        <f t="shared" si="272"/>
        <v>6.85</v>
      </c>
      <c r="M1083" s="10">
        <v>2384</v>
      </c>
      <c r="N1083" s="69"/>
      <c r="O1083" s="11">
        <f>O1080+1</f>
        <v>266</v>
      </c>
    </row>
    <row r="1084" spans="1:15" x14ac:dyDescent="0.25">
      <c r="A1084" s="10"/>
      <c r="G1084" s="21"/>
      <c r="H1084" s="21"/>
      <c r="I1084" s="21"/>
      <c r="J1084" s="21"/>
      <c r="K1084" s="21"/>
      <c r="L1084" s="21"/>
      <c r="M1084" s="10"/>
      <c r="O1084" s="11"/>
    </row>
    <row r="1085" spans="1:15" s="4" customFormat="1" x14ac:dyDescent="0.25">
      <c r="A1085" s="6">
        <v>533</v>
      </c>
      <c r="B1085" s="5" t="s">
        <v>557</v>
      </c>
      <c r="C1085" s="5" t="s">
        <v>17</v>
      </c>
      <c r="D1085" s="5" t="s">
        <v>147</v>
      </c>
      <c r="E1085" s="5" t="s">
        <v>148</v>
      </c>
      <c r="F1085" s="5" t="s">
        <v>558</v>
      </c>
      <c r="G1085" s="22">
        <v>403.77</v>
      </c>
      <c r="H1085" s="22">
        <v>0</v>
      </c>
      <c r="I1085" s="22">
        <v>0</v>
      </c>
      <c r="J1085" s="22">
        <v>0</v>
      </c>
      <c r="K1085" s="22">
        <v>-8.08</v>
      </c>
      <c r="L1085" s="22">
        <v>395.69</v>
      </c>
      <c r="M1085" s="10"/>
      <c r="N1085" s="67"/>
      <c r="O1085" s="11"/>
    </row>
    <row r="1086" spans="1:15" s="4" customFormat="1" x14ac:dyDescent="0.25">
      <c r="A1086" s="6"/>
      <c r="B1086" s="5"/>
      <c r="C1086" s="5"/>
      <c r="D1086" s="5" t="s">
        <v>147</v>
      </c>
      <c r="E1086" s="5" t="s">
        <v>148</v>
      </c>
      <c r="F1086" s="5" t="s">
        <v>558</v>
      </c>
      <c r="G1086" s="14">
        <f t="shared" ref="G1086:L1086" si="273">SUBTOTAL(9,G1085:G1085)</f>
        <v>403.77</v>
      </c>
      <c r="H1086" s="14">
        <f t="shared" si="273"/>
        <v>0</v>
      </c>
      <c r="I1086" s="14">
        <f t="shared" si="273"/>
        <v>0</v>
      </c>
      <c r="J1086" s="14">
        <f t="shared" si="273"/>
        <v>0</v>
      </c>
      <c r="K1086" s="14">
        <f t="shared" si="273"/>
        <v>-8.08</v>
      </c>
      <c r="L1086" s="14">
        <f t="shared" si="273"/>
        <v>395.69</v>
      </c>
      <c r="M1086" s="10">
        <v>2385</v>
      </c>
      <c r="N1086" s="69"/>
      <c r="O1086" s="11">
        <f>O1083+1</f>
        <v>267</v>
      </c>
    </row>
    <row r="1087" spans="1:15" x14ac:dyDescent="0.25">
      <c r="A1087" s="10"/>
      <c r="G1087" s="21"/>
      <c r="H1087" s="21"/>
      <c r="I1087" s="21"/>
      <c r="J1087" s="21"/>
      <c r="K1087" s="21"/>
      <c r="L1087" s="21"/>
      <c r="M1087" s="10"/>
      <c r="O1087" s="11"/>
    </row>
    <row r="1088" spans="1:15" x14ac:dyDescent="0.25">
      <c r="A1088" s="6">
        <v>534</v>
      </c>
      <c r="B1088" s="5" t="s">
        <v>29</v>
      </c>
      <c r="C1088" s="5" t="s">
        <v>13</v>
      </c>
      <c r="D1088" s="5" t="s">
        <v>147</v>
      </c>
      <c r="E1088" s="5" t="s">
        <v>148</v>
      </c>
      <c r="F1088" s="5" t="s">
        <v>30</v>
      </c>
      <c r="G1088" s="22">
        <v>0</v>
      </c>
      <c r="H1088" s="22">
        <v>0</v>
      </c>
      <c r="I1088" s="22">
        <v>0</v>
      </c>
      <c r="J1088" s="22">
        <v>0.08</v>
      </c>
      <c r="K1088" s="22">
        <v>0</v>
      </c>
      <c r="L1088" s="22">
        <v>0.08</v>
      </c>
      <c r="M1088" s="10"/>
      <c r="O1088" s="11"/>
    </row>
    <row r="1089" spans="1:15" s="4" customFormat="1" x14ac:dyDescent="0.25">
      <c r="A1089" s="6"/>
      <c r="B1089" s="5"/>
      <c r="C1089" s="5"/>
      <c r="D1089" s="5" t="s">
        <v>147</v>
      </c>
      <c r="E1089" s="5" t="s">
        <v>148</v>
      </c>
      <c r="F1089" s="5" t="s">
        <v>30</v>
      </c>
      <c r="G1089" s="14">
        <f t="shared" ref="G1089:L1089" si="274">SUBTOTAL(9,G1088:G1088)</f>
        <v>0</v>
      </c>
      <c r="H1089" s="14">
        <f t="shared" si="274"/>
        <v>0</v>
      </c>
      <c r="I1089" s="14">
        <f t="shared" si="274"/>
        <v>0</v>
      </c>
      <c r="J1089" s="14">
        <f t="shared" si="274"/>
        <v>0.08</v>
      </c>
      <c r="K1089" s="14">
        <f t="shared" si="274"/>
        <v>0</v>
      </c>
      <c r="L1089" s="14">
        <f t="shared" si="274"/>
        <v>0.08</v>
      </c>
      <c r="M1089" s="10">
        <v>2386</v>
      </c>
      <c r="N1089" s="69"/>
      <c r="O1089" s="11">
        <f>O1086+1</f>
        <v>268</v>
      </c>
    </row>
    <row r="1090" spans="1:15" s="4" customFormat="1" x14ac:dyDescent="0.25">
      <c r="A1090" s="10"/>
      <c r="B1090"/>
      <c r="C1090"/>
      <c r="D1090"/>
      <c r="E1090"/>
      <c r="F1090"/>
      <c r="G1090" s="21"/>
      <c r="H1090" s="21"/>
      <c r="I1090" s="21"/>
      <c r="J1090" s="21"/>
      <c r="K1090" s="21"/>
      <c r="L1090" s="21"/>
      <c r="M1090" s="10"/>
      <c r="N1090" s="67"/>
      <c r="O1090" s="11"/>
    </row>
    <row r="1091" spans="1:15" x14ac:dyDescent="0.25">
      <c r="A1091" s="6">
        <v>535</v>
      </c>
      <c r="B1091" s="5" t="s">
        <v>22</v>
      </c>
      <c r="C1091" s="5" t="s">
        <v>13</v>
      </c>
      <c r="D1091" s="5" t="s">
        <v>147</v>
      </c>
      <c r="E1091" s="5" t="s">
        <v>148</v>
      </c>
      <c r="F1091" s="5" t="s">
        <v>23</v>
      </c>
      <c r="G1091" s="22">
        <v>0</v>
      </c>
      <c r="H1091" s="22">
        <v>0</v>
      </c>
      <c r="I1091" s="22">
        <v>0</v>
      </c>
      <c r="J1091" s="22">
        <v>393.27</v>
      </c>
      <c r="K1091" s="22">
        <v>0</v>
      </c>
      <c r="L1091" s="22">
        <v>393.27</v>
      </c>
      <c r="M1091" s="10"/>
      <c r="O1091" s="11"/>
    </row>
    <row r="1092" spans="1:15" x14ac:dyDescent="0.25">
      <c r="A1092" s="6"/>
      <c r="B1092" s="5"/>
      <c r="C1092" s="5"/>
      <c r="D1092" s="5" t="s">
        <v>147</v>
      </c>
      <c r="E1092" s="5" t="s">
        <v>148</v>
      </c>
      <c r="F1092" s="5" t="s">
        <v>23</v>
      </c>
      <c r="G1092" s="14">
        <f t="shared" ref="G1092:L1092" si="275">SUBTOTAL(9,G1091:G1091)</f>
        <v>0</v>
      </c>
      <c r="H1092" s="14">
        <f t="shared" si="275"/>
        <v>0</v>
      </c>
      <c r="I1092" s="14">
        <f t="shared" si="275"/>
        <v>0</v>
      </c>
      <c r="J1092" s="14">
        <f t="shared" si="275"/>
        <v>393.27</v>
      </c>
      <c r="K1092" s="14">
        <f t="shared" si="275"/>
        <v>0</v>
      </c>
      <c r="L1092" s="14">
        <f t="shared" si="275"/>
        <v>393.27</v>
      </c>
      <c r="M1092" s="10">
        <v>2387</v>
      </c>
      <c r="N1092" s="69"/>
      <c r="O1092" s="11">
        <f>O1089+1</f>
        <v>269</v>
      </c>
    </row>
    <row r="1093" spans="1:15" s="4" customFormat="1" x14ac:dyDescent="0.25">
      <c r="A1093" s="10"/>
      <c r="B1093"/>
      <c r="C1093"/>
      <c r="D1093"/>
      <c r="E1093"/>
      <c r="F1093"/>
      <c r="G1093" s="21"/>
      <c r="H1093" s="21"/>
      <c r="I1093" s="21"/>
      <c r="J1093" s="21"/>
      <c r="K1093" s="21"/>
      <c r="L1093" s="21"/>
      <c r="M1093" s="10"/>
      <c r="N1093" s="67"/>
      <c r="O1093" s="11"/>
    </row>
    <row r="1094" spans="1:15" s="4" customFormat="1" x14ac:dyDescent="0.25">
      <c r="A1094" s="6">
        <v>536</v>
      </c>
      <c r="B1094" s="5" t="s">
        <v>22</v>
      </c>
      <c r="C1094" s="5" t="s">
        <v>13</v>
      </c>
      <c r="D1094" s="5" t="s">
        <v>147</v>
      </c>
      <c r="E1094" s="5" t="s">
        <v>148</v>
      </c>
      <c r="F1094" s="5" t="s">
        <v>24</v>
      </c>
      <c r="G1094" s="22">
        <v>0</v>
      </c>
      <c r="H1094" s="22">
        <v>0</v>
      </c>
      <c r="I1094" s="22">
        <v>0</v>
      </c>
      <c r="J1094" s="22">
        <v>0.76</v>
      </c>
      <c r="K1094" s="22">
        <v>0</v>
      </c>
      <c r="L1094" s="22">
        <v>0.76</v>
      </c>
      <c r="M1094" s="10"/>
      <c r="N1094" s="67"/>
      <c r="O1094" s="11"/>
    </row>
    <row r="1095" spans="1:15" x14ac:dyDescent="0.25">
      <c r="A1095" s="6"/>
      <c r="B1095" s="5"/>
      <c r="C1095" s="5"/>
      <c r="D1095" s="5" t="s">
        <v>147</v>
      </c>
      <c r="E1095" s="5" t="s">
        <v>148</v>
      </c>
      <c r="F1095" s="5" t="s">
        <v>24</v>
      </c>
      <c r="G1095" s="14">
        <f t="shared" ref="G1095:L1095" si="276">SUBTOTAL(9,G1094:G1094)</f>
        <v>0</v>
      </c>
      <c r="H1095" s="14">
        <f t="shared" si="276"/>
        <v>0</v>
      </c>
      <c r="I1095" s="14">
        <f t="shared" si="276"/>
        <v>0</v>
      </c>
      <c r="J1095" s="14">
        <f t="shared" si="276"/>
        <v>0.76</v>
      </c>
      <c r="K1095" s="14">
        <f t="shared" si="276"/>
        <v>0</v>
      </c>
      <c r="L1095" s="14">
        <f t="shared" si="276"/>
        <v>0.76</v>
      </c>
      <c r="M1095" s="10">
        <v>2388</v>
      </c>
      <c r="N1095" s="69"/>
      <c r="O1095" s="11">
        <f>O1092+1</f>
        <v>270</v>
      </c>
    </row>
    <row r="1096" spans="1:15" x14ac:dyDescent="0.25">
      <c r="A1096" s="10"/>
      <c r="G1096" s="21"/>
      <c r="H1096" s="21"/>
      <c r="I1096" s="21"/>
      <c r="J1096" s="21"/>
      <c r="K1096" s="21"/>
      <c r="L1096" s="21"/>
      <c r="M1096" s="10"/>
      <c r="O1096" s="11"/>
    </row>
    <row r="1097" spans="1:15" s="4" customFormat="1" x14ac:dyDescent="0.25">
      <c r="A1097" s="6">
        <v>537</v>
      </c>
      <c r="B1097" s="5" t="s">
        <v>550</v>
      </c>
      <c r="C1097" s="5" t="s">
        <v>17</v>
      </c>
      <c r="D1097" s="5" t="s">
        <v>147</v>
      </c>
      <c r="E1097" s="5" t="s">
        <v>148</v>
      </c>
      <c r="F1097" s="5" t="s">
        <v>551</v>
      </c>
      <c r="G1097" s="22">
        <v>11065.08</v>
      </c>
      <c r="H1097" s="22">
        <v>0</v>
      </c>
      <c r="I1097" s="22">
        <v>0</v>
      </c>
      <c r="J1097" s="22">
        <v>0</v>
      </c>
      <c r="K1097" s="22">
        <v>-221.3</v>
      </c>
      <c r="L1097" s="22">
        <v>10843.78</v>
      </c>
      <c r="M1097" s="10"/>
      <c r="N1097" s="67"/>
      <c r="O1097" s="11"/>
    </row>
    <row r="1098" spans="1:15" x14ac:dyDescent="0.25">
      <c r="A1098" s="6">
        <v>538</v>
      </c>
      <c r="B1098" s="5" t="s">
        <v>550</v>
      </c>
      <c r="C1098" s="5" t="s">
        <v>13</v>
      </c>
      <c r="D1098" s="5" t="s">
        <v>147</v>
      </c>
      <c r="E1098" s="5" t="s">
        <v>148</v>
      </c>
      <c r="F1098" s="5" t="s">
        <v>551</v>
      </c>
      <c r="G1098" s="22">
        <v>0</v>
      </c>
      <c r="H1098" s="22">
        <v>0</v>
      </c>
      <c r="I1098" s="22">
        <v>0</v>
      </c>
      <c r="J1098" s="22">
        <v>1327.81</v>
      </c>
      <c r="K1098" s="22">
        <v>0</v>
      </c>
      <c r="L1098" s="22">
        <v>1327.81</v>
      </c>
      <c r="M1098" s="10"/>
      <c r="O1098" s="11"/>
    </row>
    <row r="1099" spans="1:15" x14ac:dyDescent="0.25">
      <c r="A1099" s="6"/>
      <c r="B1099" s="5"/>
      <c r="C1099" s="5"/>
      <c r="D1099" s="5" t="s">
        <v>147</v>
      </c>
      <c r="E1099" s="5" t="s">
        <v>148</v>
      </c>
      <c r="F1099" s="5" t="s">
        <v>551</v>
      </c>
      <c r="G1099" s="14">
        <f t="shared" ref="G1099:L1099" si="277">SUBTOTAL(9,G1097:G1098)</f>
        <v>11065.08</v>
      </c>
      <c r="H1099" s="14">
        <f t="shared" si="277"/>
        <v>0</v>
      </c>
      <c r="I1099" s="14">
        <f t="shared" si="277"/>
        <v>0</v>
      </c>
      <c r="J1099" s="14">
        <f t="shared" si="277"/>
        <v>1327.81</v>
      </c>
      <c r="K1099" s="14">
        <f t="shared" si="277"/>
        <v>-221.3</v>
      </c>
      <c r="L1099" s="14">
        <f t="shared" si="277"/>
        <v>12171.59</v>
      </c>
      <c r="M1099" s="10">
        <v>2389</v>
      </c>
      <c r="N1099" s="69"/>
      <c r="O1099" s="11">
        <f>O1095+1</f>
        <v>271</v>
      </c>
    </row>
    <row r="1100" spans="1:15" s="4" customFormat="1" x14ac:dyDescent="0.25">
      <c r="A1100" s="10"/>
      <c r="B1100"/>
      <c r="C1100"/>
      <c r="D1100"/>
      <c r="E1100"/>
      <c r="F1100"/>
      <c r="G1100" s="21"/>
      <c r="H1100" s="21"/>
      <c r="I1100" s="21"/>
      <c r="J1100" s="21"/>
      <c r="K1100" s="21"/>
      <c r="L1100" s="21"/>
      <c r="M1100" s="10"/>
      <c r="N1100" s="67"/>
      <c r="O1100" s="11"/>
    </row>
    <row r="1101" spans="1:15" x14ac:dyDescent="0.25">
      <c r="A1101" s="6">
        <v>539</v>
      </c>
      <c r="B1101" s="5" t="s">
        <v>550</v>
      </c>
      <c r="C1101" s="5" t="s">
        <v>17</v>
      </c>
      <c r="D1101" s="5" t="s">
        <v>147</v>
      </c>
      <c r="E1101" s="5" t="s">
        <v>148</v>
      </c>
      <c r="F1101" s="5" t="s">
        <v>552</v>
      </c>
      <c r="G1101" s="22">
        <v>0.8</v>
      </c>
      <c r="H1101" s="22">
        <v>0</v>
      </c>
      <c r="I1101" s="22">
        <v>0</v>
      </c>
      <c r="J1101" s="22">
        <v>0</v>
      </c>
      <c r="K1101" s="22">
        <v>-0.02</v>
      </c>
      <c r="L1101" s="22">
        <v>0.78</v>
      </c>
      <c r="M1101" s="10"/>
      <c r="O1101" s="11"/>
    </row>
    <row r="1102" spans="1:15" x14ac:dyDescent="0.25">
      <c r="A1102" s="6">
        <v>540</v>
      </c>
      <c r="B1102" s="5" t="s">
        <v>550</v>
      </c>
      <c r="C1102" s="5" t="s">
        <v>13</v>
      </c>
      <c r="D1102" s="5" t="s">
        <v>147</v>
      </c>
      <c r="E1102" s="5" t="s">
        <v>148</v>
      </c>
      <c r="F1102" s="5" t="s">
        <v>552</v>
      </c>
      <c r="G1102" s="22">
        <v>0</v>
      </c>
      <c r="H1102" s="22">
        <v>0</v>
      </c>
      <c r="I1102" s="22">
        <v>0</v>
      </c>
      <c r="J1102" s="22">
        <v>0.1</v>
      </c>
      <c r="K1102" s="22">
        <v>0</v>
      </c>
      <c r="L1102" s="22">
        <v>0.1</v>
      </c>
      <c r="M1102" s="10"/>
      <c r="O1102" s="11"/>
    </row>
    <row r="1103" spans="1:15" s="4" customFormat="1" x14ac:dyDescent="0.25">
      <c r="A1103" s="6"/>
      <c r="B1103" s="5"/>
      <c r="C1103" s="5"/>
      <c r="D1103" s="5" t="s">
        <v>147</v>
      </c>
      <c r="E1103" s="5" t="s">
        <v>148</v>
      </c>
      <c r="F1103" s="5" t="s">
        <v>552</v>
      </c>
      <c r="G1103" s="14">
        <f t="shared" ref="G1103:L1103" si="278">SUBTOTAL(9,G1101:G1102)</f>
        <v>0.8</v>
      </c>
      <c r="H1103" s="14">
        <f t="shared" si="278"/>
        <v>0</v>
      </c>
      <c r="I1103" s="14">
        <f t="shared" si="278"/>
        <v>0</v>
      </c>
      <c r="J1103" s="14">
        <f t="shared" si="278"/>
        <v>0.1</v>
      </c>
      <c r="K1103" s="14">
        <f t="shared" si="278"/>
        <v>-0.02</v>
      </c>
      <c r="L1103" s="14">
        <f t="shared" si="278"/>
        <v>0.88</v>
      </c>
      <c r="M1103" s="10">
        <v>2390</v>
      </c>
      <c r="N1103" s="69"/>
      <c r="O1103" s="11">
        <f>O1099+1</f>
        <v>272</v>
      </c>
    </row>
    <row r="1104" spans="1:15" s="4" customFormat="1" x14ac:dyDescent="0.25">
      <c r="A1104" s="10"/>
      <c r="B1104"/>
      <c r="C1104"/>
      <c r="D1104"/>
      <c r="E1104"/>
      <c r="F1104"/>
      <c r="G1104" s="21"/>
      <c r="H1104" s="21"/>
      <c r="I1104" s="21"/>
      <c r="J1104" s="21"/>
      <c r="K1104" s="21"/>
      <c r="L1104" s="21"/>
      <c r="M1104" s="10"/>
      <c r="N1104" s="67"/>
      <c r="O1104" s="11"/>
    </row>
    <row r="1105" spans="1:15" x14ac:dyDescent="0.25">
      <c r="A1105" s="6">
        <v>541</v>
      </c>
      <c r="B1105" s="5" t="s">
        <v>557</v>
      </c>
      <c r="C1105" s="5" t="s">
        <v>17</v>
      </c>
      <c r="D1105" s="5" t="s">
        <v>149</v>
      </c>
      <c r="E1105" s="5" t="s">
        <v>150</v>
      </c>
      <c r="F1105" s="5" t="s">
        <v>558</v>
      </c>
      <c r="G1105" s="22">
        <v>0</v>
      </c>
      <c r="H1105" s="22">
        <v>0</v>
      </c>
      <c r="I1105" s="22">
        <v>11.5</v>
      </c>
      <c r="J1105" s="22">
        <v>0</v>
      </c>
      <c r="K1105" s="22">
        <v>-0.23</v>
      </c>
      <c r="L1105" s="22">
        <v>11.27</v>
      </c>
      <c r="M1105" s="10"/>
      <c r="O1105" s="11"/>
    </row>
    <row r="1106" spans="1:15" x14ac:dyDescent="0.25">
      <c r="A1106" s="6"/>
      <c r="B1106" s="5"/>
      <c r="C1106" s="5"/>
      <c r="D1106" s="5" t="s">
        <v>149</v>
      </c>
      <c r="E1106" s="5" t="s">
        <v>150</v>
      </c>
      <c r="F1106" s="5" t="s">
        <v>558</v>
      </c>
      <c r="G1106" s="14">
        <f t="shared" ref="G1106:L1106" si="279">SUBTOTAL(9,G1105:G1105)</f>
        <v>0</v>
      </c>
      <c r="H1106" s="14">
        <f t="shared" si="279"/>
        <v>0</v>
      </c>
      <c r="I1106" s="14">
        <f t="shared" si="279"/>
        <v>11.5</v>
      </c>
      <c r="J1106" s="14">
        <f t="shared" si="279"/>
        <v>0</v>
      </c>
      <c r="K1106" s="14">
        <f t="shared" si="279"/>
        <v>-0.23</v>
      </c>
      <c r="L1106" s="14">
        <f t="shared" si="279"/>
        <v>11.27</v>
      </c>
      <c r="M1106" s="10">
        <v>2391</v>
      </c>
      <c r="N1106" s="69"/>
      <c r="O1106" s="11">
        <f>O1103+1</f>
        <v>273</v>
      </c>
    </row>
    <row r="1107" spans="1:15" s="4" customFormat="1" x14ac:dyDescent="0.25">
      <c r="A1107" s="10"/>
      <c r="B1107"/>
      <c r="C1107"/>
      <c r="D1107"/>
      <c r="E1107"/>
      <c r="F1107"/>
      <c r="G1107" s="21"/>
      <c r="H1107" s="21"/>
      <c r="I1107" s="21"/>
      <c r="J1107" s="21"/>
      <c r="K1107" s="21"/>
      <c r="L1107" s="21"/>
      <c r="M1107" s="10"/>
      <c r="N1107" s="67"/>
      <c r="O1107" s="11"/>
    </row>
    <row r="1108" spans="1:15" s="4" customFormat="1" x14ac:dyDescent="0.25">
      <c r="A1108" s="6">
        <v>542</v>
      </c>
      <c r="B1108" s="5" t="s">
        <v>18</v>
      </c>
      <c r="C1108" s="5" t="s">
        <v>17</v>
      </c>
      <c r="D1108" s="5" t="s">
        <v>149</v>
      </c>
      <c r="E1108" s="5" t="s">
        <v>150</v>
      </c>
      <c r="F1108" s="5" t="s">
        <v>19</v>
      </c>
      <c r="G1108" s="22">
        <v>0</v>
      </c>
      <c r="H1108" s="22">
        <v>0</v>
      </c>
      <c r="I1108" s="22">
        <v>0.79</v>
      </c>
      <c r="J1108" s="22">
        <v>0</v>
      </c>
      <c r="K1108" s="22">
        <v>-0.09</v>
      </c>
      <c r="L1108" s="22">
        <v>0.7</v>
      </c>
      <c r="M1108" s="10"/>
      <c r="N1108" s="67"/>
      <c r="O1108" s="11"/>
    </row>
    <row r="1109" spans="1:15" x14ac:dyDescent="0.25">
      <c r="A1109" s="6"/>
      <c r="B1109" s="5"/>
      <c r="C1109" s="5"/>
      <c r="D1109" s="5" t="s">
        <v>149</v>
      </c>
      <c r="E1109" s="5" t="s">
        <v>150</v>
      </c>
      <c r="F1109" s="5" t="s">
        <v>19</v>
      </c>
      <c r="G1109" s="14">
        <f t="shared" ref="G1109:L1109" si="280">SUBTOTAL(9,G1108:G1108)</f>
        <v>0</v>
      </c>
      <c r="H1109" s="14">
        <f t="shared" si="280"/>
        <v>0</v>
      </c>
      <c r="I1109" s="14">
        <f t="shared" si="280"/>
        <v>0.79</v>
      </c>
      <c r="J1109" s="14">
        <f t="shared" si="280"/>
        <v>0</v>
      </c>
      <c r="K1109" s="14">
        <f t="shared" si="280"/>
        <v>-0.09</v>
      </c>
      <c r="L1109" s="14">
        <f t="shared" si="280"/>
        <v>0.7</v>
      </c>
      <c r="M1109" s="10">
        <v>2392</v>
      </c>
      <c r="N1109" s="69"/>
      <c r="O1109" s="11">
        <f>O1106+1</f>
        <v>274</v>
      </c>
    </row>
    <row r="1110" spans="1:15" x14ac:dyDescent="0.25">
      <c r="A1110" s="10"/>
      <c r="G1110" s="21"/>
      <c r="H1110" s="21"/>
      <c r="I1110" s="21"/>
      <c r="J1110" s="21"/>
      <c r="K1110" s="21"/>
      <c r="L1110" s="21"/>
      <c r="M1110" s="10"/>
      <c r="O1110" s="11"/>
    </row>
    <row r="1111" spans="1:15" s="4" customFormat="1" x14ac:dyDescent="0.25">
      <c r="A1111" s="6">
        <v>543</v>
      </c>
      <c r="B1111" s="5" t="s">
        <v>550</v>
      </c>
      <c r="C1111" s="5" t="s">
        <v>17</v>
      </c>
      <c r="D1111" s="5" t="s">
        <v>149</v>
      </c>
      <c r="E1111" s="5" t="s">
        <v>150</v>
      </c>
      <c r="F1111" s="5" t="s">
        <v>551</v>
      </c>
      <c r="G1111" s="22">
        <v>0</v>
      </c>
      <c r="H1111" s="22">
        <v>0</v>
      </c>
      <c r="I1111" s="22">
        <v>918.99</v>
      </c>
      <c r="J1111" s="22">
        <v>0</v>
      </c>
      <c r="K1111" s="22">
        <v>-18.38</v>
      </c>
      <c r="L1111" s="22">
        <v>900.61</v>
      </c>
      <c r="M1111" s="10"/>
      <c r="N1111" s="67"/>
      <c r="O1111" s="11"/>
    </row>
    <row r="1112" spans="1:15" s="4" customFormat="1" x14ac:dyDescent="0.25">
      <c r="A1112" s="6">
        <v>544</v>
      </c>
      <c r="B1112" s="5" t="s">
        <v>550</v>
      </c>
      <c r="C1112" s="5" t="s">
        <v>17</v>
      </c>
      <c r="D1112" s="5" t="s">
        <v>149</v>
      </c>
      <c r="E1112" s="5" t="s">
        <v>150</v>
      </c>
      <c r="F1112" s="5" t="s">
        <v>551</v>
      </c>
      <c r="G1112" s="22">
        <v>0</v>
      </c>
      <c r="H1112" s="22">
        <v>0</v>
      </c>
      <c r="I1112" s="22">
        <v>1707.32</v>
      </c>
      <c r="J1112" s="22">
        <v>0</v>
      </c>
      <c r="K1112" s="22">
        <v>-34.15</v>
      </c>
      <c r="L1112" s="22">
        <v>1673.17</v>
      </c>
      <c r="M1112" s="10"/>
      <c r="N1112" s="67"/>
      <c r="O1112" s="11"/>
    </row>
    <row r="1113" spans="1:15" x14ac:dyDescent="0.25">
      <c r="A1113" s="6"/>
      <c r="B1113" s="5"/>
      <c r="C1113" s="5"/>
      <c r="D1113" s="5" t="s">
        <v>149</v>
      </c>
      <c r="E1113" s="5" t="s">
        <v>150</v>
      </c>
      <c r="F1113" s="5" t="s">
        <v>551</v>
      </c>
      <c r="G1113" s="14">
        <f t="shared" ref="G1113:L1113" si="281">SUBTOTAL(9,G1111:G1112)</f>
        <v>0</v>
      </c>
      <c r="H1113" s="14">
        <f t="shared" si="281"/>
        <v>0</v>
      </c>
      <c r="I1113" s="14">
        <f t="shared" si="281"/>
        <v>2626.31</v>
      </c>
      <c r="J1113" s="14">
        <f t="shared" si="281"/>
        <v>0</v>
      </c>
      <c r="K1113" s="14">
        <f t="shared" si="281"/>
        <v>-52.53</v>
      </c>
      <c r="L1113" s="14">
        <f t="shared" si="281"/>
        <v>2573.7800000000002</v>
      </c>
      <c r="M1113" s="10">
        <v>2393</v>
      </c>
      <c r="N1113" s="69"/>
      <c r="O1113" s="11">
        <f>O1109+1</f>
        <v>275</v>
      </c>
    </row>
    <row r="1114" spans="1:15" x14ac:dyDescent="0.25">
      <c r="A1114" s="10"/>
      <c r="G1114" s="21"/>
      <c r="H1114" s="21"/>
      <c r="I1114" s="21"/>
      <c r="J1114" s="21"/>
      <c r="K1114" s="21"/>
      <c r="L1114" s="21"/>
      <c r="M1114" s="10"/>
      <c r="O1114" s="11"/>
    </row>
    <row r="1115" spans="1:15" s="4" customFormat="1" x14ac:dyDescent="0.25">
      <c r="A1115" s="6">
        <v>545</v>
      </c>
      <c r="B1115" s="5" t="s">
        <v>550</v>
      </c>
      <c r="C1115" s="5" t="s">
        <v>17</v>
      </c>
      <c r="D1115" s="5" t="s">
        <v>149</v>
      </c>
      <c r="E1115" s="5" t="s">
        <v>150</v>
      </c>
      <c r="F1115" s="5" t="s">
        <v>552</v>
      </c>
      <c r="G1115" s="22">
        <v>0</v>
      </c>
      <c r="H1115" s="22">
        <v>0</v>
      </c>
      <c r="I1115" s="22">
        <v>7.0000000000000007E-2</v>
      </c>
      <c r="J1115" s="22">
        <v>0</v>
      </c>
      <c r="K1115" s="22">
        <v>0</v>
      </c>
      <c r="L1115" s="22">
        <v>7.0000000000000007E-2</v>
      </c>
      <c r="M1115" s="10"/>
      <c r="N1115" s="67"/>
      <c r="O1115" s="11"/>
    </row>
    <row r="1116" spans="1:15" x14ac:dyDescent="0.25">
      <c r="A1116" s="6">
        <v>546</v>
      </c>
      <c r="B1116" s="5" t="s">
        <v>550</v>
      </c>
      <c r="C1116" s="5" t="s">
        <v>17</v>
      </c>
      <c r="D1116" s="5" t="s">
        <v>149</v>
      </c>
      <c r="E1116" s="5" t="s">
        <v>150</v>
      </c>
      <c r="F1116" s="5" t="s">
        <v>552</v>
      </c>
      <c r="G1116" s="22">
        <v>0</v>
      </c>
      <c r="H1116" s="22">
        <v>0</v>
      </c>
      <c r="I1116" s="22">
        <v>0.12</v>
      </c>
      <c r="J1116" s="22">
        <v>0</v>
      </c>
      <c r="K1116" s="22">
        <v>0</v>
      </c>
      <c r="L1116" s="22">
        <v>0.12</v>
      </c>
      <c r="M1116" s="10"/>
      <c r="O1116" s="11"/>
    </row>
    <row r="1117" spans="1:15" x14ac:dyDescent="0.25">
      <c r="A1117" s="6"/>
      <c r="B1117" s="5"/>
      <c r="C1117" s="5"/>
      <c r="D1117" s="5" t="s">
        <v>149</v>
      </c>
      <c r="E1117" s="5" t="s">
        <v>150</v>
      </c>
      <c r="F1117" s="5" t="s">
        <v>552</v>
      </c>
      <c r="G1117" s="14">
        <f t="shared" ref="G1117:L1117" si="282">SUBTOTAL(9,G1115:G1116)</f>
        <v>0</v>
      </c>
      <c r="H1117" s="14">
        <f t="shared" si="282"/>
        <v>0</v>
      </c>
      <c r="I1117" s="14">
        <f t="shared" si="282"/>
        <v>0.19</v>
      </c>
      <c r="J1117" s="14">
        <f t="shared" si="282"/>
        <v>0</v>
      </c>
      <c r="K1117" s="14">
        <f t="shared" si="282"/>
        <v>0</v>
      </c>
      <c r="L1117" s="14">
        <f t="shared" si="282"/>
        <v>0.19</v>
      </c>
      <c r="M1117" s="10">
        <v>2394</v>
      </c>
      <c r="N1117" s="69"/>
      <c r="O1117" s="11">
        <f>O1113+1</f>
        <v>276</v>
      </c>
    </row>
    <row r="1118" spans="1:15" s="4" customFormat="1" x14ac:dyDescent="0.25">
      <c r="A1118" s="10"/>
      <c r="B1118"/>
      <c r="C1118"/>
      <c r="D1118"/>
      <c r="E1118"/>
      <c r="F1118"/>
      <c r="G1118" s="21"/>
      <c r="H1118" s="21"/>
      <c r="I1118" s="21"/>
      <c r="J1118" s="21"/>
      <c r="K1118" s="21"/>
      <c r="L1118" s="21"/>
      <c r="M1118" s="10"/>
      <c r="N1118" s="67"/>
      <c r="O1118" s="11"/>
    </row>
    <row r="1119" spans="1:15" x14ac:dyDescent="0.25">
      <c r="A1119" s="6">
        <v>547</v>
      </c>
      <c r="B1119" s="5" t="s">
        <v>18</v>
      </c>
      <c r="C1119" s="5" t="s">
        <v>17</v>
      </c>
      <c r="D1119" s="5" t="s">
        <v>151</v>
      </c>
      <c r="E1119" s="5" t="s">
        <v>152</v>
      </c>
      <c r="F1119" s="5" t="s">
        <v>19</v>
      </c>
      <c r="G1119" s="22">
        <v>0</v>
      </c>
      <c r="H1119" s="22">
        <v>0</v>
      </c>
      <c r="I1119" s="22">
        <v>0.9</v>
      </c>
      <c r="J1119" s="22">
        <v>0</v>
      </c>
      <c r="K1119" s="22">
        <v>-0.11</v>
      </c>
      <c r="L1119" s="22">
        <v>0.79</v>
      </c>
      <c r="M1119" s="10"/>
      <c r="O1119" s="11"/>
    </row>
    <row r="1120" spans="1:15" x14ac:dyDescent="0.25">
      <c r="A1120" s="6"/>
      <c r="B1120" s="5"/>
      <c r="C1120" s="5"/>
      <c r="D1120" s="5" t="s">
        <v>151</v>
      </c>
      <c r="E1120" s="5" t="s">
        <v>152</v>
      </c>
      <c r="F1120" s="5" t="s">
        <v>19</v>
      </c>
      <c r="G1120" s="14">
        <f t="shared" ref="G1120:L1120" si="283">SUBTOTAL(9,G1119:G1119)</f>
        <v>0</v>
      </c>
      <c r="H1120" s="14">
        <f t="shared" si="283"/>
        <v>0</v>
      </c>
      <c r="I1120" s="14">
        <f t="shared" si="283"/>
        <v>0.9</v>
      </c>
      <c r="J1120" s="14">
        <f t="shared" si="283"/>
        <v>0</v>
      </c>
      <c r="K1120" s="14">
        <f t="shared" si="283"/>
        <v>-0.11</v>
      </c>
      <c r="L1120" s="14">
        <f t="shared" si="283"/>
        <v>0.79</v>
      </c>
      <c r="M1120" s="10">
        <v>2395</v>
      </c>
      <c r="N1120" s="69"/>
      <c r="O1120" s="11">
        <f>O1117+1</f>
        <v>277</v>
      </c>
    </row>
    <row r="1121" spans="1:15" s="4" customFormat="1" x14ac:dyDescent="0.25">
      <c r="A1121" s="10"/>
      <c r="B1121"/>
      <c r="C1121"/>
      <c r="D1121"/>
      <c r="E1121"/>
      <c r="F1121"/>
      <c r="G1121" s="21"/>
      <c r="H1121" s="21"/>
      <c r="I1121" s="21"/>
      <c r="J1121" s="21"/>
      <c r="K1121" s="21"/>
      <c r="L1121" s="21"/>
      <c r="M1121" s="10"/>
      <c r="N1121" s="67"/>
      <c r="O1121" s="11"/>
    </row>
    <row r="1122" spans="1:15" s="4" customFormat="1" x14ac:dyDescent="0.25">
      <c r="A1122" s="6">
        <v>548</v>
      </c>
      <c r="B1122" s="5" t="s">
        <v>559</v>
      </c>
      <c r="C1122" s="5" t="s">
        <v>17</v>
      </c>
      <c r="D1122" s="5" t="s">
        <v>587</v>
      </c>
      <c r="E1122" s="5" t="s">
        <v>152</v>
      </c>
      <c r="F1122" s="36" t="s">
        <v>560</v>
      </c>
      <c r="G1122" s="37">
        <v>0</v>
      </c>
      <c r="H1122" s="37">
        <v>0</v>
      </c>
      <c r="I1122" s="37">
        <v>0.02</v>
      </c>
      <c r="J1122" s="37">
        <v>0</v>
      </c>
      <c r="K1122" s="37">
        <v>0</v>
      </c>
      <c r="L1122" s="37">
        <v>0.02</v>
      </c>
      <c r="M1122" s="10"/>
      <c r="N1122" s="68"/>
      <c r="O1122" s="11"/>
    </row>
    <row r="1123" spans="1:15" x14ac:dyDescent="0.25">
      <c r="A1123" s="6"/>
      <c r="B1123" s="5"/>
      <c r="C1123" s="5"/>
      <c r="D1123" s="5" t="s">
        <v>151</v>
      </c>
      <c r="E1123" s="5" t="s">
        <v>152</v>
      </c>
      <c r="F1123" s="36" t="s">
        <v>560</v>
      </c>
      <c r="G1123" s="14">
        <f t="shared" ref="G1123:L1123" si="284">SUBTOTAL(9,G1122:G1122)</f>
        <v>0</v>
      </c>
      <c r="H1123" s="14">
        <f t="shared" si="284"/>
        <v>0</v>
      </c>
      <c r="I1123" s="14">
        <f t="shared" si="284"/>
        <v>0.02</v>
      </c>
      <c r="J1123" s="14">
        <f t="shared" si="284"/>
        <v>0</v>
      </c>
      <c r="K1123" s="14">
        <f t="shared" si="284"/>
        <v>0</v>
      </c>
      <c r="L1123" s="14">
        <f t="shared" si="284"/>
        <v>0.02</v>
      </c>
      <c r="M1123" s="10">
        <v>2396</v>
      </c>
      <c r="N1123" s="69"/>
      <c r="O1123" s="11">
        <f>O1120+1</f>
        <v>278</v>
      </c>
    </row>
    <row r="1124" spans="1:15" x14ac:dyDescent="0.25">
      <c r="A1124" s="10"/>
      <c r="G1124" s="21"/>
      <c r="H1124" s="21"/>
      <c r="I1124" s="21"/>
      <c r="J1124" s="21"/>
      <c r="K1124" s="21"/>
      <c r="L1124" s="21"/>
      <c r="M1124" s="10"/>
      <c r="O1124" s="11"/>
    </row>
    <row r="1125" spans="1:15" s="4" customFormat="1" x14ac:dyDescent="0.25">
      <c r="A1125" s="6">
        <v>549</v>
      </c>
      <c r="B1125" s="5" t="s">
        <v>550</v>
      </c>
      <c r="C1125" s="5" t="s">
        <v>17</v>
      </c>
      <c r="D1125" s="5" t="s">
        <v>587</v>
      </c>
      <c r="E1125" s="5" t="s">
        <v>152</v>
      </c>
      <c r="F1125" s="5" t="s">
        <v>551</v>
      </c>
      <c r="G1125" s="22">
        <v>0</v>
      </c>
      <c r="H1125" s="22">
        <v>0</v>
      </c>
      <c r="I1125" s="22">
        <v>310.05</v>
      </c>
      <c r="J1125" s="22">
        <v>0</v>
      </c>
      <c r="K1125" s="22">
        <v>-6.2</v>
      </c>
      <c r="L1125" s="22">
        <v>303.85000000000002</v>
      </c>
      <c r="M1125" s="10"/>
      <c r="N1125" s="67"/>
      <c r="O1125" s="11"/>
    </row>
    <row r="1126" spans="1:15" s="4" customFormat="1" x14ac:dyDescent="0.25">
      <c r="A1126" s="6">
        <v>550</v>
      </c>
      <c r="B1126" s="5" t="s">
        <v>550</v>
      </c>
      <c r="C1126" s="5" t="s">
        <v>17</v>
      </c>
      <c r="D1126" s="5" t="s">
        <v>587</v>
      </c>
      <c r="E1126" s="5" t="s">
        <v>152</v>
      </c>
      <c r="F1126" s="5" t="s">
        <v>551</v>
      </c>
      <c r="G1126" s="22">
        <v>0</v>
      </c>
      <c r="H1126" s="22">
        <v>0</v>
      </c>
      <c r="I1126" s="22">
        <v>2441.3000000000002</v>
      </c>
      <c r="J1126" s="22">
        <v>0</v>
      </c>
      <c r="K1126" s="22">
        <v>-48.83</v>
      </c>
      <c r="L1126" s="22">
        <v>2392.4699999999998</v>
      </c>
      <c r="M1126" s="10"/>
      <c r="N1126" s="67"/>
      <c r="O1126" s="11"/>
    </row>
    <row r="1127" spans="1:15" x14ac:dyDescent="0.25">
      <c r="A1127" s="6"/>
      <c r="B1127" s="5"/>
      <c r="C1127" s="5"/>
      <c r="D1127" s="5" t="s">
        <v>151</v>
      </c>
      <c r="E1127" s="5" t="s">
        <v>152</v>
      </c>
      <c r="F1127" s="5" t="s">
        <v>551</v>
      </c>
      <c r="G1127" s="14">
        <f t="shared" ref="G1127:L1127" si="285">SUBTOTAL(9,G1125:G1126)</f>
        <v>0</v>
      </c>
      <c r="H1127" s="14">
        <f t="shared" si="285"/>
        <v>0</v>
      </c>
      <c r="I1127" s="14">
        <f t="shared" si="285"/>
        <v>2751.3500000000004</v>
      </c>
      <c r="J1127" s="14">
        <f t="shared" si="285"/>
        <v>0</v>
      </c>
      <c r="K1127" s="14">
        <f t="shared" si="285"/>
        <v>-55.03</v>
      </c>
      <c r="L1127" s="14">
        <f t="shared" si="285"/>
        <v>2696.3199999999997</v>
      </c>
      <c r="M1127" s="10">
        <v>2397</v>
      </c>
      <c r="N1127" s="69"/>
      <c r="O1127" s="11">
        <f>O1123+1</f>
        <v>279</v>
      </c>
    </row>
    <row r="1128" spans="1:15" x14ac:dyDescent="0.25">
      <c r="A1128" s="10"/>
      <c r="G1128" s="21"/>
      <c r="H1128" s="21"/>
      <c r="I1128" s="21"/>
      <c r="J1128" s="21"/>
      <c r="K1128" s="21"/>
      <c r="L1128" s="21"/>
      <c r="M1128" s="10"/>
      <c r="O1128" s="11"/>
    </row>
    <row r="1129" spans="1:15" s="4" customFormat="1" x14ac:dyDescent="0.25">
      <c r="A1129" s="6">
        <v>551</v>
      </c>
      <c r="B1129" s="5" t="s">
        <v>550</v>
      </c>
      <c r="C1129" s="5" t="s">
        <v>17</v>
      </c>
      <c r="D1129" s="5" t="s">
        <v>587</v>
      </c>
      <c r="E1129" s="5" t="s">
        <v>152</v>
      </c>
      <c r="F1129" s="5" t="s">
        <v>552</v>
      </c>
      <c r="G1129" s="22">
        <v>0</v>
      </c>
      <c r="H1129" s="22">
        <v>0</v>
      </c>
      <c r="I1129" s="22">
        <v>0.02</v>
      </c>
      <c r="J1129" s="22">
        <v>0</v>
      </c>
      <c r="K1129" s="22">
        <v>0</v>
      </c>
      <c r="L1129" s="22">
        <v>0.02</v>
      </c>
      <c r="M1129" s="10"/>
      <c r="N1129" s="67"/>
      <c r="O1129" s="11"/>
    </row>
    <row r="1130" spans="1:15" s="4" customFormat="1" x14ac:dyDescent="0.25">
      <c r="A1130" s="6">
        <v>552</v>
      </c>
      <c r="B1130" s="5" t="s">
        <v>550</v>
      </c>
      <c r="C1130" s="5" t="s">
        <v>17</v>
      </c>
      <c r="D1130" s="5" t="s">
        <v>587</v>
      </c>
      <c r="E1130" s="5" t="s">
        <v>152</v>
      </c>
      <c r="F1130" s="5" t="s">
        <v>552</v>
      </c>
      <c r="G1130" s="22">
        <v>0</v>
      </c>
      <c r="H1130" s="22">
        <v>0</v>
      </c>
      <c r="I1130" s="22">
        <v>0.18</v>
      </c>
      <c r="J1130" s="22">
        <v>0</v>
      </c>
      <c r="K1130" s="22">
        <v>0</v>
      </c>
      <c r="L1130" s="22">
        <v>0.18</v>
      </c>
      <c r="M1130" s="10"/>
      <c r="N1130" s="67"/>
      <c r="O1130" s="11"/>
    </row>
    <row r="1131" spans="1:15" x14ac:dyDescent="0.25">
      <c r="A1131" s="6"/>
      <c r="B1131" s="5"/>
      <c r="C1131" s="5"/>
      <c r="D1131" s="5" t="s">
        <v>151</v>
      </c>
      <c r="E1131" s="5" t="s">
        <v>152</v>
      </c>
      <c r="F1131" s="5" t="s">
        <v>552</v>
      </c>
      <c r="G1131" s="14">
        <f t="shared" ref="G1131:L1131" si="286">SUBTOTAL(9,G1129:G1130)</f>
        <v>0</v>
      </c>
      <c r="H1131" s="14">
        <f t="shared" si="286"/>
        <v>0</v>
      </c>
      <c r="I1131" s="14">
        <f t="shared" si="286"/>
        <v>0.19999999999999998</v>
      </c>
      <c r="J1131" s="14">
        <f t="shared" si="286"/>
        <v>0</v>
      </c>
      <c r="K1131" s="14">
        <f t="shared" si="286"/>
        <v>0</v>
      </c>
      <c r="L1131" s="14">
        <f t="shared" si="286"/>
        <v>0.19999999999999998</v>
      </c>
      <c r="M1131" s="10">
        <v>2398</v>
      </c>
      <c r="N1131" s="69"/>
      <c r="O1131" s="11">
        <f>O1127+1</f>
        <v>280</v>
      </c>
    </row>
    <row r="1132" spans="1:15" x14ac:dyDescent="0.25">
      <c r="A1132" s="10"/>
      <c r="G1132" s="21"/>
      <c r="H1132" s="21"/>
      <c r="I1132" s="21"/>
      <c r="J1132" s="21"/>
      <c r="K1132" s="21"/>
      <c r="L1132" s="21"/>
      <c r="M1132" s="10"/>
      <c r="O1132" s="11"/>
    </row>
    <row r="1133" spans="1:15" s="4" customFormat="1" x14ac:dyDescent="0.25">
      <c r="A1133" s="6">
        <v>553</v>
      </c>
      <c r="B1133" s="5" t="s">
        <v>550</v>
      </c>
      <c r="C1133" s="5" t="s">
        <v>17</v>
      </c>
      <c r="D1133" s="5" t="s">
        <v>153</v>
      </c>
      <c r="E1133" s="5" t="s">
        <v>154</v>
      </c>
      <c r="F1133" s="5" t="s">
        <v>551</v>
      </c>
      <c r="G1133" s="22">
        <v>0</v>
      </c>
      <c r="H1133" s="22">
        <v>0</v>
      </c>
      <c r="I1133" s="22">
        <v>2.67</v>
      </c>
      <c r="J1133" s="22">
        <v>0</v>
      </c>
      <c r="K1133" s="22">
        <v>-0.05</v>
      </c>
      <c r="L1133" s="22">
        <v>2.62</v>
      </c>
      <c r="M1133" s="10"/>
      <c r="N1133" s="67"/>
      <c r="O1133" s="11"/>
    </row>
    <row r="1134" spans="1:15" s="4" customFormat="1" x14ac:dyDescent="0.25">
      <c r="A1134" s="6">
        <v>554</v>
      </c>
      <c r="B1134" s="5" t="s">
        <v>550</v>
      </c>
      <c r="C1134" s="5" t="s">
        <v>17</v>
      </c>
      <c r="D1134" s="5" t="s">
        <v>155</v>
      </c>
      <c r="E1134" s="5" t="s">
        <v>156</v>
      </c>
      <c r="F1134" s="5" t="s">
        <v>551</v>
      </c>
      <c r="G1134" s="22">
        <v>0</v>
      </c>
      <c r="H1134" s="22">
        <v>0</v>
      </c>
      <c r="I1134" s="22">
        <v>11.24</v>
      </c>
      <c r="J1134" s="22">
        <v>0</v>
      </c>
      <c r="K1134" s="22">
        <v>-0.22</v>
      </c>
      <c r="L1134" s="22">
        <v>11.02</v>
      </c>
      <c r="M1134" s="10"/>
      <c r="N1134" s="67"/>
      <c r="O1134" s="11"/>
    </row>
    <row r="1135" spans="1:15" x14ac:dyDescent="0.25">
      <c r="A1135" s="6"/>
      <c r="B1135" s="5"/>
      <c r="C1135" s="5"/>
      <c r="D1135" s="5" t="s">
        <v>155</v>
      </c>
      <c r="E1135" s="5" t="s">
        <v>156</v>
      </c>
      <c r="F1135" s="5" t="s">
        <v>551</v>
      </c>
      <c r="G1135" s="14">
        <f t="shared" ref="G1135:L1135" si="287">SUBTOTAL(9,G1133:G1134)</f>
        <v>0</v>
      </c>
      <c r="H1135" s="14">
        <f t="shared" si="287"/>
        <v>0</v>
      </c>
      <c r="I1135" s="14">
        <f t="shared" si="287"/>
        <v>13.91</v>
      </c>
      <c r="J1135" s="14">
        <f t="shared" si="287"/>
        <v>0</v>
      </c>
      <c r="K1135" s="14">
        <f t="shared" si="287"/>
        <v>-0.27</v>
      </c>
      <c r="L1135" s="14">
        <f t="shared" si="287"/>
        <v>13.64</v>
      </c>
      <c r="M1135" s="10">
        <v>2399</v>
      </c>
      <c r="N1135" s="69"/>
      <c r="O1135" s="11">
        <f>O1131+1</f>
        <v>281</v>
      </c>
    </row>
    <row r="1136" spans="1:15" x14ac:dyDescent="0.25">
      <c r="A1136" s="10"/>
      <c r="G1136" s="21"/>
      <c r="H1136" s="21"/>
      <c r="I1136" s="21"/>
      <c r="J1136" s="21"/>
      <c r="K1136" s="21"/>
      <c r="L1136" s="21"/>
      <c r="M1136" s="10"/>
      <c r="O1136" s="11"/>
    </row>
    <row r="1137" spans="1:15" s="4" customFormat="1" x14ac:dyDescent="0.25">
      <c r="A1137" s="6">
        <v>555</v>
      </c>
      <c r="B1137" s="5" t="s">
        <v>555</v>
      </c>
      <c r="C1137" s="5" t="s">
        <v>17</v>
      </c>
      <c r="D1137" s="5" t="s">
        <v>157</v>
      </c>
      <c r="E1137" s="5" t="s">
        <v>158</v>
      </c>
      <c r="F1137" s="5" t="s">
        <v>556</v>
      </c>
      <c r="G1137" s="22">
        <v>21.2</v>
      </c>
      <c r="H1137" s="22">
        <v>0</v>
      </c>
      <c r="I1137" s="22">
        <v>0</v>
      </c>
      <c r="J1137" s="22">
        <v>0</v>
      </c>
      <c r="K1137" s="22">
        <v>-0.42</v>
      </c>
      <c r="L1137" s="22">
        <v>20.78</v>
      </c>
      <c r="M1137" s="10"/>
      <c r="N1137" s="67"/>
      <c r="O1137" s="11"/>
    </row>
    <row r="1138" spans="1:15" s="4" customFormat="1" x14ac:dyDescent="0.25">
      <c r="A1138" s="6">
        <v>556</v>
      </c>
      <c r="B1138" s="5" t="s">
        <v>555</v>
      </c>
      <c r="C1138" s="5" t="s">
        <v>13</v>
      </c>
      <c r="D1138" s="5" t="s">
        <v>157</v>
      </c>
      <c r="E1138" s="5" t="s">
        <v>158</v>
      </c>
      <c r="F1138" s="5" t="s">
        <v>556</v>
      </c>
      <c r="G1138" s="22">
        <v>0</v>
      </c>
      <c r="H1138" s="22">
        <v>0</v>
      </c>
      <c r="I1138" s="22">
        <v>0</v>
      </c>
      <c r="J1138" s="22">
        <v>2.54</v>
      </c>
      <c r="K1138" s="22">
        <v>0</v>
      </c>
      <c r="L1138" s="22">
        <v>2.54</v>
      </c>
      <c r="M1138" s="10"/>
      <c r="N1138" s="67"/>
      <c r="O1138" s="11"/>
    </row>
    <row r="1139" spans="1:15" x14ac:dyDescent="0.25">
      <c r="A1139" s="6"/>
      <c r="B1139" s="5"/>
      <c r="C1139" s="5"/>
      <c r="D1139" s="5" t="s">
        <v>157</v>
      </c>
      <c r="E1139" s="5" t="s">
        <v>158</v>
      </c>
      <c r="F1139" s="5" t="s">
        <v>556</v>
      </c>
      <c r="G1139" s="14">
        <f t="shared" ref="G1139:L1139" si="288">SUBTOTAL(9,G1137:G1138)</f>
        <v>21.2</v>
      </c>
      <c r="H1139" s="14">
        <f t="shared" si="288"/>
        <v>0</v>
      </c>
      <c r="I1139" s="14">
        <f t="shared" si="288"/>
        <v>0</v>
      </c>
      <c r="J1139" s="14">
        <f t="shared" si="288"/>
        <v>2.54</v>
      </c>
      <c r="K1139" s="14">
        <f t="shared" si="288"/>
        <v>-0.42</v>
      </c>
      <c r="L1139" s="14">
        <f t="shared" si="288"/>
        <v>23.32</v>
      </c>
      <c r="M1139" s="10">
        <v>2400</v>
      </c>
      <c r="N1139" s="69"/>
      <c r="O1139" s="11">
        <f>O1135+1</f>
        <v>282</v>
      </c>
    </row>
    <row r="1140" spans="1:15" x14ac:dyDescent="0.25">
      <c r="A1140" s="10"/>
      <c r="G1140" s="21"/>
      <c r="H1140" s="21"/>
      <c r="I1140" s="21"/>
      <c r="J1140" s="21"/>
      <c r="K1140" s="21"/>
      <c r="L1140" s="21"/>
      <c r="M1140" s="10"/>
      <c r="O1140" s="11"/>
    </row>
    <row r="1141" spans="1:15" s="4" customFormat="1" x14ac:dyDescent="0.25">
      <c r="A1141" s="6">
        <v>557</v>
      </c>
      <c r="B1141" s="5" t="s">
        <v>557</v>
      </c>
      <c r="C1141" s="5" t="s">
        <v>17</v>
      </c>
      <c r="D1141" s="5" t="s">
        <v>157</v>
      </c>
      <c r="E1141" s="5" t="s">
        <v>158</v>
      </c>
      <c r="F1141" s="5" t="s">
        <v>558</v>
      </c>
      <c r="G1141" s="22">
        <v>1.2</v>
      </c>
      <c r="H1141" s="22">
        <v>0</v>
      </c>
      <c r="I1141" s="22">
        <v>0</v>
      </c>
      <c r="J1141" s="22">
        <v>0</v>
      </c>
      <c r="K1141" s="22">
        <v>-0.02</v>
      </c>
      <c r="L1141" s="22">
        <v>1.18</v>
      </c>
      <c r="M1141" s="10"/>
      <c r="N1141" s="67"/>
      <c r="O1141" s="11"/>
    </row>
    <row r="1142" spans="1:15" x14ac:dyDescent="0.25">
      <c r="A1142" s="6">
        <v>558</v>
      </c>
      <c r="B1142" s="5" t="s">
        <v>557</v>
      </c>
      <c r="C1142" s="5" t="s">
        <v>13</v>
      </c>
      <c r="D1142" s="5" t="s">
        <v>157</v>
      </c>
      <c r="E1142" s="5" t="s">
        <v>158</v>
      </c>
      <c r="F1142" s="5" t="s">
        <v>558</v>
      </c>
      <c r="G1142" s="22">
        <v>0</v>
      </c>
      <c r="H1142" s="22">
        <v>0</v>
      </c>
      <c r="I1142" s="22">
        <v>0</v>
      </c>
      <c r="J1142" s="22">
        <v>0.14000000000000001</v>
      </c>
      <c r="K1142" s="22">
        <v>0</v>
      </c>
      <c r="L1142" s="22">
        <v>0.14000000000000001</v>
      </c>
      <c r="M1142" s="10"/>
      <c r="O1142" s="11"/>
    </row>
    <row r="1143" spans="1:15" x14ac:dyDescent="0.25">
      <c r="A1143" s="6"/>
      <c r="B1143" s="5"/>
      <c r="C1143" s="5"/>
      <c r="D1143" s="5" t="s">
        <v>157</v>
      </c>
      <c r="E1143" s="5" t="s">
        <v>158</v>
      </c>
      <c r="F1143" s="5" t="s">
        <v>558</v>
      </c>
      <c r="G1143" s="14">
        <f t="shared" ref="G1143:L1143" si="289">SUBTOTAL(9,G1141:G1142)</f>
        <v>1.2</v>
      </c>
      <c r="H1143" s="14">
        <f t="shared" si="289"/>
        <v>0</v>
      </c>
      <c r="I1143" s="14">
        <f t="shared" si="289"/>
        <v>0</v>
      </c>
      <c r="J1143" s="14">
        <f t="shared" si="289"/>
        <v>0.14000000000000001</v>
      </c>
      <c r="K1143" s="14">
        <f t="shared" si="289"/>
        <v>-0.02</v>
      </c>
      <c r="L1143" s="14">
        <f t="shared" si="289"/>
        <v>1.3199999999999998</v>
      </c>
      <c r="M1143" s="10">
        <v>2401</v>
      </c>
      <c r="N1143" s="69"/>
      <c r="O1143" s="11">
        <f>O1139+1</f>
        <v>283</v>
      </c>
    </row>
    <row r="1144" spans="1:15" s="4" customFormat="1" x14ac:dyDescent="0.25">
      <c r="A1144" s="10"/>
      <c r="B1144"/>
      <c r="C1144"/>
      <c r="D1144"/>
      <c r="E1144"/>
      <c r="F1144"/>
      <c r="G1144" s="21"/>
      <c r="H1144" s="21"/>
      <c r="I1144" s="21"/>
      <c r="J1144" s="21"/>
      <c r="K1144" s="21"/>
      <c r="L1144" s="21"/>
      <c r="M1144" s="10"/>
      <c r="N1144" s="67"/>
      <c r="O1144" s="11"/>
    </row>
    <row r="1145" spans="1:15" x14ac:dyDescent="0.25">
      <c r="A1145" s="6">
        <v>559</v>
      </c>
      <c r="B1145" s="5" t="s">
        <v>550</v>
      </c>
      <c r="C1145" s="5" t="s">
        <v>17</v>
      </c>
      <c r="D1145" s="5" t="s">
        <v>157</v>
      </c>
      <c r="E1145" s="5" t="s">
        <v>158</v>
      </c>
      <c r="F1145" s="5" t="s">
        <v>551</v>
      </c>
      <c r="G1145" s="22">
        <v>149.24</v>
      </c>
      <c r="H1145" s="22">
        <v>0</v>
      </c>
      <c r="I1145" s="22">
        <v>0</v>
      </c>
      <c r="J1145" s="22">
        <v>0</v>
      </c>
      <c r="K1145" s="22">
        <v>-2.98</v>
      </c>
      <c r="L1145" s="22">
        <v>146.26</v>
      </c>
      <c r="M1145" s="10"/>
      <c r="O1145" s="11"/>
    </row>
    <row r="1146" spans="1:15" x14ac:dyDescent="0.25">
      <c r="A1146" s="6">
        <v>560</v>
      </c>
      <c r="B1146" s="5" t="s">
        <v>550</v>
      </c>
      <c r="C1146" s="5" t="s">
        <v>17</v>
      </c>
      <c r="D1146" s="5" t="s">
        <v>157</v>
      </c>
      <c r="E1146" s="5" t="s">
        <v>158</v>
      </c>
      <c r="F1146" s="5" t="s">
        <v>551</v>
      </c>
      <c r="G1146" s="22">
        <v>0</v>
      </c>
      <c r="H1146" s="22">
        <v>0</v>
      </c>
      <c r="I1146" s="22">
        <v>312.47000000000003</v>
      </c>
      <c r="J1146" s="22">
        <v>0</v>
      </c>
      <c r="K1146" s="22">
        <v>-6.25</v>
      </c>
      <c r="L1146" s="22">
        <v>306.22000000000003</v>
      </c>
      <c r="M1146" s="10"/>
      <c r="O1146" s="11"/>
    </row>
    <row r="1147" spans="1:15" s="4" customFormat="1" x14ac:dyDescent="0.25">
      <c r="A1147" s="6">
        <v>561</v>
      </c>
      <c r="B1147" s="5" t="s">
        <v>550</v>
      </c>
      <c r="C1147" s="5" t="s">
        <v>13</v>
      </c>
      <c r="D1147" s="5" t="s">
        <v>157</v>
      </c>
      <c r="E1147" s="5" t="s">
        <v>158</v>
      </c>
      <c r="F1147" s="5" t="s">
        <v>551</v>
      </c>
      <c r="G1147" s="22">
        <v>0</v>
      </c>
      <c r="H1147" s="22">
        <v>0</v>
      </c>
      <c r="I1147" s="22">
        <v>0</v>
      </c>
      <c r="J1147" s="22">
        <v>17.91</v>
      </c>
      <c r="K1147" s="22">
        <v>0</v>
      </c>
      <c r="L1147" s="22">
        <v>17.91</v>
      </c>
      <c r="M1147" s="10"/>
      <c r="N1147" s="67"/>
      <c r="O1147" s="11"/>
    </row>
    <row r="1148" spans="1:15" s="4" customFormat="1" x14ac:dyDescent="0.25">
      <c r="A1148" s="6"/>
      <c r="B1148" s="5"/>
      <c r="C1148" s="5"/>
      <c r="D1148" s="5" t="s">
        <v>157</v>
      </c>
      <c r="E1148" s="5" t="s">
        <v>158</v>
      </c>
      <c r="F1148" s="5" t="s">
        <v>551</v>
      </c>
      <c r="G1148" s="14">
        <f t="shared" ref="G1148:L1148" si="290">SUBTOTAL(9,G1145:G1147)</f>
        <v>149.24</v>
      </c>
      <c r="H1148" s="14">
        <f t="shared" si="290"/>
        <v>0</v>
      </c>
      <c r="I1148" s="14">
        <f t="shared" si="290"/>
        <v>312.47000000000003</v>
      </c>
      <c r="J1148" s="14">
        <f t="shared" si="290"/>
        <v>17.91</v>
      </c>
      <c r="K1148" s="14">
        <f t="shared" si="290"/>
        <v>-9.23</v>
      </c>
      <c r="L1148" s="14">
        <f t="shared" si="290"/>
        <v>470.39000000000004</v>
      </c>
      <c r="M1148" s="10">
        <v>2402</v>
      </c>
      <c r="N1148" s="69"/>
      <c r="O1148" s="11">
        <f>O1143+1</f>
        <v>284</v>
      </c>
    </row>
    <row r="1149" spans="1:15" x14ac:dyDescent="0.25">
      <c r="A1149" s="10"/>
      <c r="G1149" s="21"/>
      <c r="H1149" s="21"/>
      <c r="I1149" s="21"/>
      <c r="J1149" s="21"/>
      <c r="K1149" s="21"/>
      <c r="L1149" s="21"/>
      <c r="M1149" s="10"/>
      <c r="O1149" s="11"/>
    </row>
    <row r="1150" spans="1:15" x14ac:dyDescent="0.25">
      <c r="A1150" s="6">
        <v>562</v>
      </c>
      <c r="B1150" s="5" t="s">
        <v>550</v>
      </c>
      <c r="C1150" s="5" t="s">
        <v>17</v>
      </c>
      <c r="D1150" s="5" t="s">
        <v>157</v>
      </c>
      <c r="E1150" s="5" t="s">
        <v>158</v>
      </c>
      <c r="F1150" s="5" t="s">
        <v>552</v>
      </c>
      <c r="G1150" s="22">
        <v>0.01</v>
      </c>
      <c r="H1150" s="22">
        <v>0</v>
      </c>
      <c r="I1150" s="22">
        <v>0</v>
      </c>
      <c r="J1150" s="22">
        <v>0</v>
      </c>
      <c r="K1150" s="22">
        <v>0</v>
      </c>
      <c r="L1150" s="22">
        <v>0.01</v>
      </c>
      <c r="M1150" s="10"/>
      <c r="O1150" s="11"/>
    </row>
    <row r="1151" spans="1:15" s="4" customFormat="1" x14ac:dyDescent="0.25">
      <c r="A1151" s="6">
        <v>563</v>
      </c>
      <c r="B1151" s="5" t="s">
        <v>550</v>
      </c>
      <c r="C1151" s="5" t="s">
        <v>17</v>
      </c>
      <c r="D1151" s="5" t="s">
        <v>157</v>
      </c>
      <c r="E1151" s="5" t="s">
        <v>158</v>
      </c>
      <c r="F1151" s="5" t="s">
        <v>552</v>
      </c>
      <c r="G1151" s="22">
        <v>0</v>
      </c>
      <c r="H1151" s="22">
        <v>0</v>
      </c>
      <c r="I1151" s="22">
        <v>0.02</v>
      </c>
      <c r="J1151" s="22">
        <v>0</v>
      </c>
      <c r="K1151" s="22">
        <v>0</v>
      </c>
      <c r="L1151" s="22">
        <v>0.02</v>
      </c>
      <c r="M1151" s="10"/>
      <c r="N1151" s="67"/>
      <c r="O1151" s="11"/>
    </row>
    <row r="1152" spans="1:15" s="4" customFormat="1" x14ac:dyDescent="0.25">
      <c r="A1152" s="6">
        <v>564</v>
      </c>
      <c r="B1152" s="5" t="s">
        <v>550</v>
      </c>
      <c r="C1152" s="5" t="s">
        <v>13</v>
      </c>
      <c r="D1152" s="5" t="s">
        <v>157</v>
      </c>
      <c r="E1152" s="5" t="s">
        <v>158</v>
      </c>
      <c r="F1152" s="5" t="s">
        <v>552</v>
      </c>
      <c r="G1152" s="22">
        <v>0</v>
      </c>
      <c r="H1152" s="22">
        <v>0</v>
      </c>
      <c r="I1152" s="22">
        <v>0</v>
      </c>
      <c r="J1152" s="22">
        <v>0</v>
      </c>
      <c r="K1152" s="22">
        <v>0</v>
      </c>
      <c r="L1152" s="22">
        <v>0</v>
      </c>
      <c r="M1152" s="10"/>
      <c r="N1152" s="67"/>
      <c r="O1152" s="11"/>
    </row>
    <row r="1153" spans="1:15" x14ac:dyDescent="0.25">
      <c r="A1153" s="6"/>
      <c r="B1153" s="5"/>
      <c r="C1153" s="5"/>
      <c r="D1153" s="5" t="s">
        <v>157</v>
      </c>
      <c r="E1153" s="5" t="s">
        <v>158</v>
      </c>
      <c r="F1153" s="5" t="s">
        <v>552</v>
      </c>
      <c r="G1153" s="14">
        <f t="shared" ref="G1153:L1153" si="291">SUBTOTAL(9,G1150:G1152)</f>
        <v>0.01</v>
      </c>
      <c r="H1153" s="14">
        <f t="shared" si="291"/>
        <v>0</v>
      </c>
      <c r="I1153" s="14">
        <f t="shared" si="291"/>
        <v>0.02</v>
      </c>
      <c r="J1153" s="14">
        <f t="shared" si="291"/>
        <v>0</v>
      </c>
      <c r="K1153" s="14">
        <f t="shared" si="291"/>
        <v>0</v>
      </c>
      <c r="L1153" s="14">
        <f t="shared" si="291"/>
        <v>0.03</v>
      </c>
      <c r="M1153" s="10">
        <v>2403</v>
      </c>
      <c r="N1153" s="69"/>
      <c r="O1153" s="11">
        <f>O1148+1</f>
        <v>285</v>
      </c>
    </row>
    <row r="1154" spans="1:15" x14ac:dyDescent="0.25">
      <c r="A1154" s="10"/>
      <c r="G1154" s="21"/>
      <c r="H1154" s="21"/>
      <c r="I1154" s="21"/>
      <c r="J1154" s="21"/>
      <c r="K1154" s="21"/>
      <c r="L1154" s="21"/>
      <c r="M1154" s="10"/>
      <c r="O1154" s="11"/>
    </row>
    <row r="1155" spans="1:15" s="4" customFormat="1" x14ac:dyDescent="0.25">
      <c r="A1155" s="6">
        <v>565</v>
      </c>
      <c r="B1155" s="5" t="s">
        <v>550</v>
      </c>
      <c r="C1155" s="5" t="s">
        <v>17</v>
      </c>
      <c r="D1155" s="5" t="s">
        <v>588</v>
      </c>
      <c r="E1155" s="5" t="s">
        <v>158</v>
      </c>
      <c r="F1155" s="5" t="s">
        <v>551</v>
      </c>
      <c r="G1155" s="22">
        <v>0</v>
      </c>
      <c r="H1155" s="22">
        <v>0</v>
      </c>
      <c r="I1155" s="22">
        <v>1.81</v>
      </c>
      <c r="J1155" s="22">
        <v>0</v>
      </c>
      <c r="K1155" s="22">
        <v>-0.04</v>
      </c>
      <c r="L1155" s="22">
        <v>1.77</v>
      </c>
      <c r="M1155" s="10"/>
      <c r="N1155" s="67"/>
      <c r="O1155" s="11"/>
    </row>
    <row r="1156" spans="1:15" s="4" customFormat="1" x14ac:dyDescent="0.25">
      <c r="A1156" s="6">
        <v>566</v>
      </c>
      <c r="B1156" s="5" t="s">
        <v>550</v>
      </c>
      <c r="C1156" s="5" t="s">
        <v>17</v>
      </c>
      <c r="D1156" s="5" t="s">
        <v>589</v>
      </c>
      <c r="E1156" s="5" t="s">
        <v>590</v>
      </c>
      <c r="F1156" s="5" t="s">
        <v>551</v>
      </c>
      <c r="G1156" s="22">
        <v>0</v>
      </c>
      <c r="H1156" s="22">
        <v>0</v>
      </c>
      <c r="I1156" s="22">
        <v>1.1000000000000001</v>
      </c>
      <c r="J1156" s="22">
        <v>0</v>
      </c>
      <c r="K1156" s="22">
        <v>-0.02</v>
      </c>
      <c r="L1156" s="22">
        <v>1.08</v>
      </c>
      <c r="M1156" s="10"/>
      <c r="N1156" s="67"/>
      <c r="O1156" s="11"/>
    </row>
    <row r="1157" spans="1:15" x14ac:dyDescent="0.25">
      <c r="A1157" s="6"/>
      <c r="B1157" s="5"/>
      <c r="C1157" s="5"/>
      <c r="D1157" s="5" t="s">
        <v>159</v>
      </c>
      <c r="E1157" s="5" t="s">
        <v>590</v>
      </c>
      <c r="F1157" s="5" t="s">
        <v>551</v>
      </c>
      <c r="G1157" s="14">
        <f t="shared" ref="G1157:L1157" si="292">SUBTOTAL(9,G1155:G1156)</f>
        <v>0</v>
      </c>
      <c r="H1157" s="14">
        <f t="shared" si="292"/>
        <v>0</v>
      </c>
      <c r="I1157" s="14">
        <f t="shared" si="292"/>
        <v>2.91</v>
      </c>
      <c r="J1157" s="14">
        <f t="shared" si="292"/>
        <v>0</v>
      </c>
      <c r="K1157" s="14">
        <f t="shared" si="292"/>
        <v>-0.06</v>
      </c>
      <c r="L1157" s="14">
        <f t="shared" si="292"/>
        <v>2.85</v>
      </c>
      <c r="M1157" s="10">
        <v>2404</v>
      </c>
      <c r="N1157" s="69"/>
      <c r="O1157" s="11">
        <f>O1153+1</f>
        <v>286</v>
      </c>
    </row>
    <row r="1158" spans="1:15" x14ac:dyDescent="0.25">
      <c r="A1158" s="10"/>
      <c r="G1158" s="21"/>
      <c r="H1158" s="21"/>
      <c r="I1158" s="21"/>
      <c r="J1158" s="21"/>
      <c r="K1158" s="21"/>
      <c r="L1158" s="21"/>
      <c r="M1158" s="10"/>
      <c r="O1158" s="11"/>
    </row>
    <row r="1159" spans="1:15" s="4" customFormat="1" x14ac:dyDescent="0.25">
      <c r="A1159" s="6">
        <v>567</v>
      </c>
      <c r="B1159" s="5" t="s">
        <v>12</v>
      </c>
      <c r="C1159" s="5" t="s">
        <v>13</v>
      </c>
      <c r="D1159" s="5" t="s">
        <v>160</v>
      </c>
      <c r="E1159" s="5" t="s">
        <v>161</v>
      </c>
      <c r="F1159" s="5" t="s">
        <v>16</v>
      </c>
      <c r="G1159" s="22">
        <v>0</v>
      </c>
      <c r="H1159" s="22">
        <v>0</v>
      </c>
      <c r="I1159" s="22">
        <v>0</v>
      </c>
      <c r="J1159" s="22">
        <v>5.0199999999999996</v>
      </c>
      <c r="K1159" s="22">
        <v>0</v>
      </c>
      <c r="L1159" s="22">
        <v>5.0199999999999996</v>
      </c>
      <c r="M1159" s="10"/>
      <c r="N1159" s="67"/>
      <c r="O1159" s="11"/>
    </row>
    <row r="1160" spans="1:15" s="4" customFormat="1" x14ac:dyDescent="0.25">
      <c r="A1160" s="6"/>
      <c r="B1160" s="5"/>
      <c r="C1160" s="5"/>
      <c r="D1160" s="5" t="s">
        <v>160</v>
      </c>
      <c r="E1160" s="5" t="s">
        <v>161</v>
      </c>
      <c r="F1160" s="5" t="s">
        <v>16</v>
      </c>
      <c r="G1160" s="14">
        <f t="shared" ref="G1160:L1160" si="293">SUBTOTAL(9,G1159:G1159)</f>
        <v>0</v>
      </c>
      <c r="H1160" s="14">
        <f t="shared" si="293"/>
        <v>0</v>
      </c>
      <c r="I1160" s="14">
        <f t="shared" si="293"/>
        <v>0</v>
      </c>
      <c r="J1160" s="14">
        <f t="shared" si="293"/>
        <v>5.0199999999999996</v>
      </c>
      <c r="K1160" s="14">
        <f t="shared" si="293"/>
        <v>0</v>
      </c>
      <c r="L1160" s="14">
        <f t="shared" si="293"/>
        <v>5.0199999999999996</v>
      </c>
      <c r="M1160" s="10">
        <v>2405</v>
      </c>
      <c r="N1160" s="69"/>
      <c r="O1160" s="11">
        <f>O1157+1</f>
        <v>287</v>
      </c>
    </row>
    <row r="1161" spans="1:15" x14ac:dyDescent="0.25">
      <c r="A1161" s="10"/>
      <c r="G1161" s="21"/>
      <c r="H1161" s="21"/>
      <c r="I1161" s="21"/>
      <c r="J1161" s="21"/>
      <c r="K1161" s="21"/>
      <c r="L1161" s="21"/>
      <c r="M1161" s="10"/>
      <c r="O1161" s="11"/>
    </row>
    <row r="1162" spans="1:15" x14ac:dyDescent="0.25">
      <c r="A1162" s="6">
        <v>568</v>
      </c>
      <c r="B1162" s="5" t="s">
        <v>22</v>
      </c>
      <c r="C1162" s="5" t="s">
        <v>17</v>
      </c>
      <c r="D1162" s="5" t="s">
        <v>160</v>
      </c>
      <c r="E1162" s="5" t="s">
        <v>161</v>
      </c>
      <c r="F1162" s="5" t="s">
        <v>23</v>
      </c>
      <c r="G1162" s="22">
        <v>1088.45</v>
      </c>
      <c r="H1162" s="22">
        <v>0</v>
      </c>
      <c r="I1162" s="22">
        <v>0</v>
      </c>
      <c r="J1162" s="22">
        <v>0</v>
      </c>
      <c r="K1162" s="22">
        <v>0</v>
      </c>
      <c r="L1162" s="22">
        <v>1088.45</v>
      </c>
      <c r="M1162" s="10"/>
      <c r="O1162" s="11"/>
    </row>
    <row r="1163" spans="1:15" s="4" customFormat="1" x14ac:dyDescent="0.25">
      <c r="A1163" s="6">
        <v>569</v>
      </c>
      <c r="B1163" s="5" t="s">
        <v>22</v>
      </c>
      <c r="C1163" s="5" t="s">
        <v>49</v>
      </c>
      <c r="D1163" s="5" t="s">
        <v>160</v>
      </c>
      <c r="E1163" s="5" t="s">
        <v>161</v>
      </c>
      <c r="F1163" s="5" t="s">
        <v>23</v>
      </c>
      <c r="G1163" s="22">
        <v>2.99</v>
      </c>
      <c r="H1163" s="22">
        <v>0</v>
      </c>
      <c r="I1163" s="22">
        <v>0</v>
      </c>
      <c r="J1163" s="22">
        <v>0</v>
      </c>
      <c r="K1163" s="22">
        <v>0</v>
      </c>
      <c r="L1163" s="22">
        <v>2.99</v>
      </c>
      <c r="M1163" s="10"/>
      <c r="N1163" s="70">
        <v>2.99</v>
      </c>
      <c r="O1163" s="11"/>
    </row>
    <row r="1164" spans="1:15" s="4" customFormat="1" x14ac:dyDescent="0.25">
      <c r="A1164" s="6">
        <v>570</v>
      </c>
      <c r="B1164" s="5" t="s">
        <v>22</v>
      </c>
      <c r="C1164" s="5" t="s">
        <v>13</v>
      </c>
      <c r="D1164" s="5" t="s">
        <v>160</v>
      </c>
      <c r="E1164" s="5" t="s">
        <v>161</v>
      </c>
      <c r="F1164" s="5" t="s">
        <v>23</v>
      </c>
      <c r="G1164" s="22">
        <v>0</v>
      </c>
      <c r="H1164" s="22">
        <v>0</v>
      </c>
      <c r="I1164" s="22">
        <v>0</v>
      </c>
      <c r="J1164" s="22">
        <v>134.51</v>
      </c>
      <c r="K1164" s="22">
        <v>0</v>
      </c>
      <c r="L1164" s="22">
        <v>134.51</v>
      </c>
      <c r="M1164" s="10"/>
      <c r="N1164" s="67"/>
      <c r="O1164" s="11"/>
    </row>
    <row r="1165" spans="1:15" x14ac:dyDescent="0.25">
      <c r="A1165" s="6"/>
      <c r="B1165" s="5"/>
      <c r="C1165" s="5"/>
      <c r="D1165" s="5" t="s">
        <v>160</v>
      </c>
      <c r="E1165" s="5" t="s">
        <v>161</v>
      </c>
      <c r="F1165" s="5" t="s">
        <v>23</v>
      </c>
      <c r="G1165" s="14">
        <f t="shared" ref="G1165:L1165" si="294">SUBTOTAL(9,G1162:G1164)</f>
        <v>1091.44</v>
      </c>
      <c r="H1165" s="14">
        <f t="shared" si="294"/>
        <v>0</v>
      </c>
      <c r="I1165" s="14">
        <f t="shared" si="294"/>
        <v>0</v>
      </c>
      <c r="J1165" s="14">
        <f t="shared" si="294"/>
        <v>134.51</v>
      </c>
      <c r="K1165" s="14">
        <f t="shared" si="294"/>
        <v>0</v>
      </c>
      <c r="L1165" s="14">
        <f t="shared" si="294"/>
        <v>1225.95</v>
      </c>
      <c r="M1165" s="10">
        <v>2406</v>
      </c>
      <c r="N1165" s="71">
        <f>SUBTOTAL(9,N1162:N1164)</f>
        <v>2.99</v>
      </c>
      <c r="O1165" s="11">
        <f>O1160+1</f>
        <v>288</v>
      </c>
    </row>
    <row r="1166" spans="1:15" x14ac:dyDescent="0.25">
      <c r="A1166" s="10"/>
      <c r="G1166" s="21"/>
      <c r="H1166" s="21"/>
      <c r="I1166" s="21"/>
      <c r="J1166" s="21"/>
      <c r="K1166" s="21"/>
      <c r="L1166" s="21"/>
      <c r="M1166" s="10"/>
      <c r="O1166" s="11"/>
    </row>
    <row r="1167" spans="1:15" s="4" customFormat="1" x14ac:dyDescent="0.25">
      <c r="A1167" s="6">
        <v>571</v>
      </c>
      <c r="B1167" s="5" t="s">
        <v>22</v>
      </c>
      <c r="C1167" s="5" t="s">
        <v>17</v>
      </c>
      <c r="D1167" s="5" t="s">
        <v>160</v>
      </c>
      <c r="E1167" s="5" t="s">
        <v>161</v>
      </c>
      <c r="F1167" s="5" t="s">
        <v>24</v>
      </c>
      <c r="G1167" s="22">
        <v>2.11</v>
      </c>
      <c r="H1167" s="22">
        <v>0</v>
      </c>
      <c r="I1167" s="22">
        <v>0</v>
      </c>
      <c r="J1167" s="22">
        <v>0</v>
      </c>
      <c r="K1167" s="22">
        <v>0</v>
      </c>
      <c r="L1167" s="22">
        <v>2.11</v>
      </c>
      <c r="M1167" s="10"/>
      <c r="N1167" s="67"/>
      <c r="O1167" s="11"/>
    </row>
    <row r="1168" spans="1:15" s="4" customFormat="1" x14ac:dyDescent="0.25">
      <c r="A1168" s="6">
        <v>572</v>
      </c>
      <c r="B1168" s="5" t="s">
        <v>22</v>
      </c>
      <c r="C1168" s="5" t="s">
        <v>49</v>
      </c>
      <c r="D1168" s="5" t="s">
        <v>160</v>
      </c>
      <c r="E1168" s="5" t="s">
        <v>161</v>
      </c>
      <c r="F1168" s="5" t="s">
        <v>24</v>
      </c>
      <c r="G1168" s="22">
        <v>0.01</v>
      </c>
      <c r="H1168" s="22">
        <v>0</v>
      </c>
      <c r="I1168" s="22">
        <v>0</v>
      </c>
      <c r="J1168" s="22">
        <v>0</v>
      </c>
      <c r="K1168" s="22">
        <v>0</v>
      </c>
      <c r="L1168" s="22">
        <v>0.01</v>
      </c>
      <c r="M1168" s="10"/>
      <c r="N1168" s="70">
        <v>0.01</v>
      </c>
      <c r="O1168" s="11"/>
    </row>
    <row r="1169" spans="1:15" x14ac:dyDescent="0.25">
      <c r="A1169" s="6">
        <v>573</v>
      </c>
      <c r="B1169" s="5" t="s">
        <v>22</v>
      </c>
      <c r="C1169" s="5" t="s">
        <v>13</v>
      </c>
      <c r="D1169" s="5" t="s">
        <v>160</v>
      </c>
      <c r="E1169" s="5" t="s">
        <v>161</v>
      </c>
      <c r="F1169" s="5" t="s">
        <v>24</v>
      </c>
      <c r="G1169" s="22">
        <v>0</v>
      </c>
      <c r="H1169" s="22">
        <v>0</v>
      </c>
      <c r="I1169" s="22">
        <v>0</v>
      </c>
      <c r="J1169" s="22">
        <v>0.26</v>
      </c>
      <c r="K1169" s="22">
        <v>0</v>
      </c>
      <c r="L1169" s="22">
        <v>0.26</v>
      </c>
      <c r="M1169" s="10"/>
      <c r="O1169" s="11"/>
    </row>
    <row r="1170" spans="1:15" x14ac:dyDescent="0.25">
      <c r="A1170" s="6"/>
      <c r="B1170" s="5"/>
      <c r="C1170" s="5"/>
      <c r="D1170" s="5" t="s">
        <v>160</v>
      </c>
      <c r="E1170" s="5" t="s">
        <v>161</v>
      </c>
      <c r="F1170" s="5" t="s">
        <v>24</v>
      </c>
      <c r="G1170" s="14">
        <f t="shared" ref="G1170:L1170" si="295">SUBTOTAL(9,G1167:G1169)</f>
        <v>2.1199999999999997</v>
      </c>
      <c r="H1170" s="14">
        <f t="shared" si="295"/>
        <v>0</v>
      </c>
      <c r="I1170" s="14">
        <f t="shared" si="295"/>
        <v>0</v>
      </c>
      <c r="J1170" s="14">
        <f t="shared" si="295"/>
        <v>0.26</v>
      </c>
      <c r="K1170" s="14">
        <f t="shared" si="295"/>
        <v>0</v>
      </c>
      <c r="L1170" s="14">
        <f t="shared" si="295"/>
        <v>2.38</v>
      </c>
      <c r="M1170" s="10">
        <v>2407</v>
      </c>
      <c r="N1170" s="71">
        <f>SUBTOTAL(9,N1167:N1169)</f>
        <v>0.01</v>
      </c>
      <c r="O1170" s="11">
        <f>O1165+1</f>
        <v>289</v>
      </c>
    </row>
    <row r="1171" spans="1:15" s="4" customFormat="1" x14ac:dyDescent="0.25">
      <c r="A1171" s="10"/>
      <c r="B1171"/>
      <c r="C1171"/>
      <c r="D1171"/>
      <c r="E1171"/>
      <c r="F1171"/>
      <c r="G1171" s="21"/>
      <c r="H1171" s="21"/>
      <c r="I1171" s="21"/>
      <c r="J1171" s="21"/>
      <c r="K1171" s="21"/>
      <c r="L1171" s="21"/>
      <c r="M1171" s="10"/>
      <c r="N1171" s="67"/>
      <c r="O1171" s="11"/>
    </row>
    <row r="1172" spans="1:15" x14ac:dyDescent="0.25">
      <c r="A1172" s="6">
        <v>574</v>
      </c>
      <c r="B1172" s="5" t="s">
        <v>550</v>
      </c>
      <c r="C1172" s="5" t="s">
        <v>17</v>
      </c>
      <c r="D1172" s="5" t="s">
        <v>160</v>
      </c>
      <c r="E1172" s="5" t="s">
        <v>161</v>
      </c>
      <c r="F1172" s="5" t="s">
        <v>551</v>
      </c>
      <c r="G1172" s="22">
        <v>75.599999999999994</v>
      </c>
      <c r="H1172" s="22">
        <v>0</v>
      </c>
      <c r="I1172" s="22">
        <v>0</v>
      </c>
      <c r="J1172" s="22">
        <v>0</v>
      </c>
      <c r="K1172" s="22">
        <v>0</v>
      </c>
      <c r="L1172" s="22">
        <v>75.599999999999994</v>
      </c>
      <c r="M1172" s="10"/>
      <c r="O1172" s="11"/>
    </row>
    <row r="1173" spans="1:15" x14ac:dyDescent="0.25">
      <c r="A1173" s="6"/>
      <c r="B1173" s="5"/>
      <c r="C1173" s="5"/>
      <c r="D1173" s="5" t="s">
        <v>160</v>
      </c>
      <c r="E1173" s="5" t="s">
        <v>161</v>
      </c>
      <c r="F1173" s="5" t="s">
        <v>551</v>
      </c>
      <c r="G1173" s="14">
        <f t="shared" ref="G1173:L1173" si="296">SUBTOTAL(9,G1172:G1172)</f>
        <v>75.599999999999994</v>
      </c>
      <c r="H1173" s="14">
        <f t="shared" si="296"/>
        <v>0</v>
      </c>
      <c r="I1173" s="14">
        <f t="shared" si="296"/>
        <v>0</v>
      </c>
      <c r="J1173" s="14">
        <f t="shared" si="296"/>
        <v>0</v>
      </c>
      <c r="K1173" s="14">
        <f t="shared" si="296"/>
        <v>0</v>
      </c>
      <c r="L1173" s="14">
        <f t="shared" si="296"/>
        <v>75.599999999999994</v>
      </c>
      <c r="M1173" s="10">
        <v>2408</v>
      </c>
      <c r="N1173" s="69"/>
      <c r="O1173" s="11">
        <f>O1170+1</f>
        <v>290</v>
      </c>
    </row>
    <row r="1174" spans="1:15" s="4" customFormat="1" x14ac:dyDescent="0.25">
      <c r="A1174" s="10"/>
      <c r="B1174"/>
      <c r="C1174"/>
      <c r="D1174"/>
      <c r="E1174"/>
      <c r="F1174"/>
      <c r="G1174" s="21"/>
      <c r="H1174" s="21"/>
      <c r="I1174" s="21"/>
      <c r="J1174" s="21"/>
      <c r="K1174" s="21"/>
      <c r="L1174" s="21"/>
      <c r="M1174" s="10"/>
      <c r="N1174" s="67"/>
      <c r="O1174" s="11"/>
    </row>
    <row r="1175" spans="1:15" s="4" customFormat="1" x14ac:dyDescent="0.25">
      <c r="A1175" s="6">
        <v>575</v>
      </c>
      <c r="B1175" s="5" t="s">
        <v>550</v>
      </c>
      <c r="C1175" s="5" t="s">
        <v>17</v>
      </c>
      <c r="D1175" s="5" t="s">
        <v>160</v>
      </c>
      <c r="E1175" s="5" t="s">
        <v>161</v>
      </c>
      <c r="F1175" s="5" t="s">
        <v>552</v>
      </c>
      <c r="G1175" s="22">
        <v>0.01</v>
      </c>
      <c r="H1175" s="22">
        <v>0</v>
      </c>
      <c r="I1175" s="22">
        <v>0</v>
      </c>
      <c r="J1175" s="22">
        <v>0</v>
      </c>
      <c r="K1175" s="22">
        <v>0</v>
      </c>
      <c r="L1175" s="22">
        <v>0.01</v>
      </c>
      <c r="M1175" s="10"/>
      <c r="N1175" s="67"/>
      <c r="O1175" s="11"/>
    </row>
    <row r="1176" spans="1:15" x14ac:dyDescent="0.25">
      <c r="A1176" s="6"/>
      <c r="B1176" s="5"/>
      <c r="C1176" s="5"/>
      <c r="D1176" s="5" t="s">
        <v>160</v>
      </c>
      <c r="E1176" s="5" t="s">
        <v>161</v>
      </c>
      <c r="F1176" s="5" t="s">
        <v>552</v>
      </c>
      <c r="G1176" s="14">
        <f t="shared" ref="G1176:L1176" si="297">SUBTOTAL(9,G1175:G1175)</f>
        <v>0.01</v>
      </c>
      <c r="H1176" s="14">
        <f t="shared" si="297"/>
        <v>0</v>
      </c>
      <c r="I1176" s="14">
        <f t="shared" si="297"/>
        <v>0</v>
      </c>
      <c r="J1176" s="14">
        <f t="shared" si="297"/>
        <v>0</v>
      </c>
      <c r="K1176" s="14">
        <f t="shared" si="297"/>
        <v>0</v>
      </c>
      <c r="L1176" s="14">
        <f t="shared" si="297"/>
        <v>0.01</v>
      </c>
      <c r="M1176" s="10">
        <v>2409</v>
      </c>
      <c r="N1176" s="69"/>
      <c r="O1176" s="11">
        <f>O1173+1</f>
        <v>291</v>
      </c>
    </row>
    <row r="1177" spans="1:15" x14ac:dyDescent="0.25">
      <c r="A1177" s="10"/>
      <c r="G1177" s="21"/>
      <c r="H1177" s="21"/>
      <c r="I1177" s="21"/>
      <c r="J1177" s="21"/>
      <c r="K1177" s="21"/>
      <c r="L1177" s="21"/>
      <c r="M1177" s="10"/>
      <c r="O1177" s="11"/>
    </row>
    <row r="1178" spans="1:15" s="4" customFormat="1" x14ac:dyDescent="0.25">
      <c r="A1178" s="6">
        <v>576</v>
      </c>
      <c r="B1178" s="5" t="s">
        <v>550</v>
      </c>
      <c r="C1178" s="5" t="s">
        <v>17</v>
      </c>
      <c r="D1178" s="5" t="s">
        <v>591</v>
      </c>
      <c r="E1178" s="5" t="s">
        <v>163</v>
      </c>
      <c r="F1178" s="5" t="s">
        <v>551</v>
      </c>
      <c r="G1178" s="22">
        <v>0</v>
      </c>
      <c r="H1178" s="22">
        <v>0</v>
      </c>
      <c r="I1178" s="22">
        <v>13.3</v>
      </c>
      <c r="J1178" s="22">
        <v>0</v>
      </c>
      <c r="K1178" s="22">
        <v>-0.27</v>
      </c>
      <c r="L1178" s="22">
        <v>13.03</v>
      </c>
      <c r="M1178" s="10"/>
      <c r="N1178" s="67"/>
      <c r="O1178" s="11"/>
    </row>
    <row r="1179" spans="1:15" s="4" customFormat="1" x14ac:dyDescent="0.25">
      <c r="A1179" s="6"/>
      <c r="B1179" s="5"/>
      <c r="C1179" s="5"/>
      <c r="D1179" s="5" t="s">
        <v>162</v>
      </c>
      <c r="E1179" s="5" t="s">
        <v>163</v>
      </c>
      <c r="F1179" s="5" t="s">
        <v>551</v>
      </c>
      <c r="G1179" s="14">
        <f t="shared" ref="G1179:L1179" si="298">SUBTOTAL(9,G1178:G1178)</f>
        <v>0</v>
      </c>
      <c r="H1179" s="14">
        <f t="shared" si="298"/>
        <v>0</v>
      </c>
      <c r="I1179" s="14">
        <f t="shared" si="298"/>
        <v>13.3</v>
      </c>
      <c r="J1179" s="14">
        <f t="shared" si="298"/>
        <v>0</v>
      </c>
      <c r="K1179" s="14">
        <f t="shared" si="298"/>
        <v>-0.27</v>
      </c>
      <c r="L1179" s="14">
        <f t="shared" si="298"/>
        <v>13.03</v>
      </c>
      <c r="M1179" s="10">
        <v>2410</v>
      </c>
      <c r="N1179" s="69"/>
      <c r="O1179" s="11">
        <f>O1176+1</f>
        <v>292</v>
      </c>
    </row>
    <row r="1180" spans="1:15" x14ac:dyDescent="0.25">
      <c r="A1180" s="10"/>
      <c r="G1180" s="21"/>
      <c r="H1180" s="21"/>
      <c r="I1180" s="21"/>
      <c r="J1180" s="21"/>
      <c r="K1180" s="21"/>
      <c r="L1180" s="21"/>
      <c r="M1180" s="10"/>
      <c r="O1180" s="11"/>
    </row>
    <row r="1181" spans="1:15" x14ac:dyDescent="0.25">
      <c r="A1181" s="6">
        <v>577</v>
      </c>
      <c r="B1181" s="5" t="s">
        <v>566</v>
      </c>
      <c r="C1181" s="5" t="s">
        <v>17</v>
      </c>
      <c r="D1181" s="5" t="s">
        <v>164</v>
      </c>
      <c r="E1181" s="5" t="s">
        <v>165</v>
      </c>
      <c r="F1181" s="5" t="s">
        <v>567</v>
      </c>
      <c r="G1181" s="22">
        <v>0</v>
      </c>
      <c r="H1181" s="22">
        <v>0</v>
      </c>
      <c r="I1181" s="22">
        <v>0.28000000000000003</v>
      </c>
      <c r="J1181" s="22">
        <v>0</v>
      </c>
      <c r="K1181" s="22">
        <v>-0.01</v>
      </c>
      <c r="L1181" s="22">
        <v>0.27</v>
      </c>
      <c r="M1181" s="10"/>
      <c r="O1181" s="11"/>
    </row>
    <row r="1182" spans="1:15" s="4" customFormat="1" x14ac:dyDescent="0.25">
      <c r="A1182" s="6"/>
      <c r="B1182" s="5"/>
      <c r="C1182" s="5"/>
      <c r="D1182" s="5" t="s">
        <v>164</v>
      </c>
      <c r="E1182" s="5" t="s">
        <v>165</v>
      </c>
      <c r="F1182" s="5" t="s">
        <v>567</v>
      </c>
      <c r="G1182" s="14">
        <f t="shared" ref="G1182:L1182" si="299">SUBTOTAL(9,G1181:G1181)</f>
        <v>0</v>
      </c>
      <c r="H1182" s="14">
        <f t="shared" si="299"/>
        <v>0</v>
      </c>
      <c r="I1182" s="14">
        <f t="shared" si="299"/>
        <v>0.28000000000000003</v>
      </c>
      <c r="J1182" s="14">
        <f t="shared" si="299"/>
        <v>0</v>
      </c>
      <c r="K1182" s="14">
        <f t="shared" si="299"/>
        <v>-0.01</v>
      </c>
      <c r="L1182" s="14">
        <f t="shared" si="299"/>
        <v>0.27</v>
      </c>
      <c r="M1182" s="10">
        <v>2411</v>
      </c>
      <c r="N1182" s="69"/>
      <c r="O1182" s="11">
        <f>O1179+1</f>
        <v>293</v>
      </c>
    </row>
    <row r="1183" spans="1:15" s="4" customFormat="1" x14ac:dyDescent="0.25">
      <c r="A1183" s="10"/>
      <c r="B1183"/>
      <c r="C1183"/>
      <c r="D1183"/>
      <c r="E1183"/>
      <c r="F1183"/>
      <c r="G1183" s="21"/>
      <c r="H1183" s="21"/>
      <c r="I1183" s="21"/>
      <c r="J1183" s="21"/>
      <c r="K1183" s="21"/>
      <c r="L1183" s="21"/>
      <c r="M1183" s="10"/>
      <c r="N1183" s="67"/>
      <c r="O1183" s="11"/>
    </row>
    <row r="1184" spans="1:15" x14ac:dyDescent="0.25">
      <c r="A1184" s="6">
        <v>578</v>
      </c>
      <c r="B1184" s="5" t="s">
        <v>18</v>
      </c>
      <c r="C1184" s="5" t="s">
        <v>17</v>
      </c>
      <c r="D1184" s="5" t="s">
        <v>164</v>
      </c>
      <c r="E1184" s="5" t="s">
        <v>165</v>
      </c>
      <c r="F1184" s="5" t="s">
        <v>19</v>
      </c>
      <c r="G1184" s="22">
        <v>0</v>
      </c>
      <c r="H1184" s="22">
        <v>0</v>
      </c>
      <c r="I1184" s="22">
        <v>5.69</v>
      </c>
      <c r="J1184" s="22">
        <v>0</v>
      </c>
      <c r="K1184" s="22">
        <v>-0.67</v>
      </c>
      <c r="L1184" s="22">
        <v>5.0199999999999996</v>
      </c>
      <c r="M1184" s="10"/>
      <c r="O1184" s="11"/>
    </row>
    <row r="1185" spans="1:15" x14ac:dyDescent="0.25">
      <c r="A1185" s="6"/>
      <c r="B1185" s="5"/>
      <c r="C1185" s="5"/>
      <c r="D1185" s="5" t="s">
        <v>164</v>
      </c>
      <c r="E1185" s="5" t="s">
        <v>165</v>
      </c>
      <c r="F1185" s="5" t="s">
        <v>19</v>
      </c>
      <c r="G1185" s="14">
        <f t="shared" ref="G1185:L1185" si="300">SUBTOTAL(9,G1184:G1184)</f>
        <v>0</v>
      </c>
      <c r="H1185" s="14">
        <f t="shared" si="300"/>
        <v>0</v>
      </c>
      <c r="I1185" s="14">
        <f t="shared" si="300"/>
        <v>5.69</v>
      </c>
      <c r="J1185" s="14">
        <f t="shared" si="300"/>
        <v>0</v>
      </c>
      <c r="K1185" s="14">
        <f t="shared" si="300"/>
        <v>-0.67</v>
      </c>
      <c r="L1185" s="14">
        <f t="shared" si="300"/>
        <v>5.0199999999999996</v>
      </c>
      <c r="M1185" s="10">
        <v>2412</v>
      </c>
      <c r="N1185" s="69"/>
      <c r="O1185" s="11">
        <f>O1182+1</f>
        <v>294</v>
      </c>
    </row>
    <row r="1186" spans="1:15" s="4" customFormat="1" x14ac:dyDescent="0.25">
      <c r="A1186" s="10"/>
      <c r="B1186"/>
      <c r="C1186"/>
      <c r="D1186"/>
      <c r="E1186"/>
      <c r="F1186"/>
      <c r="G1186" s="21"/>
      <c r="H1186" s="21"/>
      <c r="I1186" s="21"/>
      <c r="J1186" s="21"/>
      <c r="K1186" s="21"/>
      <c r="L1186" s="21"/>
      <c r="M1186" s="10"/>
      <c r="N1186" s="67"/>
      <c r="O1186" s="11"/>
    </row>
    <row r="1187" spans="1:15" x14ac:dyDescent="0.25">
      <c r="A1187" s="6">
        <v>579</v>
      </c>
      <c r="B1187" s="5" t="s">
        <v>20</v>
      </c>
      <c r="C1187" s="5" t="s">
        <v>17</v>
      </c>
      <c r="D1187" s="5" t="s">
        <v>164</v>
      </c>
      <c r="E1187" s="5" t="s">
        <v>165</v>
      </c>
      <c r="F1187" s="5" t="s">
        <v>21</v>
      </c>
      <c r="G1187" s="22">
        <v>0</v>
      </c>
      <c r="H1187" s="22">
        <v>0</v>
      </c>
      <c r="I1187" s="22">
        <v>3.28</v>
      </c>
      <c r="J1187" s="22">
        <v>0</v>
      </c>
      <c r="K1187" s="22">
        <v>-7.0000000000000007E-2</v>
      </c>
      <c r="L1187" s="22">
        <v>3.21</v>
      </c>
      <c r="M1187" s="10"/>
      <c r="O1187" s="11"/>
    </row>
    <row r="1188" spans="1:15" x14ac:dyDescent="0.25">
      <c r="A1188" s="6">
        <v>580</v>
      </c>
      <c r="B1188" s="5" t="s">
        <v>20</v>
      </c>
      <c r="C1188" s="5" t="s">
        <v>49</v>
      </c>
      <c r="D1188" s="5" t="s">
        <v>164</v>
      </c>
      <c r="E1188" s="5" t="s">
        <v>165</v>
      </c>
      <c r="F1188" s="5" t="s">
        <v>21</v>
      </c>
      <c r="G1188" s="22">
        <v>0</v>
      </c>
      <c r="H1188" s="22">
        <v>0</v>
      </c>
      <c r="I1188" s="22">
        <v>0.03</v>
      </c>
      <c r="J1188" s="22">
        <v>0</v>
      </c>
      <c r="K1188" s="22">
        <v>0</v>
      </c>
      <c r="L1188" s="22">
        <v>0.03</v>
      </c>
      <c r="M1188" s="10"/>
      <c r="N1188" s="70">
        <v>0.03</v>
      </c>
      <c r="O1188" s="11"/>
    </row>
    <row r="1189" spans="1:15" s="4" customFormat="1" x14ac:dyDescent="0.25">
      <c r="A1189" s="6"/>
      <c r="B1189" s="5"/>
      <c r="C1189" s="5"/>
      <c r="D1189" s="5" t="s">
        <v>164</v>
      </c>
      <c r="E1189" s="5" t="s">
        <v>165</v>
      </c>
      <c r="F1189" s="5" t="s">
        <v>21</v>
      </c>
      <c r="G1189" s="14">
        <f t="shared" ref="G1189:L1189" si="301">SUBTOTAL(9,G1187:G1188)</f>
        <v>0</v>
      </c>
      <c r="H1189" s="14">
        <f t="shared" si="301"/>
        <v>0</v>
      </c>
      <c r="I1189" s="14">
        <f t="shared" si="301"/>
        <v>3.3099999999999996</v>
      </c>
      <c r="J1189" s="14">
        <f t="shared" si="301"/>
        <v>0</v>
      </c>
      <c r="K1189" s="14">
        <f t="shared" si="301"/>
        <v>-7.0000000000000007E-2</v>
      </c>
      <c r="L1189" s="14">
        <f t="shared" si="301"/>
        <v>3.2399999999999998</v>
      </c>
      <c r="M1189" s="10">
        <v>2413</v>
      </c>
      <c r="N1189" s="71">
        <f>SUBTOTAL(9,N1187:N1188)</f>
        <v>0.03</v>
      </c>
      <c r="O1189" s="11">
        <f>O1185+1</f>
        <v>295</v>
      </c>
    </row>
    <row r="1190" spans="1:15" x14ac:dyDescent="0.25">
      <c r="A1190" s="10"/>
      <c r="G1190" s="21"/>
      <c r="H1190" s="21"/>
      <c r="I1190" s="21"/>
      <c r="J1190" s="21"/>
      <c r="K1190" s="21"/>
      <c r="L1190" s="21"/>
      <c r="M1190" s="10"/>
      <c r="O1190" s="11"/>
    </row>
    <row r="1191" spans="1:15" x14ac:dyDescent="0.25">
      <c r="A1191" s="6">
        <v>581</v>
      </c>
      <c r="B1191" s="5" t="s">
        <v>550</v>
      </c>
      <c r="C1191" s="5" t="s">
        <v>17</v>
      </c>
      <c r="D1191" s="5" t="s">
        <v>164</v>
      </c>
      <c r="E1191" s="5" t="s">
        <v>165</v>
      </c>
      <c r="F1191" s="5" t="s">
        <v>551</v>
      </c>
      <c r="G1191" s="22">
        <v>0</v>
      </c>
      <c r="H1191" s="22">
        <v>0</v>
      </c>
      <c r="I1191" s="22">
        <v>11160.81</v>
      </c>
      <c r="J1191" s="22">
        <v>0</v>
      </c>
      <c r="K1191" s="22">
        <v>-223.21</v>
      </c>
      <c r="L1191" s="22">
        <v>10937.6</v>
      </c>
      <c r="M1191" s="10"/>
      <c r="O1191" s="11"/>
    </row>
    <row r="1192" spans="1:15" s="4" customFormat="1" x14ac:dyDescent="0.25">
      <c r="A1192" s="6">
        <v>582</v>
      </c>
      <c r="B1192" s="5" t="s">
        <v>550</v>
      </c>
      <c r="C1192" s="5" t="s">
        <v>49</v>
      </c>
      <c r="D1192" s="5" t="s">
        <v>164</v>
      </c>
      <c r="E1192" s="5" t="s">
        <v>165</v>
      </c>
      <c r="F1192" s="5" t="s">
        <v>551</v>
      </c>
      <c r="G1192" s="22">
        <v>0</v>
      </c>
      <c r="H1192" s="22">
        <v>0</v>
      </c>
      <c r="I1192" s="22">
        <v>3.5</v>
      </c>
      <c r="J1192" s="22">
        <v>0</v>
      </c>
      <c r="K1192" s="22">
        <v>0</v>
      </c>
      <c r="L1192" s="22">
        <v>3.5</v>
      </c>
      <c r="M1192" s="10"/>
      <c r="N1192" s="70">
        <v>3.5</v>
      </c>
      <c r="O1192" s="11"/>
    </row>
    <row r="1193" spans="1:15" x14ac:dyDescent="0.25">
      <c r="A1193" s="6"/>
      <c r="B1193" s="5"/>
      <c r="C1193" s="5"/>
      <c r="D1193" s="5" t="s">
        <v>164</v>
      </c>
      <c r="E1193" s="5" t="s">
        <v>165</v>
      </c>
      <c r="F1193" s="5" t="s">
        <v>551</v>
      </c>
      <c r="G1193" s="14">
        <f t="shared" ref="G1193:L1193" si="302">SUBTOTAL(9,G1191:G1192)</f>
        <v>0</v>
      </c>
      <c r="H1193" s="14">
        <f t="shared" si="302"/>
        <v>0</v>
      </c>
      <c r="I1193" s="14">
        <f t="shared" si="302"/>
        <v>11164.31</v>
      </c>
      <c r="J1193" s="14">
        <f t="shared" si="302"/>
        <v>0</v>
      </c>
      <c r="K1193" s="14">
        <f t="shared" si="302"/>
        <v>-223.21</v>
      </c>
      <c r="L1193" s="14">
        <f t="shared" si="302"/>
        <v>10941.1</v>
      </c>
      <c r="M1193" s="10">
        <v>2414</v>
      </c>
      <c r="N1193" s="71">
        <f>SUBTOTAL(9,N1191:N1192)</f>
        <v>3.5</v>
      </c>
      <c r="O1193" s="11">
        <f>O1189+1</f>
        <v>296</v>
      </c>
    </row>
    <row r="1194" spans="1:15" x14ac:dyDescent="0.25">
      <c r="A1194" s="10"/>
      <c r="G1194" s="21"/>
      <c r="H1194" s="21"/>
      <c r="I1194" s="21"/>
      <c r="J1194" s="21"/>
      <c r="K1194" s="21"/>
      <c r="L1194" s="21"/>
      <c r="M1194" s="10"/>
      <c r="O1194" s="11"/>
    </row>
    <row r="1195" spans="1:15" s="4" customFormat="1" x14ac:dyDescent="0.25">
      <c r="A1195" s="6">
        <v>583</v>
      </c>
      <c r="B1195" s="5" t="s">
        <v>550</v>
      </c>
      <c r="C1195" s="5" t="s">
        <v>17</v>
      </c>
      <c r="D1195" s="5" t="s">
        <v>164</v>
      </c>
      <c r="E1195" s="5" t="s">
        <v>165</v>
      </c>
      <c r="F1195" s="5" t="s">
        <v>552</v>
      </c>
      <c r="G1195" s="22">
        <v>0</v>
      </c>
      <c r="H1195" s="22">
        <v>0</v>
      </c>
      <c r="I1195" s="22">
        <v>0.8</v>
      </c>
      <c r="J1195" s="22">
        <v>0</v>
      </c>
      <c r="K1195" s="22">
        <v>-0.02</v>
      </c>
      <c r="L1195" s="22">
        <v>0.78</v>
      </c>
      <c r="M1195" s="10"/>
      <c r="N1195" s="67"/>
      <c r="O1195" s="11"/>
    </row>
    <row r="1196" spans="1:15" s="4" customFormat="1" x14ac:dyDescent="0.25">
      <c r="A1196" s="6"/>
      <c r="B1196" s="5"/>
      <c r="C1196" s="5"/>
      <c r="D1196" s="5" t="s">
        <v>164</v>
      </c>
      <c r="E1196" s="5" t="s">
        <v>165</v>
      </c>
      <c r="F1196" s="5" t="s">
        <v>552</v>
      </c>
      <c r="G1196" s="14">
        <f t="shared" ref="G1196:L1196" si="303">SUBTOTAL(9,G1195:G1195)</f>
        <v>0</v>
      </c>
      <c r="H1196" s="14">
        <f t="shared" si="303"/>
        <v>0</v>
      </c>
      <c r="I1196" s="14">
        <f t="shared" si="303"/>
        <v>0.8</v>
      </c>
      <c r="J1196" s="14">
        <f t="shared" si="303"/>
        <v>0</v>
      </c>
      <c r="K1196" s="14">
        <f t="shared" si="303"/>
        <v>-0.02</v>
      </c>
      <c r="L1196" s="14">
        <f t="shared" si="303"/>
        <v>0.78</v>
      </c>
      <c r="M1196" s="10">
        <v>2415</v>
      </c>
      <c r="N1196" s="69"/>
      <c r="O1196" s="11">
        <f>O1193+1</f>
        <v>297</v>
      </c>
    </row>
    <row r="1197" spans="1:15" x14ac:dyDescent="0.25">
      <c r="A1197" s="10"/>
      <c r="G1197" s="21"/>
      <c r="H1197" s="21"/>
      <c r="I1197" s="21"/>
      <c r="J1197" s="21"/>
      <c r="K1197" s="21"/>
      <c r="L1197" s="21"/>
      <c r="M1197" s="10"/>
      <c r="O1197" s="11"/>
    </row>
    <row r="1198" spans="1:15" x14ac:dyDescent="0.25">
      <c r="A1198" s="6">
        <v>584</v>
      </c>
      <c r="B1198" s="5" t="s">
        <v>555</v>
      </c>
      <c r="C1198" s="5" t="s">
        <v>17</v>
      </c>
      <c r="D1198" s="5" t="s">
        <v>166</v>
      </c>
      <c r="E1198" s="5" t="s">
        <v>167</v>
      </c>
      <c r="F1198" s="5" t="s">
        <v>556</v>
      </c>
      <c r="G1198" s="22">
        <v>702.92</v>
      </c>
      <c r="H1198" s="22">
        <v>0</v>
      </c>
      <c r="I1198" s="22">
        <v>0</v>
      </c>
      <c r="J1198" s="22">
        <v>0</v>
      </c>
      <c r="K1198" s="22">
        <v>-14.06</v>
      </c>
      <c r="L1198" s="22">
        <v>688.86</v>
      </c>
      <c r="M1198" s="10"/>
      <c r="O1198" s="11"/>
    </row>
    <row r="1199" spans="1:15" s="4" customFormat="1" x14ac:dyDescent="0.25">
      <c r="A1199" s="6">
        <v>585</v>
      </c>
      <c r="B1199" s="5" t="s">
        <v>555</v>
      </c>
      <c r="C1199" s="5" t="s">
        <v>13</v>
      </c>
      <c r="D1199" s="5" t="s">
        <v>166</v>
      </c>
      <c r="E1199" s="5" t="s">
        <v>167</v>
      </c>
      <c r="F1199" s="5" t="s">
        <v>556</v>
      </c>
      <c r="G1199" s="22">
        <v>0</v>
      </c>
      <c r="H1199" s="22">
        <v>0</v>
      </c>
      <c r="I1199" s="22">
        <v>0</v>
      </c>
      <c r="J1199" s="22">
        <v>84.35</v>
      </c>
      <c r="K1199" s="22">
        <v>0</v>
      </c>
      <c r="L1199" s="22">
        <v>84.35</v>
      </c>
      <c r="M1199" s="10"/>
      <c r="N1199" s="67"/>
      <c r="O1199" s="11"/>
    </row>
    <row r="1200" spans="1:15" s="4" customFormat="1" x14ac:dyDescent="0.25">
      <c r="A1200" s="6"/>
      <c r="B1200" s="5"/>
      <c r="C1200" s="5"/>
      <c r="D1200" s="5" t="s">
        <v>166</v>
      </c>
      <c r="E1200" s="5" t="s">
        <v>167</v>
      </c>
      <c r="F1200" s="5" t="s">
        <v>556</v>
      </c>
      <c r="G1200" s="14">
        <f t="shared" ref="G1200:L1200" si="304">SUBTOTAL(9,G1198:G1199)</f>
        <v>702.92</v>
      </c>
      <c r="H1200" s="14">
        <f t="shared" si="304"/>
        <v>0</v>
      </c>
      <c r="I1200" s="14">
        <f t="shared" si="304"/>
        <v>0</v>
      </c>
      <c r="J1200" s="14">
        <f t="shared" si="304"/>
        <v>84.35</v>
      </c>
      <c r="K1200" s="14">
        <f t="shared" si="304"/>
        <v>-14.06</v>
      </c>
      <c r="L1200" s="14">
        <f t="shared" si="304"/>
        <v>773.21</v>
      </c>
      <c r="M1200" s="10">
        <v>2416</v>
      </c>
      <c r="N1200" s="69"/>
      <c r="O1200" s="11">
        <f>O1196+1</f>
        <v>298</v>
      </c>
    </row>
    <row r="1201" spans="1:15" x14ac:dyDescent="0.25">
      <c r="A1201" s="10"/>
      <c r="G1201" s="21"/>
      <c r="H1201" s="21"/>
      <c r="I1201" s="21"/>
      <c r="J1201" s="21"/>
      <c r="K1201" s="21"/>
      <c r="L1201" s="21"/>
      <c r="M1201" s="10"/>
      <c r="O1201" s="11"/>
    </row>
    <row r="1202" spans="1:15" x14ac:dyDescent="0.25">
      <c r="A1202" s="6">
        <v>586</v>
      </c>
      <c r="B1202" s="5" t="s">
        <v>557</v>
      </c>
      <c r="C1202" s="5" t="s">
        <v>17</v>
      </c>
      <c r="D1202" s="5" t="s">
        <v>166</v>
      </c>
      <c r="E1202" s="5" t="s">
        <v>167</v>
      </c>
      <c r="F1202" s="5" t="s">
        <v>558</v>
      </c>
      <c r="G1202" s="22">
        <v>451.98</v>
      </c>
      <c r="H1202" s="22">
        <v>0</v>
      </c>
      <c r="I1202" s="22">
        <v>0</v>
      </c>
      <c r="J1202" s="22">
        <v>0</v>
      </c>
      <c r="K1202" s="22">
        <v>-9.0399999999999991</v>
      </c>
      <c r="L1202" s="22">
        <v>442.94</v>
      </c>
      <c r="M1202" s="10"/>
      <c r="O1202" s="11"/>
    </row>
    <row r="1203" spans="1:15" s="4" customFormat="1" x14ac:dyDescent="0.25">
      <c r="A1203" s="6">
        <v>587</v>
      </c>
      <c r="B1203" s="5" t="s">
        <v>557</v>
      </c>
      <c r="C1203" s="5" t="s">
        <v>13</v>
      </c>
      <c r="D1203" s="5" t="s">
        <v>166</v>
      </c>
      <c r="E1203" s="5" t="s">
        <v>167</v>
      </c>
      <c r="F1203" s="5" t="s">
        <v>558</v>
      </c>
      <c r="G1203" s="22">
        <v>0</v>
      </c>
      <c r="H1203" s="22">
        <v>0</v>
      </c>
      <c r="I1203" s="22">
        <v>0</v>
      </c>
      <c r="J1203" s="22">
        <v>54.24</v>
      </c>
      <c r="K1203" s="22">
        <v>0</v>
      </c>
      <c r="L1203" s="22">
        <v>54.24</v>
      </c>
      <c r="M1203" s="10"/>
      <c r="N1203" s="67"/>
      <c r="O1203" s="11"/>
    </row>
    <row r="1204" spans="1:15" x14ac:dyDescent="0.25">
      <c r="A1204" s="6"/>
      <c r="B1204" s="5"/>
      <c r="C1204" s="5"/>
      <c r="D1204" s="5" t="s">
        <v>166</v>
      </c>
      <c r="E1204" s="5" t="s">
        <v>167</v>
      </c>
      <c r="F1204" s="5" t="s">
        <v>558</v>
      </c>
      <c r="G1204" s="14">
        <f t="shared" ref="G1204:L1204" si="305">SUBTOTAL(9,G1202:G1203)</f>
        <v>451.98</v>
      </c>
      <c r="H1204" s="14">
        <f t="shared" si="305"/>
        <v>0</v>
      </c>
      <c r="I1204" s="14">
        <f t="shared" si="305"/>
        <v>0</v>
      </c>
      <c r="J1204" s="14">
        <f t="shared" si="305"/>
        <v>54.24</v>
      </c>
      <c r="K1204" s="14">
        <f t="shared" si="305"/>
        <v>-9.0399999999999991</v>
      </c>
      <c r="L1204" s="14">
        <f t="shared" si="305"/>
        <v>497.18</v>
      </c>
      <c r="M1204" s="10">
        <v>2417</v>
      </c>
      <c r="N1204" s="69"/>
      <c r="O1204" s="11">
        <f>O1200+1</f>
        <v>299</v>
      </c>
    </row>
    <row r="1205" spans="1:15" x14ac:dyDescent="0.25">
      <c r="A1205" s="10"/>
      <c r="G1205" s="21"/>
      <c r="H1205" s="21"/>
      <c r="I1205" s="21"/>
      <c r="J1205" s="21"/>
      <c r="K1205" s="21"/>
      <c r="L1205" s="21"/>
      <c r="M1205" s="10"/>
      <c r="O1205" s="11"/>
    </row>
    <row r="1206" spans="1:15" s="4" customFormat="1" x14ac:dyDescent="0.25">
      <c r="A1206" s="6">
        <v>588</v>
      </c>
      <c r="B1206" s="5" t="s">
        <v>550</v>
      </c>
      <c r="C1206" s="5" t="s">
        <v>17</v>
      </c>
      <c r="D1206" s="5" t="s">
        <v>166</v>
      </c>
      <c r="E1206" s="5" t="s">
        <v>167</v>
      </c>
      <c r="F1206" s="5" t="s">
        <v>551</v>
      </c>
      <c r="G1206" s="22">
        <v>13507</v>
      </c>
      <c r="H1206" s="22">
        <v>0</v>
      </c>
      <c r="I1206" s="22">
        <v>0</v>
      </c>
      <c r="J1206" s="22">
        <v>0</v>
      </c>
      <c r="K1206" s="22">
        <v>-270.14</v>
      </c>
      <c r="L1206" s="22">
        <v>13236.86</v>
      </c>
      <c r="M1206" s="10"/>
      <c r="N1206" s="67"/>
      <c r="O1206" s="11"/>
    </row>
    <row r="1207" spans="1:15" x14ac:dyDescent="0.25">
      <c r="A1207" s="6">
        <v>589</v>
      </c>
      <c r="B1207" s="5" t="s">
        <v>550</v>
      </c>
      <c r="C1207" s="5" t="s">
        <v>13</v>
      </c>
      <c r="D1207" s="5" t="s">
        <v>166</v>
      </c>
      <c r="E1207" s="5" t="s">
        <v>167</v>
      </c>
      <c r="F1207" s="5" t="s">
        <v>551</v>
      </c>
      <c r="G1207" s="22">
        <v>0</v>
      </c>
      <c r="H1207" s="22">
        <v>0</v>
      </c>
      <c r="I1207" s="22">
        <v>0</v>
      </c>
      <c r="J1207" s="22">
        <v>1620.84</v>
      </c>
      <c r="K1207" s="22">
        <v>0</v>
      </c>
      <c r="L1207" s="22">
        <v>1620.84</v>
      </c>
      <c r="M1207" s="10"/>
      <c r="O1207" s="11"/>
    </row>
    <row r="1208" spans="1:15" x14ac:dyDescent="0.25">
      <c r="A1208" s="6"/>
      <c r="B1208" s="5"/>
      <c r="C1208" s="5"/>
      <c r="D1208" s="5" t="s">
        <v>166</v>
      </c>
      <c r="E1208" s="5" t="s">
        <v>167</v>
      </c>
      <c r="F1208" s="5" t="s">
        <v>551</v>
      </c>
      <c r="G1208" s="14">
        <f t="shared" ref="G1208:L1208" si="306">SUBTOTAL(9,G1206:G1207)</f>
        <v>13507</v>
      </c>
      <c r="H1208" s="14">
        <f t="shared" si="306"/>
        <v>0</v>
      </c>
      <c r="I1208" s="14">
        <f t="shared" si="306"/>
        <v>0</v>
      </c>
      <c r="J1208" s="14">
        <f t="shared" si="306"/>
        <v>1620.84</v>
      </c>
      <c r="K1208" s="14">
        <f t="shared" si="306"/>
        <v>-270.14</v>
      </c>
      <c r="L1208" s="14">
        <f t="shared" si="306"/>
        <v>14857.7</v>
      </c>
      <c r="M1208" s="10">
        <v>2418</v>
      </c>
      <c r="N1208" s="69"/>
      <c r="O1208" s="11">
        <f>O1204+1</f>
        <v>300</v>
      </c>
    </row>
    <row r="1209" spans="1:15" s="4" customFormat="1" x14ac:dyDescent="0.25">
      <c r="A1209" s="10"/>
      <c r="B1209"/>
      <c r="C1209"/>
      <c r="D1209"/>
      <c r="E1209"/>
      <c r="F1209"/>
      <c r="G1209" s="21"/>
      <c r="H1209" s="21"/>
      <c r="I1209" s="21"/>
      <c r="J1209" s="21"/>
      <c r="K1209" s="21"/>
      <c r="L1209" s="21"/>
      <c r="M1209" s="10"/>
      <c r="N1209" s="67"/>
      <c r="O1209" s="11"/>
    </row>
    <row r="1210" spans="1:15" x14ac:dyDescent="0.25">
      <c r="A1210" s="6">
        <v>590</v>
      </c>
      <c r="B1210" s="5" t="s">
        <v>550</v>
      </c>
      <c r="C1210" s="5" t="s">
        <v>17</v>
      </c>
      <c r="D1210" s="5" t="s">
        <v>166</v>
      </c>
      <c r="E1210" s="5" t="s">
        <v>167</v>
      </c>
      <c r="F1210" s="5" t="s">
        <v>552</v>
      </c>
      <c r="G1210" s="22">
        <v>0.97</v>
      </c>
      <c r="H1210" s="22">
        <v>0</v>
      </c>
      <c r="I1210" s="22">
        <v>0</v>
      </c>
      <c r="J1210" s="22">
        <v>0</v>
      </c>
      <c r="K1210" s="22">
        <v>-0.02</v>
      </c>
      <c r="L1210" s="22">
        <v>0.95</v>
      </c>
      <c r="M1210" s="10"/>
      <c r="O1210" s="11"/>
    </row>
    <row r="1211" spans="1:15" x14ac:dyDescent="0.25">
      <c r="A1211" s="6">
        <v>591</v>
      </c>
      <c r="B1211" s="5" t="s">
        <v>550</v>
      </c>
      <c r="C1211" s="5" t="s">
        <v>13</v>
      </c>
      <c r="D1211" s="5" t="s">
        <v>166</v>
      </c>
      <c r="E1211" s="5" t="s">
        <v>167</v>
      </c>
      <c r="F1211" s="5" t="s">
        <v>552</v>
      </c>
      <c r="G1211" s="22">
        <v>0</v>
      </c>
      <c r="H1211" s="22">
        <v>0</v>
      </c>
      <c r="I1211" s="22">
        <v>0</v>
      </c>
      <c r="J1211" s="22">
        <v>0.12</v>
      </c>
      <c r="K1211" s="22">
        <v>0</v>
      </c>
      <c r="L1211" s="22">
        <v>0.12</v>
      </c>
      <c r="M1211" s="10"/>
      <c r="O1211" s="11"/>
    </row>
    <row r="1212" spans="1:15" s="4" customFormat="1" x14ac:dyDescent="0.25">
      <c r="A1212" s="6"/>
      <c r="B1212" s="5"/>
      <c r="C1212" s="5"/>
      <c r="D1212" s="5" t="s">
        <v>166</v>
      </c>
      <c r="E1212" s="5" t="s">
        <v>167</v>
      </c>
      <c r="F1212" s="5" t="s">
        <v>552</v>
      </c>
      <c r="G1212" s="14">
        <f t="shared" ref="G1212:L1212" si="307">SUBTOTAL(9,G1210:G1211)</f>
        <v>0.97</v>
      </c>
      <c r="H1212" s="14">
        <f t="shared" si="307"/>
        <v>0</v>
      </c>
      <c r="I1212" s="14">
        <f t="shared" si="307"/>
        <v>0</v>
      </c>
      <c r="J1212" s="14">
        <f t="shared" si="307"/>
        <v>0.12</v>
      </c>
      <c r="K1212" s="14">
        <f t="shared" si="307"/>
        <v>-0.02</v>
      </c>
      <c r="L1212" s="14">
        <f t="shared" si="307"/>
        <v>1.0699999999999998</v>
      </c>
      <c r="M1212" s="10">
        <v>2419</v>
      </c>
      <c r="N1212" s="69"/>
      <c r="O1212" s="11">
        <f>O1208+1</f>
        <v>301</v>
      </c>
    </row>
    <row r="1213" spans="1:15" x14ac:dyDescent="0.25">
      <c r="A1213" s="10"/>
      <c r="G1213" s="21"/>
      <c r="H1213" s="21"/>
      <c r="I1213" s="21"/>
      <c r="J1213" s="21"/>
      <c r="K1213" s="21"/>
      <c r="L1213" s="21"/>
      <c r="M1213" s="10"/>
      <c r="O1213" s="11"/>
    </row>
    <row r="1214" spans="1:15" x14ac:dyDescent="0.25">
      <c r="A1214" s="6">
        <v>592</v>
      </c>
      <c r="B1214" s="5" t="s">
        <v>550</v>
      </c>
      <c r="C1214" s="5" t="s">
        <v>17</v>
      </c>
      <c r="D1214" s="5" t="s">
        <v>168</v>
      </c>
      <c r="E1214" s="5" t="s">
        <v>169</v>
      </c>
      <c r="F1214" s="5" t="s">
        <v>551</v>
      </c>
      <c r="G1214" s="22">
        <v>1293.7</v>
      </c>
      <c r="H1214" s="22">
        <v>0</v>
      </c>
      <c r="I1214" s="22">
        <v>0</v>
      </c>
      <c r="J1214" s="22">
        <v>0</v>
      </c>
      <c r="K1214" s="22">
        <v>-25.87</v>
      </c>
      <c r="L1214" s="22">
        <v>1267.83</v>
      </c>
      <c r="M1214" s="10"/>
      <c r="O1214" s="11"/>
    </row>
    <row r="1215" spans="1:15" s="4" customFormat="1" x14ac:dyDescent="0.25">
      <c r="A1215" s="6"/>
      <c r="B1215" s="5"/>
      <c r="C1215" s="5"/>
      <c r="D1215" s="5" t="s">
        <v>168</v>
      </c>
      <c r="E1215" s="5" t="s">
        <v>169</v>
      </c>
      <c r="F1215" s="5" t="s">
        <v>551</v>
      </c>
      <c r="G1215" s="14">
        <f t="shared" ref="G1215:L1215" si="308">SUBTOTAL(9,G1214:G1214)</f>
        <v>1293.7</v>
      </c>
      <c r="H1215" s="14">
        <f t="shared" si="308"/>
        <v>0</v>
      </c>
      <c r="I1215" s="14">
        <f t="shared" si="308"/>
        <v>0</v>
      </c>
      <c r="J1215" s="14">
        <f t="shared" si="308"/>
        <v>0</v>
      </c>
      <c r="K1215" s="14">
        <f t="shared" si="308"/>
        <v>-25.87</v>
      </c>
      <c r="L1215" s="14">
        <f t="shared" si="308"/>
        <v>1267.83</v>
      </c>
      <c r="M1215" s="10">
        <v>2420</v>
      </c>
      <c r="N1215" s="69"/>
      <c r="O1215" s="11">
        <f>O1212+1</f>
        <v>302</v>
      </c>
    </row>
    <row r="1216" spans="1:15" x14ac:dyDescent="0.25">
      <c r="A1216" s="10"/>
      <c r="G1216" s="21"/>
      <c r="H1216" s="21"/>
      <c r="I1216" s="21"/>
      <c r="J1216" s="21"/>
      <c r="K1216" s="21"/>
      <c r="L1216" s="21"/>
      <c r="M1216" s="10"/>
      <c r="O1216" s="11"/>
    </row>
    <row r="1217" spans="1:15" x14ac:dyDescent="0.25">
      <c r="A1217" s="6">
        <v>593</v>
      </c>
      <c r="B1217" s="5" t="s">
        <v>550</v>
      </c>
      <c r="C1217" s="5" t="s">
        <v>17</v>
      </c>
      <c r="D1217" s="5" t="s">
        <v>168</v>
      </c>
      <c r="E1217" s="5" t="s">
        <v>169</v>
      </c>
      <c r="F1217" s="5" t="s">
        <v>552</v>
      </c>
      <c r="G1217" s="22">
        <v>0.09</v>
      </c>
      <c r="H1217" s="22">
        <v>0</v>
      </c>
      <c r="I1217" s="22">
        <v>0</v>
      </c>
      <c r="J1217" s="22">
        <v>0</v>
      </c>
      <c r="K1217" s="22">
        <v>0</v>
      </c>
      <c r="L1217" s="22">
        <v>0.09</v>
      </c>
      <c r="M1217" s="10"/>
      <c r="O1217" s="11"/>
    </row>
    <row r="1218" spans="1:15" s="4" customFormat="1" x14ac:dyDescent="0.25">
      <c r="A1218" s="6"/>
      <c r="B1218" s="5"/>
      <c r="C1218" s="5"/>
      <c r="D1218" s="5" t="s">
        <v>168</v>
      </c>
      <c r="E1218" s="5" t="s">
        <v>169</v>
      </c>
      <c r="F1218" s="5" t="s">
        <v>552</v>
      </c>
      <c r="G1218" s="14">
        <f t="shared" ref="G1218:L1218" si="309">SUBTOTAL(9,G1217:G1217)</f>
        <v>0.09</v>
      </c>
      <c r="H1218" s="14">
        <f t="shared" si="309"/>
        <v>0</v>
      </c>
      <c r="I1218" s="14">
        <f t="shared" si="309"/>
        <v>0</v>
      </c>
      <c r="J1218" s="14">
        <f t="shared" si="309"/>
        <v>0</v>
      </c>
      <c r="K1218" s="14">
        <f t="shared" si="309"/>
        <v>0</v>
      </c>
      <c r="L1218" s="14">
        <f t="shared" si="309"/>
        <v>0.09</v>
      </c>
      <c r="M1218" s="10">
        <v>2421</v>
      </c>
      <c r="N1218" s="69"/>
      <c r="O1218" s="11">
        <f>O1215+1</f>
        <v>303</v>
      </c>
    </row>
    <row r="1219" spans="1:15" x14ac:dyDescent="0.25">
      <c r="A1219" s="10"/>
      <c r="G1219" s="21"/>
      <c r="H1219" s="21"/>
      <c r="I1219" s="21"/>
      <c r="J1219" s="21"/>
      <c r="K1219" s="21"/>
      <c r="L1219" s="21"/>
      <c r="M1219" s="10"/>
      <c r="O1219" s="11"/>
    </row>
    <row r="1220" spans="1:15" x14ac:dyDescent="0.25">
      <c r="A1220" s="6">
        <v>594</v>
      </c>
      <c r="B1220" s="5" t="s">
        <v>22</v>
      </c>
      <c r="C1220" s="5" t="s">
        <v>17</v>
      </c>
      <c r="D1220" s="5" t="s">
        <v>592</v>
      </c>
      <c r="E1220" s="5" t="s">
        <v>171</v>
      </c>
      <c r="F1220" s="5" t="s">
        <v>23</v>
      </c>
      <c r="G1220" s="22">
        <v>0</v>
      </c>
      <c r="H1220" s="22">
        <v>0</v>
      </c>
      <c r="I1220" s="22">
        <v>0</v>
      </c>
      <c r="J1220" s="22">
        <v>0</v>
      </c>
      <c r="K1220" s="22">
        <v>0</v>
      </c>
      <c r="L1220" s="22">
        <v>0</v>
      </c>
      <c r="M1220" s="10"/>
      <c r="O1220" s="11"/>
    </row>
    <row r="1221" spans="1:15" s="4" customFormat="1" x14ac:dyDescent="0.25">
      <c r="A1221" s="28"/>
      <c r="B1221" s="29"/>
      <c r="C1221" s="29"/>
      <c r="D1221" s="29" t="s">
        <v>170</v>
      </c>
      <c r="E1221" s="29" t="s">
        <v>171</v>
      </c>
      <c r="F1221" s="29" t="s">
        <v>23</v>
      </c>
      <c r="G1221" s="31">
        <f t="shared" ref="G1221:L1221" si="310">SUBTOTAL(9,G1220:G1220)</f>
        <v>0</v>
      </c>
      <c r="H1221" s="31">
        <f t="shared" si="310"/>
        <v>0</v>
      </c>
      <c r="I1221" s="31">
        <f t="shared" si="310"/>
        <v>0</v>
      </c>
      <c r="J1221" s="31">
        <f t="shared" si="310"/>
        <v>0</v>
      </c>
      <c r="K1221" s="31">
        <f t="shared" si="310"/>
        <v>0</v>
      </c>
      <c r="L1221" s="31">
        <f t="shared" si="310"/>
        <v>0</v>
      </c>
      <c r="M1221" s="10"/>
      <c r="N1221" s="69"/>
      <c r="O1221" s="11"/>
    </row>
    <row r="1222" spans="1:15" x14ac:dyDescent="0.25">
      <c r="A1222" s="10"/>
      <c r="G1222" s="21"/>
      <c r="H1222" s="21"/>
      <c r="I1222" s="21"/>
      <c r="J1222" s="21"/>
      <c r="K1222" s="21"/>
      <c r="L1222" s="21"/>
      <c r="M1222" s="10"/>
      <c r="O1222" s="11"/>
    </row>
    <row r="1223" spans="1:15" x14ac:dyDescent="0.25">
      <c r="A1223" s="6">
        <v>595</v>
      </c>
      <c r="B1223" s="5" t="s">
        <v>550</v>
      </c>
      <c r="C1223" s="5" t="s">
        <v>17</v>
      </c>
      <c r="D1223" s="5" t="s">
        <v>592</v>
      </c>
      <c r="E1223" s="5" t="s">
        <v>171</v>
      </c>
      <c r="F1223" s="5" t="s">
        <v>551</v>
      </c>
      <c r="G1223" s="22">
        <v>0</v>
      </c>
      <c r="H1223" s="22">
        <v>0</v>
      </c>
      <c r="I1223" s="22">
        <v>7.09</v>
      </c>
      <c r="J1223" s="22">
        <v>0</v>
      </c>
      <c r="K1223" s="22">
        <v>-0.14000000000000001</v>
      </c>
      <c r="L1223" s="22">
        <v>6.95</v>
      </c>
      <c r="M1223" s="10"/>
      <c r="O1223" s="11"/>
    </row>
    <row r="1224" spans="1:15" s="4" customFormat="1" x14ac:dyDescent="0.25">
      <c r="A1224" s="6"/>
      <c r="B1224" s="5"/>
      <c r="C1224" s="5"/>
      <c r="D1224" s="5" t="s">
        <v>170</v>
      </c>
      <c r="E1224" s="5" t="s">
        <v>171</v>
      </c>
      <c r="F1224" s="5" t="s">
        <v>551</v>
      </c>
      <c r="G1224" s="14">
        <f t="shared" ref="G1224:L1224" si="311">SUBTOTAL(9,G1223:G1223)</f>
        <v>0</v>
      </c>
      <c r="H1224" s="14">
        <f t="shared" si="311"/>
        <v>0</v>
      </c>
      <c r="I1224" s="14">
        <f t="shared" si="311"/>
        <v>7.09</v>
      </c>
      <c r="J1224" s="14">
        <f t="shared" si="311"/>
        <v>0</v>
      </c>
      <c r="K1224" s="14">
        <f t="shared" si="311"/>
        <v>-0.14000000000000001</v>
      </c>
      <c r="L1224" s="14">
        <f t="shared" si="311"/>
        <v>6.95</v>
      </c>
      <c r="M1224" s="10">
        <v>2422</v>
      </c>
      <c r="N1224" s="69"/>
      <c r="O1224" s="11">
        <f>O1218+1</f>
        <v>304</v>
      </c>
    </row>
    <row r="1225" spans="1:15" x14ac:dyDescent="0.25">
      <c r="A1225" s="10"/>
      <c r="G1225" s="21"/>
      <c r="H1225" s="21"/>
      <c r="I1225" s="21"/>
      <c r="J1225" s="21"/>
      <c r="K1225" s="21"/>
      <c r="L1225" s="21"/>
      <c r="M1225" s="10"/>
      <c r="O1225" s="11"/>
    </row>
    <row r="1226" spans="1:15" x14ac:dyDescent="0.25">
      <c r="A1226" s="6">
        <v>596</v>
      </c>
      <c r="B1226" s="5" t="s">
        <v>555</v>
      </c>
      <c r="C1226" s="5" t="s">
        <v>17</v>
      </c>
      <c r="D1226" s="5" t="s">
        <v>172</v>
      </c>
      <c r="E1226" s="5" t="s">
        <v>173</v>
      </c>
      <c r="F1226" s="5" t="s">
        <v>556</v>
      </c>
      <c r="G1226" s="22">
        <v>0</v>
      </c>
      <c r="H1226" s="22">
        <v>0</v>
      </c>
      <c r="I1226" s="22">
        <v>74.3</v>
      </c>
      <c r="J1226" s="22">
        <v>0</v>
      </c>
      <c r="K1226" s="22">
        <v>-1.49</v>
      </c>
      <c r="L1226" s="22">
        <v>72.81</v>
      </c>
      <c r="M1226" s="10"/>
      <c r="O1226" s="11"/>
    </row>
    <row r="1227" spans="1:15" s="4" customFormat="1" x14ac:dyDescent="0.25">
      <c r="A1227" s="6"/>
      <c r="B1227" s="5"/>
      <c r="C1227" s="5"/>
      <c r="D1227" s="5" t="s">
        <v>172</v>
      </c>
      <c r="E1227" s="5" t="s">
        <v>173</v>
      </c>
      <c r="F1227" s="5" t="s">
        <v>556</v>
      </c>
      <c r="G1227" s="14">
        <f t="shared" ref="G1227:L1227" si="312">SUBTOTAL(9,G1226:G1226)</f>
        <v>0</v>
      </c>
      <c r="H1227" s="14">
        <f t="shared" si="312"/>
        <v>0</v>
      </c>
      <c r="I1227" s="14">
        <f t="shared" si="312"/>
        <v>74.3</v>
      </c>
      <c r="J1227" s="14">
        <f t="shared" si="312"/>
        <v>0</v>
      </c>
      <c r="K1227" s="14">
        <f t="shared" si="312"/>
        <v>-1.49</v>
      </c>
      <c r="L1227" s="14">
        <f t="shared" si="312"/>
        <v>72.81</v>
      </c>
      <c r="M1227" s="10">
        <v>2423</v>
      </c>
      <c r="N1227" s="69"/>
      <c r="O1227" s="11">
        <f>O1224+1</f>
        <v>305</v>
      </c>
    </row>
    <row r="1228" spans="1:15" x14ac:dyDescent="0.25">
      <c r="A1228" s="10"/>
      <c r="G1228" s="21"/>
      <c r="H1228" s="21"/>
      <c r="I1228" s="21"/>
      <c r="J1228" s="21"/>
      <c r="K1228" s="21"/>
      <c r="L1228" s="21"/>
      <c r="M1228" s="10"/>
      <c r="O1228" s="11"/>
    </row>
    <row r="1229" spans="1:15" x14ac:dyDescent="0.25">
      <c r="A1229" s="6">
        <v>597</v>
      </c>
      <c r="B1229" s="5" t="s">
        <v>557</v>
      </c>
      <c r="C1229" s="5" t="s">
        <v>17</v>
      </c>
      <c r="D1229" s="5" t="s">
        <v>172</v>
      </c>
      <c r="E1229" s="5" t="s">
        <v>173</v>
      </c>
      <c r="F1229" s="5" t="s">
        <v>558</v>
      </c>
      <c r="G1229" s="22">
        <v>0</v>
      </c>
      <c r="H1229" s="22">
        <v>0</v>
      </c>
      <c r="I1229" s="22">
        <v>40.82</v>
      </c>
      <c r="J1229" s="22">
        <v>0</v>
      </c>
      <c r="K1229" s="22">
        <v>-0.82</v>
      </c>
      <c r="L1229" s="22">
        <v>40</v>
      </c>
      <c r="M1229" s="10"/>
      <c r="O1229" s="11"/>
    </row>
    <row r="1230" spans="1:15" s="4" customFormat="1" x14ac:dyDescent="0.25">
      <c r="A1230" s="6"/>
      <c r="B1230" s="5"/>
      <c r="C1230" s="5"/>
      <c r="D1230" s="5" t="s">
        <v>172</v>
      </c>
      <c r="E1230" s="5" t="s">
        <v>173</v>
      </c>
      <c r="F1230" s="5" t="s">
        <v>558</v>
      </c>
      <c r="G1230" s="14">
        <f t="shared" ref="G1230:L1230" si="313">SUBTOTAL(9,G1229:G1229)</f>
        <v>0</v>
      </c>
      <c r="H1230" s="14">
        <f t="shared" si="313"/>
        <v>0</v>
      </c>
      <c r="I1230" s="14">
        <f t="shared" si="313"/>
        <v>40.82</v>
      </c>
      <c r="J1230" s="14">
        <f t="shared" si="313"/>
        <v>0</v>
      </c>
      <c r="K1230" s="14">
        <f t="shared" si="313"/>
        <v>-0.82</v>
      </c>
      <c r="L1230" s="14">
        <f t="shared" si="313"/>
        <v>40</v>
      </c>
      <c r="M1230" s="10">
        <v>2424</v>
      </c>
      <c r="N1230" s="69"/>
      <c r="O1230" s="11">
        <f>O1227+1</f>
        <v>306</v>
      </c>
    </row>
    <row r="1231" spans="1:15" x14ac:dyDescent="0.25">
      <c r="A1231" s="10"/>
      <c r="G1231" s="21"/>
      <c r="H1231" s="21"/>
      <c r="I1231" s="21"/>
      <c r="J1231" s="21"/>
      <c r="K1231" s="21"/>
      <c r="L1231" s="21"/>
      <c r="M1231" s="10"/>
      <c r="O1231" s="11"/>
    </row>
    <row r="1232" spans="1:15" x14ac:dyDescent="0.25">
      <c r="A1232" s="6">
        <v>598</v>
      </c>
      <c r="B1232" s="5" t="s">
        <v>550</v>
      </c>
      <c r="C1232" s="5" t="s">
        <v>17</v>
      </c>
      <c r="D1232" s="5" t="s">
        <v>172</v>
      </c>
      <c r="E1232" s="5" t="s">
        <v>173</v>
      </c>
      <c r="F1232" s="5" t="s">
        <v>551</v>
      </c>
      <c r="G1232" s="22">
        <v>0</v>
      </c>
      <c r="H1232" s="22">
        <v>0</v>
      </c>
      <c r="I1232" s="22">
        <v>4268.3500000000004</v>
      </c>
      <c r="J1232" s="22">
        <v>0</v>
      </c>
      <c r="K1232" s="22">
        <v>-85.37</v>
      </c>
      <c r="L1232" s="22">
        <v>4182.9799999999996</v>
      </c>
      <c r="M1232" s="10"/>
      <c r="O1232" s="11"/>
    </row>
    <row r="1233" spans="1:15" s="4" customFormat="1" x14ac:dyDescent="0.25">
      <c r="A1233" s="6">
        <v>599</v>
      </c>
      <c r="B1233" s="5" t="s">
        <v>550</v>
      </c>
      <c r="C1233" s="5" t="s">
        <v>17</v>
      </c>
      <c r="D1233" s="5" t="s">
        <v>172</v>
      </c>
      <c r="E1233" s="5" t="s">
        <v>173</v>
      </c>
      <c r="F1233" s="5" t="s">
        <v>551</v>
      </c>
      <c r="G1233" s="22">
        <v>0</v>
      </c>
      <c r="H1233" s="22">
        <v>0</v>
      </c>
      <c r="I1233" s="22">
        <v>896.15</v>
      </c>
      <c r="J1233" s="22">
        <v>0</v>
      </c>
      <c r="K1233" s="22">
        <v>-17.920000000000002</v>
      </c>
      <c r="L1233" s="22">
        <v>878.23</v>
      </c>
      <c r="M1233" s="10"/>
      <c r="N1233" s="67"/>
      <c r="O1233" s="11"/>
    </row>
    <row r="1234" spans="1:15" x14ac:dyDescent="0.25">
      <c r="A1234" s="6"/>
      <c r="B1234" s="5"/>
      <c r="C1234" s="5"/>
      <c r="D1234" s="5" t="s">
        <v>172</v>
      </c>
      <c r="E1234" s="5" t="s">
        <v>173</v>
      </c>
      <c r="F1234" s="5" t="s">
        <v>551</v>
      </c>
      <c r="G1234" s="14">
        <f t="shared" ref="G1234:L1234" si="314">SUBTOTAL(9,G1232:G1233)</f>
        <v>0</v>
      </c>
      <c r="H1234" s="14">
        <f t="shared" si="314"/>
        <v>0</v>
      </c>
      <c r="I1234" s="14">
        <f t="shared" si="314"/>
        <v>5164.5</v>
      </c>
      <c r="J1234" s="14">
        <f t="shared" si="314"/>
        <v>0</v>
      </c>
      <c r="K1234" s="14">
        <f t="shared" si="314"/>
        <v>-103.29</v>
      </c>
      <c r="L1234" s="14">
        <f t="shared" si="314"/>
        <v>5061.2099999999991</v>
      </c>
      <c r="M1234" s="10">
        <v>2425</v>
      </c>
      <c r="N1234" s="69"/>
      <c r="O1234" s="11">
        <f>O1230+1</f>
        <v>307</v>
      </c>
    </row>
    <row r="1235" spans="1:15" x14ac:dyDescent="0.25">
      <c r="A1235" s="10"/>
      <c r="G1235" s="21"/>
      <c r="H1235" s="21"/>
      <c r="I1235" s="21"/>
      <c r="J1235" s="21"/>
      <c r="K1235" s="21"/>
      <c r="L1235" s="21"/>
      <c r="M1235" s="10"/>
      <c r="O1235" s="11"/>
    </row>
    <row r="1236" spans="1:15" s="4" customFormat="1" x14ac:dyDescent="0.25">
      <c r="A1236" s="6">
        <v>600</v>
      </c>
      <c r="B1236" s="5" t="s">
        <v>550</v>
      </c>
      <c r="C1236" s="5" t="s">
        <v>17</v>
      </c>
      <c r="D1236" s="5" t="s">
        <v>172</v>
      </c>
      <c r="E1236" s="5" t="s">
        <v>173</v>
      </c>
      <c r="F1236" s="5" t="s">
        <v>552</v>
      </c>
      <c r="G1236" s="22">
        <v>0</v>
      </c>
      <c r="H1236" s="22">
        <v>0</v>
      </c>
      <c r="I1236" s="22">
        <v>0.31</v>
      </c>
      <c r="J1236" s="22">
        <v>0</v>
      </c>
      <c r="K1236" s="22">
        <v>-0.01</v>
      </c>
      <c r="L1236" s="22">
        <v>0.3</v>
      </c>
      <c r="M1236" s="10"/>
      <c r="N1236" s="67"/>
      <c r="O1236" s="11"/>
    </row>
    <row r="1237" spans="1:15" s="4" customFormat="1" x14ac:dyDescent="0.25">
      <c r="A1237" s="6">
        <v>601</v>
      </c>
      <c r="B1237" s="5" t="s">
        <v>550</v>
      </c>
      <c r="C1237" s="5" t="s">
        <v>17</v>
      </c>
      <c r="D1237" s="5" t="s">
        <v>172</v>
      </c>
      <c r="E1237" s="5" t="s">
        <v>173</v>
      </c>
      <c r="F1237" s="5" t="s">
        <v>552</v>
      </c>
      <c r="G1237" s="22">
        <v>0</v>
      </c>
      <c r="H1237" s="22">
        <v>0</v>
      </c>
      <c r="I1237" s="22">
        <v>0.06</v>
      </c>
      <c r="J1237" s="22">
        <v>0</v>
      </c>
      <c r="K1237" s="22">
        <v>0</v>
      </c>
      <c r="L1237" s="22">
        <v>0.06</v>
      </c>
      <c r="M1237" s="10"/>
      <c r="N1237" s="67"/>
      <c r="O1237" s="11"/>
    </row>
    <row r="1238" spans="1:15" x14ac:dyDescent="0.25">
      <c r="A1238" s="6"/>
      <c r="B1238" s="5"/>
      <c r="C1238" s="5"/>
      <c r="D1238" s="5" t="s">
        <v>172</v>
      </c>
      <c r="E1238" s="5" t="s">
        <v>173</v>
      </c>
      <c r="F1238" s="5" t="s">
        <v>552</v>
      </c>
      <c r="G1238" s="14">
        <f t="shared" ref="G1238:L1238" si="315">SUBTOTAL(9,G1236:G1237)</f>
        <v>0</v>
      </c>
      <c r="H1238" s="14">
        <f t="shared" si="315"/>
        <v>0</v>
      </c>
      <c r="I1238" s="14">
        <f t="shared" si="315"/>
        <v>0.37</v>
      </c>
      <c r="J1238" s="14">
        <f t="shared" si="315"/>
        <v>0</v>
      </c>
      <c r="K1238" s="14">
        <f t="shared" si="315"/>
        <v>-0.01</v>
      </c>
      <c r="L1238" s="14">
        <f t="shared" si="315"/>
        <v>0.36</v>
      </c>
      <c r="M1238" s="10">
        <v>2426</v>
      </c>
      <c r="N1238" s="69"/>
      <c r="O1238" s="11">
        <f>O1234+1</f>
        <v>308</v>
      </c>
    </row>
    <row r="1239" spans="1:15" x14ac:dyDescent="0.25">
      <c r="A1239" s="10"/>
      <c r="G1239" s="21"/>
      <c r="H1239" s="21"/>
      <c r="I1239" s="21"/>
      <c r="J1239" s="21"/>
      <c r="K1239" s="21"/>
      <c r="L1239" s="21"/>
      <c r="M1239" s="10"/>
      <c r="O1239" s="11"/>
    </row>
    <row r="1240" spans="1:15" s="4" customFormat="1" x14ac:dyDescent="0.25">
      <c r="A1240" s="6">
        <v>602</v>
      </c>
      <c r="B1240" s="5" t="s">
        <v>18</v>
      </c>
      <c r="C1240" s="5" t="s">
        <v>17</v>
      </c>
      <c r="D1240" s="5" t="s">
        <v>174</v>
      </c>
      <c r="E1240" s="5" t="s">
        <v>175</v>
      </c>
      <c r="F1240" s="5" t="s">
        <v>19</v>
      </c>
      <c r="G1240" s="22">
        <v>0</v>
      </c>
      <c r="H1240" s="22">
        <v>0</v>
      </c>
      <c r="I1240" s="22">
        <v>1.02</v>
      </c>
      <c r="J1240" s="22">
        <v>0</v>
      </c>
      <c r="K1240" s="22">
        <v>-0.12</v>
      </c>
      <c r="L1240" s="22">
        <v>0.9</v>
      </c>
      <c r="M1240" s="10"/>
      <c r="N1240" s="67"/>
      <c r="O1240" s="11"/>
    </row>
    <row r="1241" spans="1:15" s="4" customFormat="1" x14ac:dyDescent="0.25">
      <c r="A1241" s="6"/>
      <c r="B1241" s="5"/>
      <c r="C1241" s="5"/>
      <c r="D1241" s="5" t="s">
        <v>174</v>
      </c>
      <c r="E1241" s="5" t="s">
        <v>175</v>
      </c>
      <c r="F1241" s="5" t="s">
        <v>19</v>
      </c>
      <c r="G1241" s="14">
        <f t="shared" ref="G1241:L1241" si="316">SUBTOTAL(9,G1240:G1240)</f>
        <v>0</v>
      </c>
      <c r="H1241" s="14">
        <f t="shared" si="316"/>
        <v>0</v>
      </c>
      <c r="I1241" s="14">
        <f t="shared" si="316"/>
        <v>1.02</v>
      </c>
      <c r="J1241" s="14">
        <f t="shared" si="316"/>
        <v>0</v>
      </c>
      <c r="K1241" s="14">
        <f t="shared" si="316"/>
        <v>-0.12</v>
      </c>
      <c r="L1241" s="14">
        <f t="shared" si="316"/>
        <v>0.9</v>
      </c>
      <c r="M1241" s="10">
        <v>2427</v>
      </c>
      <c r="N1241" s="69"/>
      <c r="O1241" s="11">
        <f>O1238+1</f>
        <v>309</v>
      </c>
    </row>
    <row r="1242" spans="1:15" x14ac:dyDescent="0.25">
      <c r="A1242" s="10"/>
      <c r="G1242" s="21"/>
      <c r="H1242" s="21"/>
      <c r="I1242" s="21"/>
      <c r="J1242" s="21"/>
      <c r="K1242" s="21"/>
      <c r="L1242" s="21"/>
      <c r="M1242" s="10"/>
      <c r="O1242" s="11"/>
    </row>
    <row r="1243" spans="1:15" x14ac:dyDescent="0.25">
      <c r="A1243" s="6">
        <v>603</v>
      </c>
      <c r="B1243" s="5" t="s">
        <v>584</v>
      </c>
      <c r="C1243" s="5" t="s">
        <v>17</v>
      </c>
      <c r="D1243" s="5" t="s">
        <v>593</v>
      </c>
      <c r="E1243" s="5" t="s">
        <v>175</v>
      </c>
      <c r="F1243" s="5" t="s">
        <v>585</v>
      </c>
      <c r="G1243" s="22">
        <v>0</v>
      </c>
      <c r="H1243" s="22">
        <v>0</v>
      </c>
      <c r="I1243" s="22">
        <v>323.95999999999998</v>
      </c>
      <c r="J1243" s="22">
        <v>0</v>
      </c>
      <c r="K1243" s="22">
        <v>-6.48</v>
      </c>
      <c r="L1243" s="22">
        <v>317.48</v>
      </c>
      <c r="M1243" s="10"/>
      <c r="O1243" s="11"/>
    </row>
    <row r="1244" spans="1:15" s="4" customFormat="1" x14ac:dyDescent="0.25">
      <c r="A1244" s="6"/>
      <c r="B1244" s="5"/>
      <c r="C1244" s="5"/>
      <c r="D1244" s="5" t="s">
        <v>174</v>
      </c>
      <c r="E1244" s="5" t="s">
        <v>175</v>
      </c>
      <c r="F1244" s="5" t="s">
        <v>585</v>
      </c>
      <c r="G1244" s="14">
        <f t="shared" ref="G1244:L1244" si="317">SUBTOTAL(9,G1243:G1243)</f>
        <v>0</v>
      </c>
      <c r="H1244" s="14">
        <f t="shared" si="317"/>
        <v>0</v>
      </c>
      <c r="I1244" s="14">
        <f t="shared" si="317"/>
        <v>323.95999999999998</v>
      </c>
      <c r="J1244" s="14">
        <f t="shared" si="317"/>
        <v>0</v>
      </c>
      <c r="K1244" s="14">
        <f t="shared" si="317"/>
        <v>-6.48</v>
      </c>
      <c r="L1244" s="14">
        <f t="shared" si="317"/>
        <v>317.48</v>
      </c>
      <c r="M1244" s="10">
        <v>2428</v>
      </c>
      <c r="N1244" s="69"/>
      <c r="O1244" s="11">
        <f>O1241+1</f>
        <v>310</v>
      </c>
    </row>
    <row r="1245" spans="1:15" s="4" customFormat="1" x14ac:dyDescent="0.25">
      <c r="A1245" s="10"/>
      <c r="B1245"/>
      <c r="C1245"/>
      <c r="D1245"/>
      <c r="E1245"/>
      <c r="F1245"/>
      <c r="G1245" s="21"/>
      <c r="H1245" s="21"/>
      <c r="I1245" s="21"/>
      <c r="J1245" s="21"/>
      <c r="K1245" s="21"/>
      <c r="L1245" s="21"/>
      <c r="M1245" s="10"/>
      <c r="N1245" s="67"/>
      <c r="O1245" s="11"/>
    </row>
    <row r="1246" spans="1:15" x14ac:dyDescent="0.25">
      <c r="A1246" s="6">
        <v>604</v>
      </c>
      <c r="B1246" s="5" t="s">
        <v>559</v>
      </c>
      <c r="C1246" s="5" t="s">
        <v>17</v>
      </c>
      <c r="D1246" s="5" t="s">
        <v>593</v>
      </c>
      <c r="E1246" s="5" t="s">
        <v>175</v>
      </c>
      <c r="F1246" s="5" t="s">
        <v>560</v>
      </c>
      <c r="G1246" s="22">
        <v>0</v>
      </c>
      <c r="H1246" s="22">
        <v>0</v>
      </c>
      <c r="I1246" s="22">
        <v>0.21</v>
      </c>
      <c r="J1246" s="22">
        <v>0</v>
      </c>
      <c r="K1246" s="22">
        <v>0</v>
      </c>
      <c r="L1246" s="22">
        <v>0.21</v>
      </c>
      <c r="M1246" s="10"/>
      <c r="O1246" s="11"/>
    </row>
    <row r="1247" spans="1:15" x14ac:dyDescent="0.25">
      <c r="A1247" s="6"/>
      <c r="B1247" s="5"/>
      <c r="C1247" s="5"/>
      <c r="D1247" s="5" t="s">
        <v>174</v>
      </c>
      <c r="E1247" s="5" t="s">
        <v>175</v>
      </c>
      <c r="F1247" s="5" t="s">
        <v>560</v>
      </c>
      <c r="G1247" s="14">
        <f t="shared" ref="G1247:L1247" si="318">SUBTOTAL(9,G1246:G1246)</f>
        <v>0</v>
      </c>
      <c r="H1247" s="14">
        <f t="shared" si="318"/>
        <v>0</v>
      </c>
      <c r="I1247" s="14">
        <f t="shared" si="318"/>
        <v>0.21</v>
      </c>
      <c r="J1247" s="14">
        <f t="shared" si="318"/>
        <v>0</v>
      </c>
      <c r="K1247" s="14">
        <f t="shared" si="318"/>
        <v>0</v>
      </c>
      <c r="L1247" s="14">
        <f t="shared" si="318"/>
        <v>0.21</v>
      </c>
      <c r="M1247" s="10">
        <v>2429</v>
      </c>
      <c r="N1247" s="69"/>
      <c r="O1247" s="11">
        <f>O1244+1</f>
        <v>311</v>
      </c>
    </row>
    <row r="1248" spans="1:15" s="4" customFormat="1" x14ac:dyDescent="0.25">
      <c r="A1248" s="10"/>
      <c r="B1248"/>
      <c r="C1248"/>
      <c r="D1248"/>
      <c r="E1248"/>
      <c r="F1248"/>
      <c r="G1248" s="21"/>
      <c r="H1248" s="21"/>
      <c r="I1248" s="21"/>
      <c r="J1248" s="21"/>
      <c r="K1248" s="21"/>
      <c r="L1248" s="21"/>
      <c r="M1248" s="10"/>
      <c r="N1248" s="67"/>
      <c r="O1248" s="11"/>
    </row>
    <row r="1249" spans="1:15" s="4" customFormat="1" x14ac:dyDescent="0.25">
      <c r="A1249" s="6">
        <v>605</v>
      </c>
      <c r="B1249" s="5" t="s">
        <v>550</v>
      </c>
      <c r="C1249" s="5" t="s">
        <v>17</v>
      </c>
      <c r="D1249" s="5" t="s">
        <v>593</v>
      </c>
      <c r="E1249" s="5" t="s">
        <v>175</v>
      </c>
      <c r="F1249" s="5" t="s">
        <v>551</v>
      </c>
      <c r="G1249" s="22">
        <v>0</v>
      </c>
      <c r="H1249" s="22">
        <v>0</v>
      </c>
      <c r="I1249" s="22">
        <v>26.24</v>
      </c>
      <c r="J1249" s="22">
        <v>0</v>
      </c>
      <c r="K1249" s="22">
        <v>-0.52</v>
      </c>
      <c r="L1249" s="22">
        <v>25.72</v>
      </c>
      <c r="M1249" s="10"/>
      <c r="N1249" s="67"/>
      <c r="O1249" s="11"/>
    </row>
    <row r="1250" spans="1:15" x14ac:dyDescent="0.25">
      <c r="A1250" s="6">
        <v>606</v>
      </c>
      <c r="B1250" s="5" t="s">
        <v>550</v>
      </c>
      <c r="C1250" s="5" t="s">
        <v>17</v>
      </c>
      <c r="D1250" s="5" t="s">
        <v>593</v>
      </c>
      <c r="E1250" s="5" t="s">
        <v>175</v>
      </c>
      <c r="F1250" s="5" t="s">
        <v>551</v>
      </c>
      <c r="G1250" s="22">
        <v>0</v>
      </c>
      <c r="H1250" s="22">
        <v>0</v>
      </c>
      <c r="I1250" s="22">
        <v>3346.13</v>
      </c>
      <c r="J1250" s="22">
        <v>0</v>
      </c>
      <c r="K1250" s="22">
        <v>-66.92</v>
      </c>
      <c r="L1250" s="22">
        <v>3279.21</v>
      </c>
      <c r="M1250" s="10"/>
      <c r="O1250" s="11"/>
    </row>
    <row r="1251" spans="1:15" x14ac:dyDescent="0.25">
      <c r="A1251" s="6"/>
      <c r="B1251" s="5"/>
      <c r="C1251" s="5"/>
      <c r="D1251" s="5" t="s">
        <v>174</v>
      </c>
      <c r="E1251" s="5" t="s">
        <v>175</v>
      </c>
      <c r="F1251" s="5" t="s">
        <v>551</v>
      </c>
      <c r="G1251" s="14">
        <f t="shared" ref="G1251:L1251" si="319">SUBTOTAL(9,G1249:G1250)</f>
        <v>0</v>
      </c>
      <c r="H1251" s="14">
        <f t="shared" si="319"/>
        <v>0</v>
      </c>
      <c r="I1251" s="14">
        <f t="shared" si="319"/>
        <v>3372.37</v>
      </c>
      <c r="J1251" s="14">
        <f t="shared" si="319"/>
        <v>0</v>
      </c>
      <c r="K1251" s="14">
        <f t="shared" si="319"/>
        <v>-67.44</v>
      </c>
      <c r="L1251" s="14">
        <f t="shared" si="319"/>
        <v>3304.93</v>
      </c>
      <c r="M1251" s="10">
        <v>2430</v>
      </c>
      <c r="N1251" s="69"/>
      <c r="O1251" s="11">
        <f>O1247+1</f>
        <v>312</v>
      </c>
    </row>
    <row r="1252" spans="1:15" s="4" customFormat="1" x14ac:dyDescent="0.25">
      <c r="A1252" s="10"/>
      <c r="B1252"/>
      <c r="C1252"/>
      <c r="D1252"/>
      <c r="E1252"/>
      <c r="F1252"/>
      <c r="G1252" s="21"/>
      <c r="H1252" s="21"/>
      <c r="I1252" s="21"/>
      <c r="J1252" s="21"/>
      <c r="K1252" s="21"/>
      <c r="L1252" s="21"/>
      <c r="M1252" s="10"/>
      <c r="N1252" s="67"/>
      <c r="O1252" s="11"/>
    </row>
    <row r="1253" spans="1:15" s="4" customFormat="1" x14ac:dyDescent="0.25">
      <c r="A1253" s="6">
        <v>607</v>
      </c>
      <c r="B1253" s="5" t="s">
        <v>550</v>
      </c>
      <c r="C1253" s="5" t="s">
        <v>17</v>
      </c>
      <c r="D1253" s="5" t="s">
        <v>593</v>
      </c>
      <c r="E1253" s="5" t="s">
        <v>175</v>
      </c>
      <c r="F1253" s="5" t="s">
        <v>552</v>
      </c>
      <c r="G1253" s="22">
        <v>0</v>
      </c>
      <c r="H1253" s="22">
        <v>0</v>
      </c>
      <c r="I1253" s="22">
        <v>0.24</v>
      </c>
      <c r="J1253" s="22">
        <v>0</v>
      </c>
      <c r="K1253" s="22">
        <v>0</v>
      </c>
      <c r="L1253" s="22">
        <v>0.24</v>
      </c>
      <c r="M1253" s="10"/>
      <c r="N1253" s="67"/>
      <c r="O1253" s="11"/>
    </row>
    <row r="1254" spans="1:15" x14ac:dyDescent="0.25">
      <c r="A1254" s="6"/>
      <c r="B1254" s="5"/>
      <c r="C1254" s="5"/>
      <c r="D1254" s="5" t="s">
        <v>174</v>
      </c>
      <c r="E1254" s="5" t="s">
        <v>175</v>
      </c>
      <c r="F1254" s="5" t="s">
        <v>552</v>
      </c>
      <c r="G1254" s="14">
        <f t="shared" ref="G1254:L1254" si="320">SUBTOTAL(9,G1253:G1253)</f>
        <v>0</v>
      </c>
      <c r="H1254" s="14">
        <f t="shared" si="320"/>
        <v>0</v>
      </c>
      <c r="I1254" s="14">
        <f t="shared" si="320"/>
        <v>0.24</v>
      </c>
      <c r="J1254" s="14">
        <f t="shared" si="320"/>
        <v>0</v>
      </c>
      <c r="K1254" s="14">
        <f t="shared" si="320"/>
        <v>0</v>
      </c>
      <c r="L1254" s="14">
        <f t="shared" si="320"/>
        <v>0.24</v>
      </c>
      <c r="M1254" s="10">
        <v>2431</v>
      </c>
      <c r="N1254" s="69"/>
      <c r="O1254" s="11">
        <f>O1251+1</f>
        <v>313</v>
      </c>
    </row>
    <row r="1255" spans="1:15" x14ac:dyDescent="0.25">
      <c r="A1255" s="10"/>
      <c r="G1255" s="21"/>
      <c r="H1255" s="21"/>
      <c r="I1255" s="21"/>
      <c r="J1255" s="21"/>
      <c r="K1255" s="21"/>
      <c r="L1255" s="21"/>
      <c r="M1255" s="10"/>
      <c r="O1255" s="11"/>
    </row>
    <row r="1256" spans="1:15" s="4" customFormat="1" x14ac:dyDescent="0.25">
      <c r="A1256" s="6">
        <v>608</v>
      </c>
      <c r="B1256" s="5" t="s">
        <v>550</v>
      </c>
      <c r="C1256" s="5" t="s">
        <v>17</v>
      </c>
      <c r="D1256" s="5" t="s">
        <v>594</v>
      </c>
      <c r="E1256" s="5" t="s">
        <v>595</v>
      </c>
      <c r="F1256" s="5" t="s">
        <v>551</v>
      </c>
      <c r="G1256" s="22">
        <v>0</v>
      </c>
      <c r="H1256" s="22">
        <v>0</v>
      </c>
      <c r="I1256" s="22">
        <v>125.21</v>
      </c>
      <c r="J1256" s="22">
        <v>0</v>
      </c>
      <c r="K1256" s="22">
        <v>-2.5</v>
      </c>
      <c r="L1256" s="22">
        <v>122.71</v>
      </c>
      <c r="M1256" s="10"/>
      <c r="N1256" s="67"/>
      <c r="O1256" s="11"/>
    </row>
    <row r="1257" spans="1:15" s="4" customFormat="1" x14ac:dyDescent="0.25">
      <c r="A1257" s="6">
        <v>614</v>
      </c>
      <c r="B1257" s="5" t="s">
        <v>550</v>
      </c>
      <c r="C1257" s="5" t="s">
        <v>17</v>
      </c>
      <c r="D1257" s="5" t="s">
        <v>176</v>
      </c>
      <c r="E1257" s="5" t="s">
        <v>177</v>
      </c>
      <c r="F1257" s="5" t="s">
        <v>551</v>
      </c>
      <c r="G1257" s="22">
        <v>2529.21</v>
      </c>
      <c r="H1257" s="22">
        <v>0</v>
      </c>
      <c r="I1257" s="22">
        <v>0</v>
      </c>
      <c r="J1257" s="22">
        <v>0</v>
      </c>
      <c r="K1257" s="22">
        <v>-50.58</v>
      </c>
      <c r="L1257" s="22">
        <v>2478.63</v>
      </c>
      <c r="M1257" s="10"/>
      <c r="N1257" s="67"/>
      <c r="O1257" s="11"/>
    </row>
    <row r="1258" spans="1:15" x14ac:dyDescent="0.25">
      <c r="A1258" s="6">
        <v>615</v>
      </c>
      <c r="B1258" s="5" t="s">
        <v>550</v>
      </c>
      <c r="C1258" s="5" t="s">
        <v>17</v>
      </c>
      <c r="D1258" s="5" t="s">
        <v>176</v>
      </c>
      <c r="E1258" s="5" t="s">
        <v>177</v>
      </c>
      <c r="F1258" s="5" t="s">
        <v>551</v>
      </c>
      <c r="G1258" s="22">
        <v>5428.32</v>
      </c>
      <c r="H1258" s="22">
        <v>0</v>
      </c>
      <c r="I1258" s="22">
        <v>0</v>
      </c>
      <c r="J1258" s="22">
        <v>0</v>
      </c>
      <c r="K1258" s="22">
        <v>-108.57</v>
      </c>
      <c r="L1258" s="22">
        <v>5319.75</v>
      </c>
      <c r="M1258" s="10"/>
      <c r="O1258" s="11"/>
    </row>
    <row r="1259" spans="1:15" x14ac:dyDescent="0.25">
      <c r="A1259" s="6">
        <v>616</v>
      </c>
      <c r="B1259" s="5" t="s">
        <v>550</v>
      </c>
      <c r="C1259" s="5" t="s">
        <v>13</v>
      </c>
      <c r="D1259" s="5" t="s">
        <v>176</v>
      </c>
      <c r="E1259" s="5" t="s">
        <v>177</v>
      </c>
      <c r="F1259" s="5" t="s">
        <v>551</v>
      </c>
      <c r="G1259" s="22">
        <v>0</v>
      </c>
      <c r="H1259" s="22">
        <v>0</v>
      </c>
      <c r="I1259" s="22">
        <v>0</v>
      </c>
      <c r="J1259" s="22">
        <v>303.51</v>
      </c>
      <c r="K1259" s="22">
        <v>0</v>
      </c>
      <c r="L1259" s="22">
        <v>303.51</v>
      </c>
      <c r="M1259" s="10"/>
      <c r="O1259" s="11"/>
    </row>
    <row r="1260" spans="1:15" s="4" customFormat="1" x14ac:dyDescent="0.25">
      <c r="A1260" s="6">
        <v>617</v>
      </c>
      <c r="B1260" s="5" t="s">
        <v>550</v>
      </c>
      <c r="C1260" s="5" t="s">
        <v>13</v>
      </c>
      <c r="D1260" s="5" t="s">
        <v>176</v>
      </c>
      <c r="E1260" s="5" t="s">
        <v>177</v>
      </c>
      <c r="F1260" s="5" t="s">
        <v>551</v>
      </c>
      <c r="G1260" s="22">
        <v>0</v>
      </c>
      <c r="H1260" s="22">
        <v>0</v>
      </c>
      <c r="I1260" s="22">
        <v>0</v>
      </c>
      <c r="J1260" s="22">
        <v>651.4</v>
      </c>
      <c r="K1260" s="22">
        <v>0</v>
      </c>
      <c r="L1260" s="22">
        <v>651.4</v>
      </c>
      <c r="M1260" s="10"/>
      <c r="N1260" s="67"/>
      <c r="O1260" s="11"/>
    </row>
    <row r="1261" spans="1:15" x14ac:dyDescent="0.25">
      <c r="A1261" s="6"/>
      <c r="B1261" s="5"/>
      <c r="C1261" s="5"/>
      <c r="D1261" s="5" t="s">
        <v>176</v>
      </c>
      <c r="E1261" s="5" t="s">
        <v>177</v>
      </c>
      <c r="F1261" s="5" t="s">
        <v>551</v>
      </c>
      <c r="G1261" s="14">
        <f>SUBTOTAL(9,G1256:G1260)</f>
        <v>7957.53</v>
      </c>
      <c r="H1261" s="14">
        <f t="shared" ref="H1261:L1261" si="321">SUBTOTAL(9,H1256:H1260)</f>
        <v>0</v>
      </c>
      <c r="I1261" s="14">
        <f t="shared" si="321"/>
        <v>125.21</v>
      </c>
      <c r="J1261" s="14">
        <f t="shared" si="321"/>
        <v>954.91</v>
      </c>
      <c r="K1261" s="14">
        <f t="shared" si="321"/>
        <v>-161.64999999999998</v>
      </c>
      <c r="L1261" s="14">
        <f t="shared" si="321"/>
        <v>8876</v>
      </c>
      <c r="M1261" s="10">
        <v>2432</v>
      </c>
      <c r="N1261" s="69"/>
      <c r="O1261" s="11">
        <f>O1254+1</f>
        <v>314</v>
      </c>
    </row>
    <row r="1262" spans="1:15" x14ac:dyDescent="0.25">
      <c r="A1262" s="10"/>
      <c r="G1262" s="21"/>
      <c r="H1262" s="21"/>
      <c r="I1262" s="21"/>
      <c r="J1262" s="21"/>
      <c r="K1262" s="21"/>
      <c r="L1262" s="21"/>
      <c r="M1262" s="10"/>
      <c r="O1262" s="11"/>
    </row>
    <row r="1263" spans="1:15" s="4" customFormat="1" x14ac:dyDescent="0.25">
      <c r="A1263" s="6">
        <v>609</v>
      </c>
      <c r="B1263" s="5" t="s">
        <v>550</v>
      </c>
      <c r="C1263" s="5" t="s">
        <v>17</v>
      </c>
      <c r="D1263" s="5" t="s">
        <v>594</v>
      </c>
      <c r="E1263" s="5" t="s">
        <v>595</v>
      </c>
      <c r="F1263" s="5" t="s">
        <v>552</v>
      </c>
      <c r="G1263" s="22">
        <v>0</v>
      </c>
      <c r="H1263" s="22">
        <v>0</v>
      </c>
      <c r="I1263" s="22">
        <v>0.01</v>
      </c>
      <c r="J1263" s="22">
        <v>0</v>
      </c>
      <c r="K1263" s="22">
        <v>0</v>
      </c>
      <c r="L1263" s="22">
        <v>0.01</v>
      </c>
      <c r="M1263" s="10"/>
      <c r="N1263" s="67"/>
      <c r="O1263" s="11"/>
    </row>
    <row r="1264" spans="1:15" x14ac:dyDescent="0.25">
      <c r="A1264" s="6">
        <v>618</v>
      </c>
      <c r="B1264" s="5" t="s">
        <v>550</v>
      </c>
      <c r="C1264" s="5" t="s">
        <v>17</v>
      </c>
      <c r="D1264" s="5" t="s">
        <v>176</v>
      </c>
      <c r="E1264" s="5" t="s">
        <v>177</v>
      </c>
      <c r="F1264" s="5" t="s">
        <v>552</v>
      </c>
      <c r="G1264" s="22">
        <v>0.18</v>
      </c>
      <c r="H1264" s="22">
        <v>0</v>
      </c>
      <c r="I1264" s="22">
        <v>0</v>
      </c>
      <c r="J1264" s="22">
        <v>0</v>
      </c>
      <c r="K1264" s="22">
        <v>0</v>
      </c>
      <c r="L1264" s="22">
        <v>0.18</v>
      </c>
      <c r="M1264" s="10"/>
      <c r="O1264" s="11"/>
    </row>
    <row r="1265" spans="1:15" x14ac:dyDescent="0.25">
      <c r="A1265" s="6">
        <v>619</v>
      </c>
      <c r="B1265" s="5" t="s">
        <v>550</v>
      </c>
      <c r="C1265" s="5" t="s">
        <v>17</v>
      </c>
      <c r="D1265" s="5" t="s">
        <v>176</v>
      </c>
      <c r="E1265" s="5" t="s">
        <v>177</v>
      </c>
      <c r="F1265" s="5" t="s">
        <v>552</v>
      </c>
      <c r="G1265" s="22">
        <v>0.39</v>
      </c>
      <c r="H1265" s="22">
        <v>0</v>
      </c>
      <c r="I1265" s="22">
        <v>0</v>
      </c>
      <c r="J1265" s="22">
        <v>0</v>
      </c>
      <c r="K1265" s="22">
        <v>-0.01</v>
      </c>
      <c r="L1265" s="22">
        <v>0.38</v>
      </c>
      <c r="M1265" s="10"/>
      <c r="O1265" s="11"/>
    </row>
    <row r="1266" spans="1:15" s="4" customFormat="1" x14ac:dyDescent="0.25">
      <c r="A1266" s="6">
        <v>620</v>
      </c>
      <c r="B1266" s="5" t="s">
        <v>550</v>
      </c>
      <c r="C1266" s="5" t="s">
        <v>13</v>
      </c>
      <c r="D1266" s="5" t="s">
        <v>176</v>
      </c>
      <c r="E1266" s="5" t="s">
        <v>177</v>
      </c>
      <c r="F1266" s="5" t="s">
        <v>552</v>
      </c>
      <c r="G1266" s="22">
        <v>0</v>
      </c>
      <c r="H1266" s="22">
        <v>0</v>
      </c>
      <c r="I1266" s="22">
        <v>0</v>
      </c>
      <c r="J1266" s="22">
        <v>0.02</v>
      </c>
      <c r="K1266" s="22">
        <v>0</v>
      </c>
      <c r="L1266" s="22">
        <v>0.02</v>
      </c>
      <c r="M1266" s="10"/>
      <c r="N1266" s="67"/>
      <c r="O1266" s="11"/>
    </row>
    <row r="1267" spans="1:15" x14ac:dyDescent="0.25">
      <c r="A1267" s="6">
        <v>621</v>
      </c>
      <c r="B1267" s="5" t="s">
        <v>550</v>
      </c>
      <c r="C1267" s="5" t="s">
        <v>13</v>
      </c>
      <c r="D1267" s="5" t="s">
        <v>176</v>
      </c>
      <c r="E1267" s="5" t="s">
        <v>177</v>
      </c>
      <c r="F1267" s="5" t="s">
        <v>552</v>
      </c>
      <c r="G1267" s="22">
        <v>0</v>
      </c>
      <c r="H1267" s="22">
        <v>0</v>
      </c>
      <c r="I1267" s="22">
        <v>0</v>
      </c>
      <c r="J1267" s="22">
        <v>0.05</v>
      </c>
      <c r="K1267" s="22">
        <v>0</v>
      </c>
      <c r="L1267" s="22">
        <v>0.05</v>
      </c>
      <c r="M1267" s="10"/>
      <c r="O1267" s="11"/>
    </row>
    <row r="1268" spans="1:15" x14ac:dyDescent="0.25">
      <c r="A1268" s="6"/>
      <c r="B1268" s="5"/>
      <c r="C1268" s="5"/>
      <c r="D1268" s="5" t="s">
        <v>176</v>
      </c>
      <c r="E1268" s="5" t="s">
        <v>177</v>
      </c>
      <c r="F1268" s="5" t="s">
        <v>552</v>
      </c>
      <c r="G1268" s="14">
        <f>SUBTOTAL(9,G1263:G1267)</f>
        <v>0.57000000000000006</v>
      </c>
      <c r="H1268" s="14">
        <f t="shared" ref="H1268:L1268" si="322">SUBTOTAL(9,H1263:H1267)</f>
        <v>0</v>
      </c>
      <c r="I1268" s="14">
        <f t="shared" si="322"/>
        <v>0.01</v>
      </c>
      <c r="J1268" s="14">
        <f t="shared" si="322"/>
        <v>7.0000000000000007E-2</v>
      </c>
      <c r="K1268" s="14">
        <f t="shared" si="322"/>
        <v>-0.01</v>
      </c>
      <c r="L1268" s="14">
        <f t="shared" si="322"/>
        <v>0.64000000000000012</v>
      </c>
      <c r="M1268" s="10">
        <v>2433</v>
      </c>
      <c r="N1268" s="69"/>
      <c r="O1268" s="11">
        <f>O1261+1</f>
        <v>315</v>
      </c>
    </row>
    <row r="1269" spans="1:15" s="4" customFormat="1" x14ac:dyDescent="0.25">
      <c r="A1269" s="10"/>
      <c r="B1269"/>
      <c r="C1269"/>
      <c r="D1269"/>
      <c r="E1269"/>
      <c r="F1269"/>
      <c r="G1269" s="21"/>
      <c r="H1269" s="21"/>
      <c r="I1269" s="21"/>
      <c r="J1269" s="21"/>
      <c r="K1269" s="21"/>
      <c r="L1269" s="21"/>
      <c r="M1269" s="10"/>
      <c r="N1269" s="67"/>
      <c r="O1269" s="11"/>
    </row>
    <row r="1270" spans="1:15" x14ac:dyDescent="0.25">
      <c r="A1270" s="6">
        <v>610</v>
      </c>
      <c r="B1270" s="5" t="s">
        <v>555</v>
      </c>
      <c r="C1270" s="5" t="s">
        <v>17</v>
      </c>
      <c r="D1270" s="5" t="s">
        <v>176</v>
      </c>
      <c r="E1270" s="5" t="s">
        <v>177</v>
      </c>
      <c r="F1270" s="5" t="s">
        <v>556</v>
      </c>
      <c r="G1270" s="22">
        <v>890.02</v>
      </c>
      <c r="H1270" s="22">
        <v>0</v>
      </c>
      <c r="I1270" s="22">
        <v>0</v>
      </c>
      <c r="J1270" s="22">
        <v>0</v>
      </c>
      <c r="K1270" s="22">
        <v>-17.8</v>
      </c>
      <c r="L1270" s="22">
        <v>872.22</v>
      </c>
      <c r="M1270" s="10"/>
      <c r="O1270" s="11"/>
    </row>
    <row r="1271" spans="1:15" x14ac:dyDescent="0.25">
      <c r="A1271" s="6">
        <v>611</v>
      </c>
      <c r="B1271" s="5" t="s">
        <v>555</v>
      </c>
      <c r="C1271" s="5" t="s">
        <v>13</v>
      </c>
      <c r="D1271" s="5" t="s">
        <v>176</v>
      </c>
      <c r="E1271" s="5" t="s">
        <v>177</v>
      </c>
      <c r="F1271" s="38" t="s">
        <v>556</v>
      </c>
      <c r="G1271" s="39">
        <v>0</v>
      </c>
      <c r="H1271" s="39">
        <v>0</v>
      </c>
      <c r="I1271" s="39">
        <v>0</v>
      </c>
      <c r="J1271" s="39">
        <v>106.8</v>
      </c>
      <c r="K1271" s="39">
        <v>0</v>
      </c>
      <c r="L1271" s="39">
        <v>106.8</v>
      </c>
      <c r="M1271" s="10"/>
      <c r="N1271" s="68"/>
      <c r="O1271" s="11"/>
    </row>
    <row r="1272" spans="1:15" s="4" customFormat="1" x14ac:dyDescent="0.25">
      <c r="A1272" s="6"/>
      <c r="B1272" s="5"/>
      <c r="C1272" s="5"/>
      <c r="D1272" s="5" t="s">
        <v>176</v>
      </c>
      <c r="E1272" s="5" t="s">
        <v>177</v>
      </c>
      <c r="F1272" s="38" t="s">
        <v>556</v>
      </c>
      <c r="G1272" s="14">
        <f t="shared" ref="G1272:L1272" si="323">SUBTOTAL(9,G1270:G1271)</f>
        <v>890.02</v>
      </c>
      <c r="H1272" s="14">
        <f t="shared" si="323"/>
        <v>0</v>
      </c>
      <c r="I1272" s="14">
        <f t="shared" si="323"/>
        <v>0</v>
      </c>
      <c r="J1272" s="14">
        <f t="shared" si="323"/>
        <v>106.8</v>
      </c>
      <c r="K1272" s="14">
        <f t="shared" si="323"/>
        <v>-17.8</v>
      </c>
      <c r="L1272" s="14">
        <f t="shared" si="323"/>
        <v>979.02</v>
      </c>
      <c r="M1272" s="10">
        <v>2434</v>
      </c>
      <c r="N1272" s="69"/>
      <c r="O1272" s="11">
        <f>O1268+1</f>
        <v>316</v>
      </c>
    </row>
    <row r="1273" spans="1:15" s="4" customFormat="1" x14ac:dyDescent="0.25">
      <c r="A1273" s="10"/>
      <c r="B1273"/>
      <c r="C1273"/>
      <c r="D1273"/>
      <c r="E1273"/>
      <c r="F1273"/>
      <c r="G1273" s="21"/>
      <c r="H1273" s="21"/>
      <c r="I1273" s="21"/>
      <c r="J1273" s="21"/>
      <c r="K1273" s="21"/>
      <c r="L1273" s="21"/>
      <c r="M1273" s="10"/>
      <c r="N1273" s="67"/>
      <c r="O1273" s="11"/>
    </row>
    <row r="1274" spans="1:15" x14ac:dyDescent="0.25">
      <c r="A1274" s="6">
        <v>612</v>
      </c>
      <c r="B1274" s="5" t="s">
        <v>557</v>
      </c>
      <c r="C1274" s="5" t="s">
        <v>17</v>
      </c>
      <c r="D1274" s="5" t="s">
        <v>176</v>
      </c>
      <c r="E1274" s="5" t="s">
        <v>177</v>
      </c>
      <c r="F1274" s="5" t="s">
        <v>558</v>
      </c>
      <c r="G1274" s="22">
        <v>525.89</v>
      </c>
      <c r="H1274" s="22">
        <v>0</v>
      </c>
      <c r="I1274" s="22">
        <v>0</v>
      </c>
      <c r="J1274" s="22">
        <v>0</v>
      </c>
      <c r="K1274" s="22">
        <v>-10.52</v>
      </c>
      <c r="L1274" s="22">
        <v>515.37</v>
      </c>
      <c r="M1274" s="10"/>
      <c r="O1274" s="11"/>
    </row>
    <row r="1275" spans="1:15" x14ac:dyDescent="0.25">
      <c r="A1275" s="6">
        <v>613</v>
      </c>
      <c r="B1275" s="5" t="s">
        <v>557</v>
      </c>
      <c r="C1275" s="5" t="s">
        <v>13</v>
      </c>
      <c r="D1275" s="5" t="s">
        <v>176</v>
      </c>
      <c r="E1275" s="5" t="s">
        <v>177</v>
      </c>
      <c r="F1275" s="5" t="s">
        <v>558</v>
      </c>
      <c r="G1275" s="22">
        <v>0</v>
      </c>
      <c r="H1275" s="22">
        <v>0</v>
      </c>
      <c r="I1275" s="22">
        <v>0</v>
      </c>
      <c r="J1275" s="22">
        <v>63.11</v>
      </c>
      <c r="K1275" s="22">
        <v>0</v>
      </c>
      <c r="L1275" s="22">
        <v>63.11</v>
      </c>
      <c r="M1275" s="10"/>
      <c r="O1275" s="11"/>
    </row>
    <row r="1276" spans="1:15" s="4" customFormat="1" x14ac:dyDescent="0.25">
      <c r="A1276" s="6"/>
      <c r="B1276" s="5"/>
      <c r="C1276" s="5"/>
      <c r="D1276" s="5" t="s">
        <v>176</v>
      </c>
      <c r="E1276" s="5" t="s">
        <v>177</v>
      </c>
      <c r="F1276" s="5" t="s">
        <v>558</v>
      </c>
      <c r="G1276" s="14">
        <f t="shared" ref="G1276:L1276" si="324">SUBTOTAL(9,G1274:G1275)</f>
        <v>525.89</v>
      </c>
      <c r="H1276" s="14">
        <f t="shared" si="324"/>
        <v>0</v>
      </c>
      <c r="I1276" s="14">
        <f t="shared" si="324"/>
        <v>0</v>
      </c>
      <c r="J1276" s="14">
        <f t="shared" si="324"/>
        <v>63.11</v>
      </c>
      <c r="K1276" s="14">
        <f t="shared" si="324"/>
        <v>-10.52</v>
      </c>
      <c r="L1276" s="14">
        <f t="shared" si="324"/>
        <v>578.48</v>
      </c>
      <c r="M1276" s="10">
        <v>2435</v>
      </c>
      <c r="N1276" s="69"/>
      <c r="O1276" s="11">
        <f>O1272+1</f>
        <v>317</v>
      </c>
    </row>
    <row r="1277" spans="1:15" x14ac:dyDescent="0.25">
      <c r="A1277" s="10"/>
      <c r="G1277" s="21"/>
      <c r="H1277" s="21"/>
      <c r="I1277" s="21"/>
      <c r="J1277" s="21"/>
      <c r="K1277" s="21"/>
      <c r="L1277" s="21"/>
      <c r="M1277" s="10"/>
      <c r="O1277" s="11"/>
    </row>
    <row r="1278" spans="1:15" x14ac:dyDescent="0.25">
      <c r="A1278" s="6">
        <v>622</v>
      </c>
      <c r="B1278" s="5" t="s">
        <v>559</v>
      </c>
      <c r="C1278" s="5" t="s">
        <v>17</v>
      </c>
      <c r="D1278" s="5" t="s">
        <v>178</v>
      </c>
      <c r="E1278" s="5" t="s">
        <v>179</v>
      </c>
      <c r="F1278" s="5" t="s">
        <v>560</v>
      </c>
      <c r="G1278" s="22">
        <v>0</v>
      </c>
      <c r="H1278" s="22">
        <v>0</v>
      </c>
      <c r="I1278" s="22">
        <v>0.85</v>
      </c>
      <c r="J1278" s="22">
        <v>0</v>
      </c>
      <c r="K1278" s="22">
        <v>-0.02</v>
      </c>
      <c r="L1278" s="22">
        <v>0.83</v>
      </c>
      <c r="M1278" s="10"/>
      <c r="O1278" s="11"/>
    </row>
    <row r="1279" spans="1:15" s="4" customFormat="1" x14ac:dyDescent="0.25">
      <c r="A1279" s="6"/>
      <c r="B1279" s="5"/>
      <c r="C1279" s="5"/>
      <c r="D1279" s="5" t="s">
        <v>178</v>
      </c>
      <c r="E1279" s="5" t="s">
        <v>179</v>
      </c>
      <c r="F1279" s="5" t="s">
        <v>560</v>
      </c>
      <c r="G1279" s="14">
        <f t="shared" ref="G1279:L1279" si="325">SUBTOTAL(9,G1278:G1278)</f>
        <v>0</v>
      </c>
      <c r="H1279" s="14">
        <f t="shared" si="325"/>
        <v>0</v>
      </c>
      <c r="I1279" s="14">
        <f t="shared" si="325"/>
        <v>0.85</v>
      </c>
      <c r="J1279" s="14">
        <f t="shared" si="325"/>
        <v>0</v>
      </c>
      <c r="K1279" s="14">
        <f t="shared" si="325"/>
        <v>-0.02</v>
      </c>
      <c r="L1279" s="14">
        <f t="shared" si="325"/>
        <v>0.83</v>
      </c>
      <c r="M1279" s="10">
        <v>2436</v>
      </c>
      <c r="N1279" s="69"/>
      <c r="O1279" s="11">
        <f>O1276+1</f>
        <v>318</v>
      </c>
    </row>
    <row r="1280" spans="1:15" x14ac:dyDescent="0.25">
      <c r="A1280" s="10"/>
      <c r="G1280" s="21"/>
      <c r="H1280" s="21"/>
      <c r="I1280" s="21"/>
      <c r="J1280" s="21"/>
      <c r="K1280" s="21"/>
      <c r="L1280" s="21"/>
      <c r="M1280" s="10"/>
      <c r="O1280" s="11"/>
    </row>
    <row r="1281" spans="1:15" x14ac:dyDescent="0.25">
      <c r="A1281" s="6">
        <v>623</v>
      </c>
      <c r="B1281" s="5" t="s">
        <v>18</v>
      </c>
      <c r="C1281" s="5" t="s">
        <v>17</v>
      </c>
      <c r="D1281" s="5" t="s">
        <v>178</v>
      </c>
      <c r="E1281" s="5" t="s">
        <v>179</v>
      </c>
      <c r="F1281" s="5" t="s">
        <v>19</v>
      </c>
      <c r="G1281" s="22">
        <v>0</v>
      </c>
      <c r="H1281" s="22">
        <v>0</v>
      </c>
      <c r="I1281" s="22">
        <v>0.25</v>
      </c>
      <c r="J1281" s="22">
        <v>0</v>
      </c>
      <c r="K1281" s="22">
        <v>-0.03</v>
      </c>
      <c r="L1281" s="22">
        <v>0.22</v>
      </c>
      <c r="M1281" s="10"/>
      <c r="O1281" s="11"/>
    </row>
    <row r="1282" spans="1:15" s="4" customFormat="1" x14ac:dyDescent="0.25">
      <c r="A1282" s="6">
        <v>624</v>
      </c>
      <c r="B1282" s="5" t="s">
        <v>18</v>
      </c>
      <c r="C1282" s="5" t="s">
        <v>17</v>
      </c>
      <c r="D1282" s="5" t="s">
        <v>178</v>
      </c>
      <c r="E1282" s="5" t="s">
        <v>179</v>
      </c>
      <c r="F1282" s="5" t="s">
        <v>19</v>
      </c>
      <c r="G1282" s="22">
        <v>0</v>
      </c>
      <c r="H1282" s="22">
        <v>0</v>
      </c>
      <c r="I1282" s="22">
        <v>0.06</v>
      </c>
      <c r="J1282" s="22">
        <v>0</v>
      </c>
      <c r="K1282" s="22">
        <v>-0.01</v>
      </c>
      <c r="L1282" s="22">
        <v>0.05</v>
      </c>
      <c r="M1282" s="10"/>
      <c r="N1282" s="67"/>
      <c r="O1282" s="11"/>
    </row>
    <row r="1283" spans="1:15" x14ac:dyDescent="0.25">
      <c r="A1283" s="6">
        <v>625</v>
      </c>
      <c r="B1283" s="5" t="s">
        <v>18</v>
      </c>
      <c r="C1283" s="5" t="s">
        <v>17</v>
      </c>
      <c r="D1283" s="5" t="s">
        <v>178</v>
      </c>
      <c r="E1283" s="5" t="s">
        <v>179</v>
      </c>
      <c r="F1283" s="5" t="s">
        <v>19</v>
      </c>
      <c r="G1283" s="22">
        <v>0</v>
      </c>
      <c r="H1283" s="22">
        <v>0</v>
      </c>
      <c r="I1283" s="22">
        <v>0.01</v>
      </c>
      <c r="J1283" s="22">
        <v>0</v>
      </c>
      <c r="K1283" s="22">
        <v>0</v>
      </c>
      <c r="L1283" s="22">
        <v>0.01</v>
      </c>
      <c r="M1283" s="10"/>
      <c r="O1283" s="11"/>
    </row>
    <row r="1284" spans="1:15" x14ac:dyDescent="0.25">
      <c r="A1284" s="6">
        <v>626</v>
      </c>
      <c r="B1284" s="5" t="s">
        <v>18</v>
      </c>
      <c r="C1284" s="5" t="s">
        <v>17</v>
      </c>
      <c r="D1284" s="5" t="s">
        <v>178</v>
      </c>
      <c r="E1284" s="5" t="s">
        <v>179</v>
      </c>
      <c r="F1284" s="5" t="s">
        <v>19</v>
      </c>
      <c r="G1284" s="22">
        <v>0</v>
      </c>
      <c r="H1284" s="22">
        <v>0</v>
      </c>
      <c r="I1284" s="22">
        <v>0.01</v>
      </c>
      <c r="J1284" s="22">
        <v>0</v>
      </c>
      <c r="K1284" s="22">
        <v>0</v>
      </c>
      <c r="L1284" s="22">
        <v>0.01</v>
      </c>
      <c r="M1284" s="10"/>
      <c r="O1284" s="11"/>
    </row>
    <row r="1285" spans="1:15" s="4" customFormat="1" x14ac:dyDescent="0.25">
      <c r="A1285" s="6"/>
      <c r="B1285" s="5"/>
      <c r="C1285" s="5"/>
      <c r="D1285" s="5" t="s">
        <v>178</v>
      </c>
      <c r="E1285" s="5" t="s">
        <v>179</v>
      </c>
      <c r="F1285" s="5" t="s">
        <v>19</v>
      </c>
      <c r="G1285" s="14">
        <f t="shared" ref="G1285:L1285" si="326">SUBTOTAL(9,G1281:G1284)</f>
        <v>0</v>
      </c>
      <c r="H1285" s="14">
        <f t="shared" si="326"/>
        <v>0</v>
      </c>
      <c r="I1285" s="14">
        <f t="shared" si="326"/>
        <v>0.33</v>
      </c>
      <c r="J1285" s="14">
        <f t="shared" si="326"/>
        <v>0</v>
      </c>
      <c r="K1285" s="14">
        <f t="shared" si="326"/>
        <v>-0.04</v>
      </c>
      <c r="L1285" s="14">
        <f t="shared" si="326"/>
        <v>0.29000000000000004</v>
      </c>
      <c r="M1285" s="10">
        <v>2437</v>
      </c>
      <c r="N1285" s="69"/>
      <c r="O1285" s="11">
        <f>O1279+1</f>
        <v>319</v>
      </c>
    </row>
    <row r="1286" spans="1:15" x14ac:dyDescent="0.25">
      <c r="A1286" s="10"/>
      <c r="G1286" s="21"/>
      <c r="H1286" s="21"/>
      <c r="I1286" s="21"/>
      <c r="J1286" s="21"/>
      <c r="K1286" s="21"/>
      <c r="L1286" s="21"/>
      <c r="M1286" s="10"/>
      <c r="O1286" s="11"/>
    </row>
    <row r="1287" spans="1:15" x14ac:dyDescent="0.25">
      <c r="A1287" s="6">
        <v>627</v>
      </c>
      <c r="B1287" s="5" t="s">
        <v>550</v>
      </c>
      <c r="C1287" s="5" t="s">
        <v>17</v>
      </c>
      <c r="D1287" s="5" t="s">
        <v>178</v>
      </c>
      <c r="E1287" s="5" t="s">
        <v>179</v>
      </c>
      <c r="F1287" s="5" t="s">
        <v>551</v>
      </c>
      <c r="G1287" s="22">
        <v>0</v>
      </c>
      <c r="H1287" s="22">
        <v>0</v>
      </c>
      <c r="I1287" s="22">
        <v>70.599999999999994</v>
      </c>
      <c r="J1287" s="22">
        <v>0</v>
      </c>
      <c r="K1287" s="22">
        <v>-1.41</v>
      </c>
      <c r="L1287" s="22">
        <v>69.19</v>
      </c>
      <c r="M1287" s="10"/>
      <c r="O1287" s="11"/>
    </row>
    <row r="1288" spans="1:15" s="4" customFormat="1" x14ac:dyDescent="0.25">
      <c r="A1288" s="6">
        <v>628</v>
      </c>
      <c r="B1288" s="5" t="s">
        <v>550</v>
      </c>
      <c r="C1288" s="5" t="s">
        <v>17</v>
      </c>
      <c r="D1288" s="5" t="s">
        <v>178</v>
      </c>
      <c r="E1288" s="5" t="s">
        <v>179</v>
      </c>
      <c r="F1288" s="5" t="s">
        <v>551</v>
      </c>
      <c r="G1288" s="22">
        <v>0</v>
      </c>
      <c r="H1288" s="22">
        <v>0</v>
      </c>
      <c r="I1288" s="22">
        <v>464887.81</v>
      </c>
      <c r="J1288" s="22">
        <v>0</v>
      </c>
      <c r="K1288" s="22">
        <v>-9297.76</v>
      </c>
      <c r="L1288" s="22">
        <v>455590.05</v>
      </c>
      <c r="M1288" s="10"/>
      <c r="N1288" s="67"/>
      <c r="O1288" s="11"/>
    </row>
    <row r="1289" spans="1:15" s="4" customFormat="1" x14ac:dyDescent="0.25">
      <c r="A1289" s="6">
        <v>629</v>
      </c>
      <c r="B1289" s="5" t="s">
        <v>550</v>
      </c>
      <c r="C1289" s="5" t="s">
        <v>17</v>
      </c>
      <c r="D1289" s="5" t="s">
        <v>178</v>
      </c>
      <c r="E1289" s="5" t="s">
        <v>179</v>
      </c>
      <c r="F1289" s="5" t="s">
        <v>551</v>
      </c>
      <c r="G1289" s="22">
        <v>0</v>
      </c>
      <c r="H1289" s="22">
        <v>0</v>
      </c>
      <c r="I1289" s="22">
        <v>875.38</v>
      </c>
      <c r="J1289" s="22">
        <v>0</v>
      </c>
      <c r="K1289" s="22">
        <v>-17.510000000000002</v>
      </c>
      <c r="L1289" s="22">
        <v>857.87</v>
      </c>
      <c r="M1289" s="10"/>
      <c r="N1289" s="67"/>
      <c r="O1289" s="11"/>
    </row>
    <row r="1290" spans="1:15" x14ac:dyDescent="0.25">
      <c r="A1290" s="6">
        <v>630</v>
      </c>
      <c r="B1290" s="5" t="s">
        <v>550</v>
      </c>
      <c r="C1290" s="5" t="s">
        <v>17</v>
      </c>
      <c r="D1290" s="5" t="s">
        <v>178</v>
      </c>
      <c r="E1290" s="5" t="s">
        <v>179</v>
      </c>
      <c r="F1290" s="5" t="s">
        <v>551</v>
      </c>
      <c r="G1290" s="22">
        <v>0</v>
      </c>
      <c r="H1290" s="22">
        <v>0</v>
      </c>
      <c r="I1290" s="22">
        <v>415.27</v>
      </c>
      <c r="J1290" s="22">
        <v>0</v>
      </c>
      <c r="K1290" s="22">
        <v>-8.31</v>
      </c>
      <c r="L1290" s="22">
        <v>406.96</v>
      </c>
      <c r="M1290" s="10"/>
      <c r="O1290" s="11"/>
    </row>
    <row r="1291" spans="1:15" x14ac:dyDescent="0.25">
      <c r="A1291" s="6">
        <v>631</v>
      </c>
      <c r="B1291" s="5" t="s">
        <v>550</v>
      </c>
      <c r="C1291" s="5" t="s">
        <v>17</v>
      </c>
      <c r="D1291" s="5" t="s">
        <v>178</v>
      </c>
      <c r="E1291" s="5" t="s">
        <v>179</v>
      </c>
      <c r="F1291" s="5" t="s">
        <v>551</v>
      </c>
      <c r="G1291" s="22">
        <v>0</v>
      </c>
      <c r="H1291" s="22">
        <v>0</v>
      </c>
      <c r="I1291" s="22">
        <v>47.57</v>
      </c>
      <c r="J1291" s="22">
        <v>0</v>
      </c>
      <c r="K1291" s="22">
        <v>-0.95</v>
      </c>
      <c r="L1291" s="22">
        <v>46.62</v>
      </c>
      <c r="M1291" s="10"/>
      <c r="O1291" s="11"/>
    </row>
    <row r="1292" spans="1:15" s="4" customFormat="1" x14ac:dyDescent="0.25">
      <c r="A1292" s="6">
        <v>637</v>
      </c>
      <c r="B1292" s="5" t="s">
        <v>550</v>
      </c>
      <c r="C1292" s="5" t="s">
        <v>17</v>
      </c>
      <c r="D1292" s="5" t="s">
        <v>180</v>
      </c>
      <c r="E1292" s="5" t="s">
        <v>179</v>
      </c>
      <c r="F1292" s="5" t="s">
        <v>551</v>
      </c>
      <c r="G1292" s="22">
        <v>0</v>
      </c>
      <c r="H1292" s="22">
        <v>0</v>
      </c>
      <c r="I1292" s="22">
        <v>3.17</v>
      </c>
      <c r="J1292" s="22">
        <v>0</v>
      </c>
      <c r="K1292" s="22">
        <v>-0.06</v>
      </c>
      <c r="L1292" s="22">
        <v>3.11</v>
      </c>
      <c r="M1292" s="10"/>
      <c r="N1292" s="67"/>
      <c r="O1292" s="11"/>
    </row>
    <row r="1293" spans="1:15" s="4" customFormat="1" x14ac:dyDescent="0.25">
      <c r="A1293" s="6"/>
      <c r="B1293" s="5"/>
      <c r="C1293" s="5"/>
      <c r="D1293" s="5" t="s">
        <v>180</v>
      </c>
      <c r="E1293" s="5" t="s">
        <v>179</v>
      </c>
      <c r="F1293" s="5" t="s">
        <v>551</v>
      </c>
      <c r="G1293" s="14">
        <f>SUBTOTAL(9,G1287:G1292)</f>
        <v>0</v>
      </c>
      <c r="H1293" s="14">
        <f t="shared" ref="H1293:L1293" si="327">SUBTOTAL(9,H1287:H1292)</f>
        <v>0</v>
      </c>
      <c r="I1293" s="14">
        <f t="shared" si="327"/>
        <v>466299.8</v>
      </c>
      <c r="J1293" s="14">
        <f t="shared" si="327"/>
        <v>0</v>
      </c>
      <c r="K1293" s="14">
        <f t="shared" si="327"/>
        <v>-9326</v>
      </c>
      <c r="L1293" s="14">
        <f t="shared" si="327"/>
        <v>456973.8</v>
      </c>
      <c r="M1293" s="10">
        <v>2438</v>
      </c>
      <c r="N1293" s="69"/>
      <c r="O1293" s="11">
        <f>O1285+1</f>
        <v>320</v>
      </c>
    </row>
    <row r="1294" spans="1:15" x14ac:dyDescent="0.25">
      <c r="A1294" s="10"/>
      <c r="G1294" s="21"/>
      <c r="H1294" s="21"/>
      <c r="I1294" s="21"/>
      <c r="J1294" s="21"/>
      <c r="K1294" s="21"/>
      <c r="L1294" s="21"/>
      <c r="M1294" s="10"/>
      <c r="O1294" s="11"/>
    </row>
    <row r="1295" spans="1:15" x14ac:dyDescent="0.25">
      <c r="A1295" s="6">
        <v>632</v>
      </c>
      <c r="B1295" s="5" t="s">
        <v>550</v>
      </c>
      <c r="C1295" s="5" t="s">
        <v>17</v>
      </c>
      <c r="D1295" s="5" t="s">
        <v>178</v>
      </c>
      <c r="E1295" s="5" t="s">
        <v>179</v>
      </c>
      <c r="F1295" s="5" t="s">
        <v>552</v>
      </c>
      <c r="G1295" s="22">
        <v>0</v>
      </c>
      <c r="H1295" s="22">
        <v>0</v>
      </c>
      <c r="I1295" s="22">
        <v>0.01</v>
      </c>
      <c r="J1295" s="22">
        <v>0</v>
      </c>
      <c r="K1295" s="22">
        <v>0</v>
      </c>
      <c r="L1295" s="22">
        <v>0.01</v>
      </c>
      <c r="M1295" s="10"/>
      <c r="O1295" s="11"/>
    </row>
    <row r="1296" spans="1:15" s="4" customFormat="1" x14ac:dyDescent="0.25">
      <c r="A1296" s="6">
        <v>633</v>
      </c>
      <c r="B1296" s="5" t="s">
        <v>550</v>
      </c>
      <c r="C1296" s="5" t="s">
        <v>17</v>
      </c>
      <c r="D1296" s="5" t="s">
        <v>178</v>
      </c>
      <c r="E1296" s="5" t="s">
        <v>179</v>
      </c>
      <c r="F1296" s="5" t="s">
        <v>552</v>
      </c>
      <c r="G1296" s="22">
        <v>0</v>
      </c>
      <c r="H1296" s="22">
        <v>0</v>
      </c>
      <c r="I1296" s="22">
        <v>33.44</v>
      </c>
      <c r="J1296" s="22">
        <v>0</v>
      </c>
      <c r="K1296" s="22">
        <v>-0.67</v>
      </c>
      <c r="L1296" s="22">
        <v>32.770000000000003</v>
      </c>
      <c r="M1296" s="10"/>
      <c r="N1296" s="67"/>
      <c r="O1296" s="11"/>
    </row>
    <row r="1297" spans="1:15" s="4" customFormat="1" x14ac:dyDescent="0.25">
      <c r="A1297" s="6">
        <v>634</v>
      </c>
      <c r="B1297" s="5" t="s">
        <v>550</v>
      </c>
      <c r="C1297" s="5" t="s">
        <v>17</v>
      </c>
      <c r="D1297" s="5" t="s">
        <v>178</v>
      </c>
      <c r="E1297" s="5" t="s">
        <v>179</v>
      </c>
      <c r="F1297" s="5" t="s">
        <v>552</v>
      </c>
      <c r="G1297" s="22">
        <v>0</v>
      </c>
      <c r="H1297" s="22">
        <v>0</v>
      </c>
      <c r="I1297" s="22">
        <v>0.06</v>
      </c>
      <c r="J1297" s="22">
        <v>0</v>
      </c>
      <c r="K1297" s="22">
        <v>0</v>
      </c>
      <c r="L1297" s="22">
        <v>0.06</v>
      </c>
      <c r="M1297" s="10"/>
      <c r="N1297" s="67"/>
      <c r="O1297" s="11"/>
    </row>
    <row r="1298" spans="1:15" x14ac:dyDescent="0.25">
      <c r="A1298" s="6">
        <v>635</v>
      </c>
      <c r="B1298" s="5" t="s">
        <v>550</v>
      </c>
      <c r="C1298" s="5" t="s">
        <v>17</v>
      </c>
      <c r="D1298" s="5" t="s">
        <v>178</v>
      </c>
      <c r="E1298" s="5" t="s">
        <v>179</v>
      </c>
      <c r="F1298" s="5" t="s">
        <v>552</v>
      </c>
      <c r="G1298" s="22">
        <v>0</v>
      </c>
      <c r="H1298" s="22">
        <v>0</v>
      </c>
      <c r="I1298" s="22">
        <v>0.03</v>
      </c>
      <c r="J1298" s="22">
        <v>0</v>
      </c>
      <c r="K1298" s="22">
        <v>0</v>
      </c>
      <c r="L1298" s="22">
        <v>0.03</v>
      </c>
      <c r="M1298" s="10"/>
      <c r="O1298" s="11"/>
    </row>
    <row r="1299" spans="1:15" x14ac:dyDescent="0.25">
      <c r="A1299" s="6"/>
      <c r="B1299" s="5"/>
      <c r="C1299" s="5"/>
      <c r="D1299" s="5" t="s">
        <v>178</v>
      </c>
      <c r="E1299" s="5" t="s">
        <v>179</v>
      </c>
      <c r="F1299" s="5" t="s">
        <v>552</v>
      </c>
      <c r="G1299" s="14">
        <f t="shared" ref="G1299:L1299" si="328">SUBTOTAL(9,G1295:G1298)</f>
        <v>0</v>
      </c>
      <c r="H1299" s="14">
        <f t="shared" si="328"/>
        <v>0</v>
      </c>
      <c r="I1299" s="14">
        <f t="shared" si="328"/>
        <v>33.54</v>
      </c>
      <c r="J1299" s="14">
        <f t="shared" si="328"/>
        <v>0</v>
      </c>
      <c r="K1299" s="14">
        <f t="shared" si="328"/>
        <v>-0.67</v>
      </c>
      <c r="L1299" s="14">
        <f t="shared" si="328"/>
        <v>32.870000000000005</v>
      </c>
      <c r="M1299" s="10">
        <v>2439</v>
      </c>
      <c r="N1299" s="69"/>
      <c r="O1299" s="11">
        <f>O1293+1</f>
        <v>321</v>
      </c>
    </row>
    <row r="1300" spans="1:15" s="4" customFormat="1" x14ac:dyDescent="0.25">
      <c r="A1300" s="10"/>
      <c r="B1300"/>
      <c r="C1300"/>
      <c r="D1300"/>
      <c r="E1300"/>
      <c r="F1300"/>
      <c r="G1300" s="21"/>
      <c r="H1300" s="21"/>
      <c r="I1300" s="21"/>
      <c r="J1300" s="21"/>
      <c r="K1300" s="21"/>
      <c r="L1300" s="21"/>
      <c r="M1300" s="10"/>
      <c r="N1300" s="67"/>
      <c r="O1300" s="11"/>
    </row>
    <row r="1301" spans="1:15" s="4" customFormat="1" x14ac:dyDescent="0.25">
      <c r="A1301" s="6">
        <v>636</v>
      </c>
      <c r="B1301" s="5" t="s">
        <v>18</v>
      </c>
      <c r="C1301" s="5" t="s">
        <v>17</v>
      </c>
      <c r="D1301" s="5" t="s">
        <v>180</v>
      </c>
      <c r="E1301" s="5" t="s">
        <v>179</v>
      </c>
      <c r="F1301" s="5" t="s">
        <v>19</v>
      </c>
      <c r="G1301" s="22">
        <v>0</v>
      </c>
      <c r="H1301" s="22">
        <v>0</v>
      </c>
      <c r="I1301" s="22">
        <v>0</v>
      </c>
      <c r="J1301" s="22">
        <v>0</v>
      </c>
      <c r="K1301" s="22">
        <v>0</v>
      </c>
      <c r="L1301" s="22">
        <v>0</v>
      </c>
      <c r="M1301" s="10"/>
      <c r="N1301" s="67"/>
      <c r="O1301" s="11"/>
    </row>
    <row r="1302" spans="1:15" x14ac:dyDescent="0.25">
      <c r="A1302" s="28"/>
      <c r="B1302" s="29"/>
      <c r="C1302" s="29"/>
      <c r="D1302" s="29"/>
      <c r="E1302" s="29"/>
      <c r="F1302" s="29" t="s">
        <v>657</v>
      </c>
      <c r="G1302" s="31">
        <f t="shared" ref="G1302:L1302" si="329">SUBTOTAL(9,G1301:G1301)</f>
        <v>0</v>
      </c>
      <c r="H1302" s="31">
        <f t="shared" si="329"/>
        <v>0</v>
      </c>
      <c r="I1302" s="31">
        <f t="shared" si="329"/>
        <v>0</v>
      </c>
      <c r="J1302" s="31">
        <f t="shared" si="329"/>
        <v>0</v>
      </c>
      <c r="K1302" s="31">
        <f t="shared" si="329"/>
        <v>0</v>
      </c>
      <c r="L1302" s="31">
        <f t="shared" si="329"/>
        <v>0</v>
      </c>
      <c r="M1302" s="15"/>
      <c r="O1302" s="11"/>
    </row>
    <row r="1303" spans="1:15" x14ac:dyDescent="0.25">
      <c r="A1303" s="10"/>
      <c r="G1303" s="21"/>
      <c r="H1303" s="21"/>
      <c r="I1303" s="21"/>
      <c r="J1303" s="21"/>
      <c r="K1303" s="21"/>
      <c r="L1303" s="21"/>
      <c r="M1303" s="10"/>
      <c r="O1303" s="11"/>
    </row>
    <row r="1304" spans="1:15" s="4" customFormat="1" x14ac:dyDescent="0.25">
      <c r="A1304" s="6">
        <v>638</v>
      </c>
      <c r="B1304" s="5" t="s">
        <v>559</v>
      </c>
      <c r="C1304" s="5" t="s">
        <v>17</v>
      </c>
      <c r="D1304" s="5" t="s">
        <v>181</v>
      </c>
      <c r="E1304" s="5" t="s">
        <v>182</v>
      </c>
      <c r="F1304" s="5" t="s">
        <v>560</v>
      </c>
      <c r="G1304" s="22">
        <v>0.14000000000000001</v>
      </c>
      <c r="H1304" s="22">
        <v>0</v>
      </c>
      <c r="I1304" s="22">
        <v>0</v>
      </c>
      <c r="J1304" s="22">
        <v>0</v>
      </c>
      <c r="K1304" s="22">
        <v>0</v>
      </c>
      <c r="L1304" s="22">
        <v>0.14000000000000001</v>
      </c>
      <c r="M1304" s="10"/>
      <c r="N1304" s="67"/>
      <c r="O1304" s="11"/>
    </row>
    <row r="1305" spans="1:15" s="4" customFormat="1" x14ac:dyDescent="0.25">
      <c r="A1305" s="6">
        <v>639</v>
      </c>
      <c r="B1305" s="5" t="s">
        <v>559</v>
      </c>
      <c r="C1305" s="5" t="s">
        <v>17</v>
      </c>
      <c r="D1305" s="5" t="s">
        <v>181</v>
      </c>
      <c r="E1305" s="5" t="s">
        <v>182</v>
      </c>
      <c r="F1305" s="5" t="s">
        <v>560</v>
      </c>
      <c r="G1305" s="22">
        <v>0.04</v>
      </c>
      <c r="H1305" s="22">
        <v>0</v>
      </c>
      <c r="I1305" s="22">
        <v>0</v>
      </c>
      <c r="J1305" s="22">
        <v>0</v>
      </c>
      <c r="K1305" s="22">
        <v>0</v>
      </c>
      <c r="L1305" s="22">
        <v>0.04</v>
      </c>
      <c r="M1305" s="10"/>
      <c r="N1305" s="67"/>
      <c r="O1305" s="11"/>
    </row>
    <row r="1306" spans="1:15" x14ac:dyDescent="0.25">
      <c r="A1306" s="6">
        <v>640</v>
      </c>
      <c r="B1306" s="5" t="s">
        <v>559</v>
      </c>
      <c r="C1306" s="5" t="s">
        <v>13</v>
      </c>
      <c r="D1306" s="5" t="s">
        <v>181</v>
      </c>
      <c r="E1306" s="5" t="s">
        <v>182</v>
      </c>
      <c r="F1306" s="5" t="s">
        <v>560</v>
      </c>
      <c r="G1306" s="22">
        <v>0</v>
      </c>
      <c r="H1306" s="22">
        <v>0</v>
      </c>
      <c r="I1306" s="22">
        <v>0</v>
      </c>
      <c r="J1306" s="22">
        <v>0.02</v>
      </c>
      <c r="K1306" s="22">
        <v>0</v>
      </c>
      <c r="L1306" s="22">
        <v>0.02</v>
      </c>
      <c r="M1306" s="10"/>
      <c r="O1306" s="11"/>
    </row>
    <row r="1307" spans="1:15" x14ac:dyDescent="0.25">
      <c r="A1307" s="6">
        <v>641</v>
      </c>
      <c r="B1307" s="5" t="s">
        <v>559</v>
      </c>
      <c r="C1307" s="5" t="s">
        <v>13</v>
      </c>
      <c r="D1307" s="5" t="s">
        <v>181</v>
      </c>
      <c r="E1307" s="5" t="s">
        <v>182</v>
      </c>
      <c r="F1307" s="5" t="s">
        <v>560</v>
      </c>
      <c r="G1307" s="22">
        <v>0</v>
      </c>
      <c r="H1307" s="22">
        <v>0</v>
      </c>
      <c r="I1307" s="22">
        <v>0</v>
      </c>
      <c r="J1307" s="22">
        <v>0</v>
      </c>
      <c r="K1307" s="22">
        <v>0</v>
      </c>
      <c r="L1307" s="22">
        <v>0</v>
      </c>
      <c r="M1307" s="10"/>
      <c r="O1307" s="11"/>
    </row>
    <row r="1308" spans="1:15" s="4" customFormat="1" x14ac:dyDescent="0.25">
      <c r="A1308" s="6"/>
      <c r="B1308" s="5"/>
      <c r="C1308" s="5"/>
      <c r="D1308" s="5" t="s">
        <v>181</v>
      </c>
      <c r="E1308" s="5" t="s">
        <v>182</v>
      </c>
      <c r="F1308" s="5" t="s">
        <v>560</v>
      </c>
      <c r="G1308" s="14">
        <f t="shared" ref="G1308:L1308" si="330">SUBTOTAL(9,G1304:G1307)</f>
        <v>0.18000000000000002</v>
      </c>
      <c r="H1308" s="14">
        <f t="shared" si="330"/>
        <v>0</v>
      </c>
      <c r="I1308" s="14">
        <f t="shared" si="330"/>
        <v>0</v>
      </c>
      <c r="J1308" s="14">
        <f t="shared" si="330"/>
        <v>0.02</v>
      </c>
      <c r="K1308" s="14">
        <f t="shared" si="330"/>
        <v>0</v>
      </c>
      <c r="L1308" s="14">
        <f t="shared" si="330"/>
        <v>0.2</v>
      </c>
      <c r="M1308" s="10">
        <v>2440</v>
      </c>
      <c r="N1308" s="69"/>
      <c r="O1308" s="11">
        <f>O1299+1</f>
        <v>322</v>
      </c>
    </row>
    <row r="1309" spans="1:15" s="4" customFormat="1" x14ac:dyDescent="0.25">
      <c r="A1309" s="10"/>
      <c r="B1309"/>
      <c r="C1309"/>
      <c r="D1309"/>
      <c r="E1309"/>
      <c r="F1309"/>
      <c r="G1309" s="21"/>
      <c r="H1309" s="21"/>
      <c r="I1309" s="21"/>
      <c r="J1309" s="21"/>
      <c r="K1309" s="21"/>
      <c r="L1309" s="21"/>
      <c r="M1309" s="10"/>
      <c r="N1309" s="67"/>
      <c r="O1309" s="11"/>
    </row>
    <row r="1310" spans="1:15" x14ac:dyDescent="0.25">
      <c r="A1310" s="6">
        <v>642</v>
      </c>
      <c r="B1310" s="5" t="s">
        <v>18</v>
      </c>
      <c r="C1310" s="5" t="s">
        <v>17</v>
      </c>
      <c r="D1310" s="5" t="s">
        <v>181</v>
      </c>
      <c r="E1310" s="5" t="s">
        <v>182</v>
      </c>
      <c r="F1310" s="5" t="s">
        <v>19</v>
      </c>
      <c r="G1310" s="22">
        <v>0.24</v>
      </c>
      <c r="H1310" s="22">
        <v>0</v>
      </c>
      <c r="I1310" s="22">
        <v>0</v>
      </c>
      <c r="J1310" s="22">
        <v>0</v>
      </c>
      <c r="K1310" s="22">
        <v>-0.21</v>
      </c>
      <c r="L1310" s="22">
        <v>0.03</v>
      </c>
      <c r="M1310" s="10"/>
      <c r="O1310" s="11"/>
    </row>
    <row r="1311" spans="1:15" x14ac:dyDescent="0.25">
      <c r="A1311" s="6"/>
      <c r="B1311" s="5"/>
      <c r="C1311" s="5"/>
      <c r="D1311" s="5" t="s">
        <v>181</v>
      </c>
      <c r="E1311" s="5" t="s">
        <v>182</v>
      </c>
      <c r="F1311" s="5" t="s">
        <v>19</v>
      </c>
      <c r="G1311" s="14">
        <f t="shared" ref="G1311:L1311" si="331">SUBTOTAL(9,G1310:G1310)</f>
        <v>0.24</v>
      </c>
      <c r="H1311" s="14">
        <f t="shared" si="331"/>
        <v>0</v>
      </c>
      <c r="I1311" s="14">
        <f t="shared" si="331"/>
        <v>0</v>
      </c>
      <c r="J1311" s="14">
        <f t="shared" si="331"/>
        <v>0</v>
      </c>
      <c r="K1311" s="14">
        <f t="shared" si="331"/>
        <v>-0.21</v>
      </c>
      <c r="L1311" s="14">
        <f t="shared" si="331"/>
        <v>0.03</v>
      </c>
      <c r="M1311" s="10">
        <v>2441</v>
      </c>
      <c r="N1311" s="69"/>
      <c r="O1311" s="11">
        <f>O1308+1</f>
        <v>323</v>
      </c>
    </row>
    <row r="1312" spans="1:15" s="4" customFormat="1" x14ac:dyDescent="0.25">
      <c r="A1312" s="10"/>
      <c r="B1312"/>
      <c r="C1312"/>
      <c r="D1312"/>
      <c r="E1312"/>
      <c r="F1312"/>
      <c r="G1312" s="21"/>
      <c r="H1312" s="21"/>
      <c r="I1312" s="21"/>
      <c r="J1312" s="21"/>
      <c r="K1312" s="21"/>
      <c r="L1312" s="21"/>
      <c r="M1312" s="10"/>
      <c r="N1312" s="67"/>
      <c r="O1312" s="11"/>
    </row>
    <row r="1313" spans="1:15" x14ac:dyDescent="0.25">
      <c r="A1313" s="6">
        <v>643</v>
      </c>
      <c r="B1313" s="5" t="s">
        <v>550</v>
      </c>
      <c r="C1313" s="5" t="s">
        <v>13</v>
      </c>
      <c r="D1313" s="5" t="s">
        <v>181</v>
      </c>
      <c r="E1313" s="5" t="s">
        <v>182</v>
      </c>
      <c r="F1313" s="5" t="s">
        <v>551</v>
      </c>
      <c r="G1313" s="22">
        <v>0</v>
      </c>
      <c r="H1313" s="22">
        <v>0</v>
      </c>
      <c r="I1313" s="22">
        <v>0</v>
      </c>
      <c r="J1313" s="22">
        <v>137.91999999999999</v>
      </c>
      <c r="K1313" s="22">
        <v>0</v>
      </c>
      <c r="L1313" s="22">
        <v>137.91999999999999</v>
      </c>
      <c r="M1313" s="10"/>
      <c r="O1313" s="11"/>
    </row>
    <row r="1314" spans="1:15" x14ac:dyDescent="0.25">
      <c r="A1314" s="6">
        <v>644</v>
      </c>
      <c r="B1314" s="5" t="s">
        <v>550</v>
      </c>
      <c r="C1314" s="5" t="s">
        <v>17</v>
      </c>
      <c r="D1314" s="5" t="s">
        <v>181</v>
      </c>
      <c r="E1314" s="5" t="s">
        <v>182</v>
      </c>
      <c r="F1314" s="5" t="s">
        <v>551</v>
      </c>
      <c r="G1314" s="22">
        <v>259</v>
      </c>
      <c r="H1314" s="22">
        <v>0</v>
      </c>
      <c r="I1314" s="22">
        <v>0</v>
      </c>
      <c r="J1314" s="22">
        <v>0</v>
      </c>
      <c r="K1314" s="22">
        <v>-5.18</v>
      </c>
      <c r="L1314" s="22">
        <v>253.82</v>
      </c>
      <c r="M1314" s="10"/>
      <c r="O1314" s="11"/>
    </row>
    <row r="1315" spans="1:15" s="4" customFormat="1" x14ac:dyDescent="0.25">
      <c r="A1315" s="6">
        <v>645</v>
      </c>
      <c r="B1315" s="5" t="s">
        <v>550</v>
      </c>
      <c r="C1315" s="5" t="s">
        <v>17</v>
      </c>
      <c r="D1315" s="5" t="s">
        <v>181</v>
      </c>
      <c r="E1315" s="5" t="s">
        <v>182</v>
      </c>
      <c r="F1315" s="5" t="s">
        <v>551</v>
      </c>
      <c r="G1315" s="22">
        <v>1149.3399999999999</v>
      </c>
      <c r="H1315" s="22">
        <v>0</v>
      </c>
      <c r="I1315" s="22">
        <v>0</v>
      </c>
      <c r="J1315" s="22">
        <v>0</v>
      </c>
      <c r="K1315" s="22">
        <v>-22.99</v>
      </c>
      <c r="L1315" s="22">
        <v>1126.3499999999999</v>
      </c>
      <c r="M1315" s="10"/>
      <c r="N1315" s="67"/>
      <c r="O1315" s="11"/>
    </row>
    <row r="1316" spans="1:15" x14ac:dyDescent="0.25">
      <c r="A1316" s="6">
        <v>646</v>
      </c>
      <c r="B1316" s="5" t="s">
        <v>550</v>
      </c>
      <c r="C1316" s="5" t="s">
        <v>13</v>
      </c>
      <c r="D1316" s="5" t="s">
        <v>181</v>
      </c>
      <c r="E1316" s="5" t="s">
        <v>182</v>
      </c>
      <c r="F1316" s="5" t="s">
        <v>551</v>
      </c>
      <c r="G1316" s="22">
        <v>0</v>
      </c>
      <c r="H1316" s="22">
        <v>0</v>
      </c>
      <c r="I1316" s="22">
        <v>0</v>
      </c>
      <c r="J1316" s="22">
        <v>31.08</v>
      </c>
      <c r="K1316" s="22">
        <v>0</v>
      </c>
      <c r="L1316" s="22">
        <v>31.08</v>
      </c>
      <c r="M1316" s="10"/>
      <c r="O1316" s="11"/>
    </row>
    <row r="1317" spans="1:15" x14ac:dyDescent="0.25">
      <c r="A1317" s="6"/>
      <c r="B1317" s="5"/>
      <c r="C1317" s="5"/>
      <c r="D1317" s="5" t="s">
        <v>181</v>
      </c>
      <c r="E1317" s="5" t="s">
        <v>182</v>
      </c>
      <c r="F1317" s="5" t="s">
        <v>551</v>
      </c>
      <c r="G1317" s="14">
        <f t="shared" ref="G1317:L1317" si="332">SUBTOTAL(9,G1313:G1316)</f>
        <v>1408.34</v>
      </c>
      <c r="H1317" s="14">
        <f t="shared" si="332"/>
        <v>0</v>
      </c>
      <c r="I1317" s="14">
        <f t="shared" si="332"/>
        <v>0</v>
      </c>
      <c r="J1317" s="14">
        <f t="shared" si="332"/>
        <v>169</v>
      </c>
      <c r="K1317" s="14">
        <f t="shared" si="332"/>
        <v>-28.169999999999998</v>
      </c>
      <c r="L1317" s="14">
        <f t="shared" si="332"/>
        <v>1549.1699999999998</v>
      </c>
      <c r="M1317" s="10">
        <v>2442</v>
      </c>
      <c r="N1317" s="69"/>
      <c r="O1317" s="11">
        <f>O1311+1</f>
        <v>324</v>
      </c>
    </row>
    <row r="1318" spans="1:15" s="4" customFormat="1" x14ac:dyDescent="0.25">
      <c r="A1318" s="10"/>
      <c r="B1318"/>
      <c r="C1318"/>
      <c r="D1318"/>
      <c r="E1318"/>
      <c r="F1318"/>
      <c r="G1318" s="21"/>
      <c r="H1318" s="21"/>
      <c r="I1318" s="21"/>
      <c r="J1318" s="21"/>
      <c r="K1318" s="21"/>
      <c r="L1318" s="21"/>
      <c r="M1318" s="10"/>
      <c r="N1318" s="67"/>
      <c r="O1318" s="11"/>
    </row>
    <row r="1319" spans="1:15" x14ac:dyDescent="0.25">
      <c r="A1319" s="6">
        <v>647</v>
      </c>
      <c r="B1319" s="5" t="s">
        <v>550</v>
      </c>
      <c r="C1319" s="5" t="s">
        <v>17</v>
      </c>
      <c r="D1319" s="5" t="s">
        <v>181</v>
      </c>
      <c r="E1319" s="5" t="s">
        <v>182</v>
      </c>
      <c r="F1319" s="5" t="s">
        <v>552</v>
      </c>
      <c r="G1319" s="22">
        <v>0.02</v>
      </c>
      <c r="H1319" s="22">
        <v>0</v>
      </c>
      <c r="I1319" s="22">
        <v>0</v>
      </c>
      <c r="J1319" s="22">
        <v>0</v>
      </c>
      <c r="K1319" s="22">
        <v>0</v>
      </c>
      <c r="L1319" s="22">
        <v>0.02</v>
      </c>
      <c r="M1319" s="10"/>
      <c r="O1319" s="11"/>
    </row>
    <row r="1320" spans="1:15" x14ac:dyDescent="0.25">
      <c r="A1320" s="6">
        <v>648</v>
      </c>
      <c r="B1320" s="5" t="s">
        <v>550</v>
      </c>
      <c r="C1320" s="5" t="s">
        <v>17</v>
      </c>
      <c r="D1320" s="5" t="s">
        <v>181</v>
      </c>
      <c r="E1320" s="5" t="s">
        <v>182</v>
      </c>
      <c r="F1320" s="5" t="s">
        <v>552</v>
      </c>
      <c r="G1320" s="22">
        <v>0.08</v>
      </c>
      <c r="H1320" s="22">
        <v>0</v>
      </c>
      <c r="I1320" s="22">
        <v>0</v>
      </c>
      <c r="J1320" s="22">
        <v>0</v>
      </c>
      <c r="K1320" s="22">
        <v>0</v>
      </c>
      <c r="L1320" s="22">
        <v>0.08</v>
      </c>
      <c r="M1320" s="10"/>
      <c r="O1320" s="11"/>
    </row>
    <row r="1321" spans="1:15" s="4" customFormat="1" x14ac:dyDescent="0.25">
      <c r="A1321" s="6">
        <v>649</v>
      </c>
      <c r="B1321" s="5" t="s">
        <v>550</v>
      </c>
      <c r="C1321" s="5" t="s">
        <v>13</v>
      </c>
      <c r="D1321" s="5" t="s">
        <v>181</v>
      </c>
      <c r="E1321" s="5" t="s">
        <v>182</v>
      </c>
      <c r="F1321" s="5" t="s">
        <v>552</v>
      </c>
      <c r="G1321" s="22">
        <v>0</v>
      </c>
      <c r="H1321" s="22">
        <v>0</v>
      </c>
      <c r="I1321" s="22">
        <v>0</v>
      </c>
      <c r="J1321" s="22">
        <v>0</v>
      </c>
      <c r="K1321" s="22">
        <v>0</v>
      </c>
      <c r="L1321" s="22">
        <v>0</v>
      </c>
      <c r="M1321" s="10"/>
      <c r="N1321" s="67"/>
      <c r="O1321" s="11"/>
    </row>
    <row r="1322" spans="1:15" x14ac:dyDescent="0.25">
      <c r="A1322" s="6">
        <v>650</v>
      </c>
      <c r="B1322" s="5" t="s">
        <v>550</v>
      </c>
      <c r="C1322" s="5" t="s">
        <v>13</v>
      </c>
      <c r="D1322" s="5" t="s">
        <v>181</v>
      </c>
      <c r="E1322" s="5" t="s">
        <v>182</v>
      </c>
      <c r="F1322" s="5" t="s">
        <v>552</v>
      </c>
      <c r="G1322" s="22">
        <v>0</v>
      </c>
      <c r="H1322" s="22">
        <v>0</v>
      </c>
      <c r="I1322" s="22">
        <v>0</v>
      </c>
      <c r="J1322" s="22">
        <v>0.01</v>
      </c>
      <c r="K1322" s="22">
        <v>0</v>
      </c>
      <c r="L1322" s="22">
        <v>0.01</v>
      </c>
      <c r="M1322" s="10"/>
      <c r="O1322" s="11"/>
    </row>
    <row r="1323" spans="1:15" x14ac:dyDescent="0.25">
      <c r="A1323" s="6"/>
      <c r="B1323" s="5"/>
      <c r="C1323" s="5"/>
      <c r="D1323" s="5" t="s">
        <v>181</v>
      </c>
      <c r="E1323" s="5" t="s">
        <v>182</v>
      </c>
      <c r="F1323" s="5" t="s">
        <v>552</v>
      </c>
      <c r="G1323" s="14">
        <f t="shared" ref="G1323:L1323" si="333">SUBTOTAL(9,G1319:G1322)</f>
        <v>0.1</v>
      </c>
      <c r="H1323" s="14">
        <f t="shared" si="333"/>
        <v>0</v>
      </c>
      <c r="I1323" s="14">
        <f t="shared" si="333"/>
        <v>0</v>
      </c>
      <c r="J1323" s="14">
        <f t="shared" si="333"/>
        <v>0.01</v>
      </c>
      <c r="K1323" s="14">
        <f t="shared" si="333"/>
        <v>0</v>
      </c>
      <c r="L1323" s="14">
        <f t="shared" si="333"/>
        <v>0.11</v>
      </c>
      <c r="M1323" s="10">
        <v>2443</v>
      </c>
      <c r="N1323" s="69"/>
      <c r="O1323" s="11">
        <f>O1317+1</f>
        <v>325</v>
      </c>
    </row>
    <row r="1324" spans="1:15" s="4" customFormat="1" x14ac:dyDescent="0.25">
      <c r="A1324" s="10"/>
      <c r="B1324"/>
      <c r="C1324"/>
      <c r="D1324"/>
      <c r="E1324"/>
      <c r="F1324"/>
      <c r="G1324" s="21"/>
      <c r="H1324" s="21"/>
      <c r="I1324" s="21"/>
      <c r="J1324" s="21"/>
      <c r="K1324" s="21"/>
      <c r="L1324" s="21"/>
      <c r="M1324" s="10"/>
      <c r="N1324" s="67"/>
      <c r="O1324" s="11"/>
    </row>
    <row r="1325" spans="1:15" x14ac:dyDescent="0.25">
      <c r="A1325" s="6">
        <v>651</v>
      </c>
      <c r="B1325" s="5" t="s">
        <v>559</v>
      </c>
      <c r="C1325" s="5" t="s">
        <v>17</v>
      </c>
      <c r="D1325" s="5" t="s">
        <v>183</v>
      </c>
      <c r="E1325" s="5" t="s">
        <v>184</v>
      </c>
      <c r="F1325" s="5" t="s">
        <v>560</v>
      </c>
      <c r="G1325" s="22">
        <v>0.08</v>
      </c>
      <c r="H1325" s="22">
        <v>0</v>
      </c>
      <c r="I1325" s="22">
        <v>0</v>
      </c>
      <c r="J1325" s="22">
        <v>0</v>
      </c>
      <c r="K1325" s="22">
        <v>0</v>
      </c>
      <c r="L1325" s="22">
        <v>0.08</v>
      </c>
      <c r="M1325" s="10"/>
      <c r="O1325" s="11"/>
    </row>
    <row r="1326" spans="1:15" x14ac:dyDescent="0.25">
      <c r="A1326" s="6">
        <v>652</v>
      </c>
      <c r="B1326" s="5" t="s">
        <v>559</v>
      </c>
      <c r="C1326" s="5" t="s">
        <v>13</v>
      </c>
      <c r="D1326" s="5" t="s">
        <v>183</v>
      </c>
      <c r="E1326" s="5" t="s">
        <v>184</v>
      </c>
      <c r="F1326" s="5" t="s">
        <v>560</v>
      </c>
      <c r="G1326" s="22">
        <v>0</v>
      </c>
      <c r="H1326" s="22">
        <v>0</v>
      </c>
      <c r="I1326" s="22">
        <v>0</v>
      </c>
      <c r="J1326" s="22">
        <v>0.01</v>
      </c>
      <c r="K1326" s="22">
        <v>0</v>
      </c>
      <c r="L1326" s="22">
        <v>0.01</v>
      </c>
      <c r="M1326" s="10"/>
      <c r="O1326" s="11"/>
    </row>
    <row r="1327" spans="1:15" s="4" customFormat="1" x14ac:dyDescent="0.25">
      <c r="A1327" s="6"/>
      <c r="B1327" s="5"/>
      <c r="C1327" s="5"/>
      <c r="D1327" s="5" t="s">
        <v>183</v>
      </c>
      <c r="E1327" s="5" t="s">
        <v>184</v>
      </c>
      <c r="F1327" s="5" t="s">
        <v>560</v>
      </c>
      <c r="G1327" s="14">
        <f t="shared" ref="G1327:L1327" si="334">SUBTOTAL(9,G1325:G1326)</f>
        <v>0.08</v>
      </c>
      <c r="H1327" s="14">
        <f t="shared" si="334"/>
        <v>0</v>
      </c>
      <c r="I1327" s="14">
        <f t="shared" si="334"/>
        <v>0</v>
      </c>
      <c r="J1327" s="14">
        <f t="shared" si="334"/>
        <v>0.01</v>
      </c>
      <c r="K1327" s="14">
        <f t="shared" si="334"/>
        <v>0</v>
      </c>
      <c r="L1327" s="14">
        <f t="shared" si="334"/>
        <v>0.09</v>
      </c>
      <c r="M1327" s="10">
        <v>2444</v>
      </c>
      <c r="N1327" s="69"/>
      <c r="O1327" s="11">
        <f>O1323+1</f>
        <v>326</v>
      </c>
    </row>
    <row r="1328" spans="1:15" x14ac:dyDescent="0.25">
      <c r="A1328" s="10"/>
      <c r="G1328" s="21"/>
      <c r="H1328" s="21"/>
      <c r="I1328" s="21"/>
      <c r="J1328" s="21"/>
      <c r="K1328" s="21"/>
      <c r="L1328" s="21"/>
      <c r="M1328" s="10"/>
      <c r="O1328" s="11"/>
    </row>
    <row r="1329" spans="1:15" x14ac:dyDescent="0.25">
      <c r="A1329" s="6">
        <v>653</v>
      </c>
      <c r="B1329" s="5" t="s">
        <v>18</v>
      </c>
      <c r="C1329" s="5" t="s">
        <v>17</v>
      </c>
      <c r="D1329" s="5" t="s">
        <v>183</v>
      </c>
      <c r="E1329" s="5" t="s">
        <v>184</v>
      </c>
      <c r="F1329" s="5" t="s">
        <v>19</v>
      </c>
      <c r="G1329" s="22">
        <v>0</v>
      </c>
      <c r="H1329" s="22">
        <v>0</v>
      </c>
      <c r="I1329" s="22">
        <v>0</v>
      </c>
      <c r="J1329" s="22">
        <v>0</v>
      </c>
      <c r="K1329" s="22">
        <v>0</v>
      </c>
      <c r="L1329" s="22">
        <v>0</v>
      </c>
      <c r="M1329" s="10"/>
      <c r="O1329" s="11"/>
    </row>
    <row r="1330" spans="1:15" s="4" customFormat="1" x14ac:dyDescent="0.25">
      <c r="A1330" s="28"/>
      <c r="B1330" s="29"/>
      <c r="C1330" s="29"/>
      <c r="D1330" s="29"/>
      <c r="E1330" s="29"/>
      <c r="F1330" s="30" t="s">
        <v>657</v>
      </c>
      <c r="G1330" s="31">
        <f t="shared" ref="G1330:L1330" si="335">SUBTOTAL(9,G1329:G1329)</f>
        <v>0</v>
      </c>
      <c r="H1330" s="31">
        <f t="shared" si="335"/>
        <v>0</v>
      </c>
      <c r="I1330" s="31">
        <f t="shared" si="335"/>
        <v>0</v>
      </c>
      <c r="J1330" s="31">
        <f t="shared" si="335"/>
        <v>0</v>
      </c>
      <c r="K1330" s="31">
        <f t="shared" si="335"/>
        <v>0</v>
      </c>
      <c r="L1330" s="31">
        <f t="shared" si="335"/>
        <v>0</v>
      </c>
      <c r="M1330" s="15"/>
      <c r="N1330" s="69"/>
      <c r="O1330" s="11"/>
    </row>
    <row r="1331" spans="1:15" x14ac:dyDescent="0.25">
      <c r="A1331" s="10"/>
      <c r="G1331" s="21"/>
      <c r="H1331" s="21"/>
      <c r="I1331" s="21"/>
      <c r="J1331" s="21"/>
      <c r="K1331" s="21"/>
      <c r="L1331" s="21"/>
      <c r="M1331" s="10"/>
      <c r="O1331" s="11"/>
    </row>
    <row r="1332" spans="1:15" x14ac:dyDescent="0.25">
      <c r="A1332" s="6">
        <v>654</v>
      </c>
      <c r="B1332" s="5" t="s">
        <v>550</v>
      </c>
      <c r="C1332" s="5" t="s">
        <v>17</v>
      </c>
      <c r="D1332" s="5" t="s">
        <v>183</v>
      </c>
      <c r="E1332" s="5" t="s">
        <v>184</v>
      </c>
      <c r="F1332" s="5" t="s">
        <v>551</v>
      </c>
      <c r="G1332" s="22">
        <v>26.27</v>
      </c>
      <c r="H1332" s="22">
        <v>0</v>
      </c>
      <c r="I1332" s="22">
        <v>0</v>
      </c>
      <c r="J1332" s="22">
        <v>0</v>
      </c>
      <c r="K1332" s="22">
        <v>-0.53</v>
      </c>
      <c r="L1332" s="22">
        <v>25.74</v>
      </c>
      <c r="M1332" s="10"/>
      <c r="O1332" s="11"/>
    </row>
    <row r="1333" spans="1:15" s="4" customFormat="1" x14ac:dyDescent="0.25">
      <c r="A1333" s="6">
        <v>655</v>
      </c>
      <c r="B1333" s="5" t="s">
        <v>550</v>
      </c>
      <c r="C1333" s="5" t="s">
        <v>13</v>
      </c>
      <c r="D1333" s="5" t="s">
        <v>183</v>
      </c>
      <c r="E1333" s="5" t="s">
        <v>184</v>
      </c>
      <c r="F1333" s="5" t="s">
        <v>551</v>
      </c>
      <c r="G1333" s="22">
        <v>0</v>
      </c>
      <c r="H1333" s="22">
        <v>0</v>
      </c>
      <c r="I1333" s="22">
        <v>0</v>
      </c>
      <c r="J1333" s="22">
        <v>3.15</v>
      </c>
      <c r="K1333" s="22">
        <v>0</v>
      </c>
      <c r="L1333" s="22">
        <v>3.15</v>
      </c>
      <c r="M1333" s="10"/>
      <c r="N1333" s="67"/>
      <c r="O1333" s="11"/>
    </row>
    <row r="1334" spans="1:15" x14ac:dyDescent="0.25">
      <c r="A1334" s="6"/>
      <c r="B1334" s="5"/>
      <c r="C1334" s="5"/>
      <c r="D1334" s="5" t="s">
        <v>183</v>
      </c>
      <c r="E1334" s="5" t="s">
        <v>184</v>
      </c>
      <c r="F1334" s="5" t="s">
        <v>551</v>
      </c>
      <c r="G1334" s="14">
        <f t="shared" ref="G1334:L1334" si="336">SUBTOTAL(9,G1332:G1333)</f>
        <v>26.27</v>
      </c>
      <c r="H1334" s="14">
        <f t="shared" si="336"/>
        <v>0</v>
      </c>
      <c r="I1334" s="14">
        <f t="shared" si="336"/>
        <v>0</v>
      </c>
      <c r="J1334" s="14">
        <f t="shared" si="336"/>
        <v>3.15</v>
      </c>
      <c r="K1334" s="14">
        <f t="shared" si="336"/>
        <v>-0.53</v>
      </c>
      <c r="L1334" s="14">
        <f t="shared" si="336"/>
        <v>28.889999999999997</v>
      </c>
      <c r="M1334" s="10">
        <v>2445</v>
      </c>
      <c r="N1334" s="69"/>
      <c r="O1334" s="11">
        <f>O1327+1</f>
        <v>327</v>
      </c>
    </row>
    <row r="1335" spans="1:15" x14ac:dyDescent="0.25">
      <c r="A1335" s="10"/>
      <c r="G1335" s="21"/>
      <c r="H1335" s="21"/>
      <c r="I1335" s="21"/>
      <c r="J1335" s="21"/>
      <c r="K1335" s="21"/>
      <c r="L1335" s="21"/>
      <c r="M1335" s="10"/>
      <c r="O1335" s="11"/>
    </row>
    <row r="1336" spans="1:15" s="4" customFormat="1" x14ac:dyDescent="0.25">
      <c r="A1336" s="6">
        <v>656</v>
      </c>
      <c r="B1336" s="5" t="s">
        <v>18</v>
      </c>
      <c r="C1336" s="5" t="s">
        <v>17</v>
      </c>
      <c r="D1336" s="5" t="s">
        <v>185</v>
      </c>
      <c r="E1336" s="5" t="s">
        <v>186</v>
      </c>
      <c r="F1336" s="5" t="s">
        <v>19</v>
      </c>
      <c r="G1336" s="22">
        <v>0.56000000000000005</v>
      </c>
      <c r="H1336" s="22">
        <v>0</v>
      </c>
      <c r="I1336" s="22">
        <v>0</v>
      </c>
      <c r="J1336" s="22">
        <v>0</v>
      </c>
      <c r="K1336" s="22">
        <v>-0.5</v>
      </c>
      <c r="L1336" s="22">
        <v>0.06</v>
      </c>
      <c r="M1336" s="10"/>
      <c r="N1336" s="67"/>
      <c r="O1336" s="11"/>
    </row>
    <row r="1337" spans="1:15" x14ac:dyDescent="0.25">
      <c r="A1337" s="6"/>
      <c r="B1337" s="5"/>
      <c r="C1337" s="5"/>
      <c r="D1337" s="5" t="s">
        <v>185</v>
      </c>
      <c r="E1337" s="5" t="s">
        <v>186</v>
      </c>
      <c r="F1337" s="5" t="s">
        <v>19</v>
      </c>
      <c r="G1337" s="14">
        <f t="shared" ref="G1337:L1337" si="337">SUBTOTAL(9,G1336:G1336)</f>
        <v>0.56000000000000005</v>
      </c>
      <c r="H1337" s="14">
        <f t="shared" si="337"/>
        <v>0</v>
      </c>
      <c r="I1337" s="14">
        <f t="shared" si="337"/>
        <v>0</v>
      </c>
      <c r="J1337" s="14">
        <f t="shared" si="337"/>
        <v>0</v>
      </c>
      <c r="K1337" s="14">
        <f t="shared" si="337"/>
        <v>-0.5</v>
      </c>
      <c r="L1337" s="14">
        <f t="shared" si="337"/>
        <v>0.06</v>
      </c>
      <c r="M1337" s="10">
        <v>2446</v>
      </c>
      <c r="N1337" s="69"/>
      <c r="O1337" s="11">
        <f>O1334+1</f>
        <v>328</v>
      </c>
    </row>
    <row r="1338" spans="1:15" x14ac:dyDescent="0.25">
      <c r="A1338" s="10"/>
      <c r="G1338" s="21"/>
      <c r="H1338" s="21"/>
      <c r="I1338" s="21"/>
      <c r="J1338" s="21"/>
      <c r="K1338" s="21"/>
      <c r="L1338" s="21"/>
      <c r="M1338" s="10"/>
      <c r="O1338" s="11"/>
    </row>
    <row r="1339" spans="1:15" s="4" customFormat="1" x14ac:dyDescent="0.25">
      <c r="A1339" s="6">
        <v>657</v>
      </c>
      <c r="B1339" s="5" t="s">
        <v>550</v>
      </c>
      <c r="C1339" s="5" t="s">
        <v>17</v>
      </c>
      <c r="D1339" s="5" t="s">
        <v>185</v>
      </c>
      <c r="E1339" s="5" t="s">
        <v>186</v>
      </c>
      <c r="F1339" s="5" t="s">
        <v>551</v>
      </c>
      <c r="G1339" s="22">
        <v>12201.68</v>
      </c>
      <c r="H1339" s="22">
        <v>0</v>
      </c>
      <c r="I1339" s="22">
        <v>0</v>
      </c>
      <c r="J1339" s="22">
        <v>0</v>
      </c>
      <c r="K1339" s="22">
        <v>-244.03</v>
      </c>
      <c r="L1339" s="22">
        <v>11957.65</v>
      </c>
      <c r="M1339" s="10"/>
      <c r="N1339" s="67"/>
      <c r="O1339" s="11"/>
    </row>
    <row r="1340" spans="1:15" x14ac:dyDescent="0.25">
      <c r="A1340" s="6">
        <v>658</v>
      </c>
      <c r="B1340" s="5" t="s">
        <v>550</v>
      </c>
      <c r="C1340" s="5" t="s">
        <v>13</v>
      </c>
      <c r="D1340" s="5" t="s">
        <v>185</v>
      </c>
      <c r="E1340" s="5" t="s">
        <v>186</v>
      </c>
      <c r="F1340" s="5" t="s">
        <v>551</v>
      </c>
      <c r="G1340" s="22">
        <v>0</v>
      </c>
      <c r="H1340" s="22">
        <v>0</v>
      </c>
      <c r="I1340" s="22">
        <v>0</v>
      </c>
      <c r="J1340" s="22">
        <v>1464.2</v>
      </c>
      <c r="K1340" s="22">
        <v>0</v>
      </c>
      <c r="L1340" s="22">
        <v>1464.2</v>
      </c>
      <c r="M1340" s="10"/>
      <c r="O1340" s="11"/>
    </row>
    <row r="1341" spans="1:15" x14ac:dyDescent="0.25">
      <c r="A1341" s="6"/>
      <c r="B1341" s="5"/>
      <c r="C1341" s="5"/>
      <c r="D1341" s="5" t="s">
        <v>185</v>
      </c>
      <c r="E1341" s="5" t="s">
        <v>186</v>
      </c>
      <c r="F1341" s="5" t="s">
        <v>551</v>
      </c>
      <c r="G1341" s="14">
        <f t="shared" ref="G1341:L1341" si="338">SUBTOTAL(9,G1339:G1340)</f>
        <v>12201.68</v>
      </c>
      <c r="H1341" s="14">
        <f t="shared" si="338"/>
        <v>0</v>
      </c>
      <c r="I1341" s="14">
        <f t="shared" si="338"/>
        <v>0</v>
      </c>
      <c r="J1341" s="14">
        <f t="shared" si="338"/>
        <v>1464.2</v>
      </c>
      <c r="K1341" s="14">
        <f t="shared" si="338"/>
        <v>-244.03</v>
      </c>
      <c r="L1341" s="14">
        <f t="shared" si="338"/>
        <v>13421.85</v>
      </c>
      <c r="M1341" s="10">
        <v>2447</v>
      </c>
      <c r="N1341" s="69"/>
      <c r="O1341" s="11">
        <f>O1337+1</f>
        <v>329</v>
      </c>
    </row>
    <row r="1342" spans="1:15" s="4" customFormat="1" x14ac:dyDescent="0.25">
      <c r="A1342" s="10"/>
      <c r="B1342"/>
      <c r="C1342"/>
      <c r="D1342"/>
      <c r="E1342"/>
      <c r="F1342"/>
      <c r="G1342" s="21"/>
      <c r="H1342" s="21"/>
      <c r="I1342" s="21"/>
      <c r="J1342" s="21"/>
      <c r="K1342" s="21"/>
      <c r="L1342" s="21"/>
      <c r="M1342" s="10"/>
      <c r="N1342" s="67"/>
      <c r="O1342" s="11"/>
    </row>
    <row r="1343" spans="1:15" x14ac:dyDescent="0.25">
      <c r="A1343" s="6">
        <v>659</v>
      </c>
      <c r="B1343" s="5" t="s">
        <v>550</v>
      </c>
      <c r="C1343" s="5" t="s">
        <v>17</v>
      </c>
      <c r="D1343" s="5" t="s">
        <v>185</v>
      </c>
      <c r="E1343" s="5" t="s">
        <v>186</v>
      </c>
      <c r="F1343" s="5" t="s">
        <v>552</v>
      </c>
      <c r="G1343" s="22">
        <v>0.88</v>
      </c>
      <c r="H1343" s="22">
        <v>0</v>
      </c>
      <c r="I1343" s="22">
        <v>0</v>
      </c>
      <c r="J1343" s="22">
        <v>0</v>
      </c>
      <c r="K1343" s="22">
        <v>-0.02</v>
      </c>
      <c r="L1343" s="22">
        <v>0.86</v>
      </c>
      <c r="M1343" s="10"/>
      <c r="O1343" s="11"/>
    </row>
    <row r="1344" spans="1:15" x14ac:dyDescent="0.25">
      <c r="A1344" s="6">
        <v>660</v>
      </c>
      <c r="B1344" s="5" t="s">
        <v>550</v>
      </c>
      <c r="C1344" s="5" t="s">
        <v>13</v>
      </c>
      <c r="D1344" s="5" t="s">
        <v>185</v>
      </c>
      <c r="E1344" s="5" t="s">
        <v>186</v>
      </c>
      <c r="F1344" s="5" t="s">
        <v>552</v>
      </c>
      <c r="G1344" s="22">
        <v>0</v>
      </c>
      <c r="H1344" s="22">
        <v>0</v>
      </c>
      <c r="I1344" s="22">
        <v>0</v>
      </c>
      <c r="J1344" s="22">
        <v>0.11</v>
      </c>
      <c r="K1344" s="22">
        <v>0</v>
      </c>
      <c r="L1344" s="22">
        <v>0.11</v>
      </c>
      <c r="M1344" s="10"/>
      <c r="O1344" s="11"/>
    </row>
    <row r="1345" spans="1:15" s="4" customFormat="1" x14ac:dyDescent="0.25">
      <c r="A1345" s="6"/>
      <c r="B1345" s="5"/>
      <c r="C1345" s="5"/>
      <c r="D1345" s="5" t="s">
        <v>185</v>
      </c>
      <c r="E1345" s="5" t="s">
        <v>186</v>
      </c>
      <c r="F1345" s="5" t="s">
        <v>552</v>
      </c>
      <c r="G1345" s="14">
        <f t="shared" ref="G1345:L1345" si="339">SUBTOTAL(9,G1343:G1344)</f>
        <v>0.88</v>
      </c>
      <c r="H1345" s="14">
        <f t="shared" si="339"/>
        <v>0</v>
      </c>
      <c r="I1345" s="14">
        <f t="shared" si="339"/>
        <v>0</v>
      </c>
      <c r="J1345" s="14">
        <f t="shared" si="339"/>
        <v>0.11</v>
      </c>
      <c r="K1345" s="14">
        <f t="shared" si="339"/>
        <v>-0.02</v>
      </c>
      <c r="L1345" s="14">
        <f t="shared" si="339"/>
        <v>0.97</v>
      </c>
      <c r="M1345" s="10">
        <v>2448</v>
      </c>
      <c r="N1345" s="69"/>
      <c r="O1345" s="11">
        <f>O1341+1</f>
        <v>330</v>
      </c>
    </row>
    <row r="1346" spans="1:15" x14ac:dyDescent="0.25">
      <c r="A1346" s="10"/>
      <c r="G1346" s="21"/>
      <c r="H1346" s="21"/>
      <c r="I1346" s="21"/>
      <c r="J1346" s="21"/>
      <c r="K1346" s="21"/>
      <c r="L1346" s="21"/>
      <c r="M1346" s="10"/>
      <c r="O1346" s="11"/>
    </row>
    <row r="1347" spans="1:15" x14ac:dyDescent="0.25">
      <c r="A1347" s="6">
        <v>661</v>
      </c>
      <c r="B1347" s="5" t="s">
        <v>559</v>
      </c>
      <c r="C1347" s="5" t="s">
        <v>17</v>
      </c>
      <c r="D1347" s="5" t="s">
        <v>187</v>
      </c>
      <c r="E1347" s="5" t="s">
        <v>188</v>
      </c>
      <c r="F1347" s="5" t="s">
        <v>560</v>
      </c>
      <c r="G1347" s="22">
        <v>1.64</v>
      </c>
      <c r="H1347" s="22">
        <v>0</v>
      </c>
      <c r="I1347" s="22">
        <v>0</v>
      </c>
      <c r="J1347" s="22">
        <v>0</v>
      </c>
      <c r="K1347" s="22">
        <v>-0.03</v>
      </c>
      <c r="L1347" s="22">
        <v>1.61</v>
      </c>
      <c r="M1347" s="10"/>
      <c r="O1347" s="11"/>
    </row>
    <row r="1348" spans="1:15" s="4" customFormat="1" x14ac:dyDescent="0.25">
      <c r="A1348" s="6">
        <v>662</v>
      </c>
      <c r="B1348" s="5" t="s">
        <v>559</v>
      </c>
      <c r="C1348" s="5" t="s">
        <v>13</v>
      </c>
      <c r="D1348" s="5" t="s">
        <v>187</v>
      </c>
      <c r="E1348" s="5" t="s">
        <v>188</v>
      </c>
      <c r="F1348" s="5" t="s">
        <v>560</v>
      </c>
      <c r="G1348" s="22">
        <v>0</v>
      </c>
      <c r="H1348" s="22">
        <v>0</v>
      </c>
      <c r="I1348" s="22">
        <v>0</v>
      </c>
      <c r="J1348" s="22">
        <v>0.2</v>
      </c>
      <c r="K1348" s="22">
        <v>0</v>
      </c>
      <c r="L1348" s="22">
        <v>0.2</v>
      </c>
      <c r="M1348" s="10"/>
      <c r="N1348" s="67"/>
      <c r="O1348" s="11"/>
    </row>
    <row r="1349" spans="1:15" s="4" customFormat="1" x14ac:dyDescent="0.25">
      <c r="A1349" s="6"/>
      <c r="B1349" s="5"/>
      <c r="C1349" s="5"/>
      <c r="D1349" s="5" t="s">
        <v>187</v>
      </c>
      <c r="E1349" s="5" t="s">
        <v>188</v>
      </c>
      <c r="F1349" s="5" t="s">
        <v>560</v>
      </c>
      <c r="G1349" s="14">
        <f t="shared" ref="G1349:L1349" si="340">SUBTOTAL(9,G1347:G1348)</f>
        <v>1.64</v>
      </c>
      <c r="H1349" s="14">
        <f t="shared" si="340"/>
        <v>0</v>
      </c>
      <c r="I1349" s="14">
        <f t="shared" si="340"/>
        <v>0</v>
      </c>
      <c r="J1349" s="14">
        <f t="shared" si="340"/>
        <v>0.2</v>
      </c>
      <c r="K1349" s="14">
        <f t="shared" si="340"/>
        <v>-0.03</v>
      </c>
      <c r="L1349" s="14">
        <f t="shared" si="340"/>
        <v>1.81</v>
      </c>
      <c r="M1349" s="10">
        <v>2449</v>
      </c>
      <c r="N1349" s="69"/>
      <c r="O1349" s="11">
        <f>O1345+1</f>
        <v>331</v>
      </c>
    </row>
    <row r="1350" spans="1:15" x14ac:dyDescent="0.25">
      <c r="A1350" s="10"/>
      <c r="G1350" s="21"/>
      <c r="H1350" s="21"/>
      <c r="I1350" s="21"/>
      <c r="J1350" s="21"/>
      <c r="K1350" s="21"/>
      <c r="L1350" s="21"/>
      <c r="M1350" s="10"/>
      <c r="O1350" s="11"/>
    </row>
    <row r="1351" spans="1:15" x14ac:dyDescent="0.25">
      <c r="A1351" s="6">
        <v>663</v>
      </c>
      <c r="B1351" s="5" t="s">
        <v>18</v>
      </c>
      <c r="C1351" s="5" t="s">
        <v>17</v>
      </c>
      <c r="D1351" s="5" t="s">
        <v>187</v>
      </c>
      <c r="E1351" s="5" t="s">
        <v>188</v>
      </c>
      <c r="F1351" s="5" t="s">
        <v>19</v>
      </c>
      <c r="G1351" s="22">
        <v>0.2</v>
      </c>
      <c r="H1351" s="22">
        <v>0</v>
      </c>
      <c r="I1351" s="22">
        <v>0</v>
      </c>
      <c r="J1351" s="22">
        <v>0</v>
      </c>
      <c r="K1351" s="22">
        <v>-0.17</v>
      </c>
      <c r="L1351" s="22">
        <v>0.03</v>
      </c>
      <c r="M1351" s="10"/>
      <c r="O1351" s="11"/>
    </row>
    <row r="1352" spans="1:15" s="4" customFormat="1" x14ac:dyDescent="0.25">
      <c r="A1352" s="6">
        <v>664</v>
      </c>
      <c r="B1352" s="5" t="s">
        <v>18</v>
      </c>
      <c r="C1352" s="5" t="s">
        <v>17</v>
      </c>
      <c r="D1352" s="5" t="s">
        <v>187</v>
      </c>
      <c r="E1352" s="5" t="s">
        <v>188</v>
      </c>
      <c r="F1352" s="5" t="s">
        <v>19</v>
      </c>
      <c r="G1352" s="22">
        <v>0.2</v>
      </c>
      <c r="H1352" s="22">
        <v>0</v>
      </c>
      <c r="I1352" s="22">
        <v>0</v>
      </c>
      <c r="J1352" s="22">
        <v>0</v>
      </c>
      <c r="K1352" s="22">
        <v>-0.18</v>
      </c>
      <c r="L1352" s="22">
        <v>0.02</v>
      </c>
      <c r="M1352" s="10"/>
      <c r="N1352" s="67"/>
      <c r="O1352" s="11"/>
    </row>
    <row r="1353" spans="1:15" x14ac:dyDescent="0.25">
      <c r="A1353" s="6"/>
      <c r="B1353" s="5"/>
      <c r="C1353" s="5"/>
      <c r="D1353" s="5" t="s">
        <v>187</v>
      </c>
      <c r="E1353" s="5" t="s">
        <v>188</v>
      </c>
      <c r="F1353" s="5" t="s">
        <v>19</v>
      </c>
      <c r="G1353" s="14">
        <f t="shared" ref="G1353:L1353" si="341">SUBTOTAL(9,G1351:G1352)</f>
        <v>0.4</v>
      </c>
      <c r="H1353" s="14">
        <f t="shared" si="341"/>
        <v>0</v>
      </c>
      <c r="I1353" s="14">
        <f t="shared" si="341"/>
        <v>0</v>
      </c>
      <c r="J1353" s="14">
        <f t="shared" si="341"/>
        <v>0</v>
      </c>
      <c r="K1353" s="14">
        <f t="shared" si="341"/>
        <v>-0.35</v>
      </c>
      <c r="L1353" s="14">
        <f t="shared" si="341"/>
        <v>0.05</v>
      </c>
      <c r="M1353" s="10">
        <v>2450</v>
      </c>
      <c r="N1353" s="69"/>
      <c r="O1353" s="11">
        <f>O1349+1</f>
        <v>332</v>
      </c>
    </row>
    <row r="1354" spans="1:15" x14ac:dyDescent="0.25">
      <c r="A1354" s="10"/>
      <c r="F1354" s="40"/>
      <c r="G1354" s="41"/>
      <c r="H1354" s="41"/>
      <c r="I1354" s="41"/>
      <c r="J1354" s="41"/>
      <c r="K1354" s="41"/>
      <c r="L1354" s="41"/>
      <c r="M1354" s="10"/>
      <c r="N1354" s="69"/>
      <c r="O1354" s="11"/>
    </row>
    <row r="1355" spans="1:15" s="4" customFormat="1" x14ac:dyDescent="0.25">
      <c r="A1355" s="6">
        <v>665</v>
      </c>
      <c r="B1355" s="5" t="s">
        <v>550</v>
      </c>
      <c r="C1355" s="5" t="s">
        <v>17</v>
      </c>
      <c r="D1355" s="5" t="s">
        <v>187</v>
      </c>
      <c r="E1355" s="5" t="s">
        <v>188</v>
      </c>
      <c r="F1355" s="5" t="s">
        <v>551</v>
      </c>
      <c r="G1355" s="22">
        <v>225.22</v>
      </c>
      <c r="H1355" s="22">
        <v>0</v>
      </c>
      <c r="I1355" s="22">
        <v>0</v>
      </c>
      <c r="J1355" s="22">
        <v>0</v>
      </c>
      <c r="K1355" s="22">
        <v>-4.5</v>
      </c>
      <c r="L1355" s="22">
        <v>220.72</v>
      </c>
      <c r="M1355" s="10"/>
      <c r="N1355" s="67"/>
      <c r="O1355" s="11"/>
    </row>
    <row r="1356" spans="1:15" x14ac:dyDescent="0.25">
      <c r="A1356" s="6">
        <v>666</v>
      </c>
      <c r="B1356" s="5" t="s">
        <v>550</v>
      </c>
      <c r="C1356" s="5" t="s">
        <v>17</v>
      </c>
      <c r="D1356" s="5" t="s">
        <v>187</v>
      </c>
      <c r="E1356" s="5" t="s">
        <v>188</v>
      </c>
      <c r="F1356" s="5" t="s">
        <v>551</v>
      </c>
      <c r="G1356" s="22">
        <v>1170</v>
      </c>
      <c r="H1356" s="22">
        <v>0</v>
      </c>
      <c r="I1356" s="22">
        <v>0</v>
      </c>
      <c r="J1356" s="22">
        <v>0</v>
      </c>
      <c r="K1356" s="22">
        <v>-23.4</v>
      </c>
      <c r="L1356" s="22">
        <v>1146.5999999999999</v>
      </c>
      <c r="M1356" s="10"/>
      <c r="O1356" s="11"/>
    </row>
    <row r="1357" spans="1:15" x14ac:dyDescent="0.25">
      <c r="A1357" s="6">
        <v>667</v>
      </c>
      <c r="B1357" s="5" t="s">
        <v>550</v>
      </c>
      <c r="C1357" s="5" t="s">
        <v>13</v>
      </c>
      <c r="D1357" s="5" t="s">
        <v>187</v>
      </c>
      <c r="E1357" s="5" t="s">
        <v>188</v>
      </c>
      <c r="F1357" s="5" t="s">
        <v>551</v>
      </c>
      <c r="G1357" s="22">
        <v>0</v>
      </c>
      <c r="H1357" s="22">
        <v>0</v>
      </c>
      <c r="I1357" s="22">
        <v>0</v>
      </c>
      <c r="J1357" s="22">
        <v>27.03</v>
      </c>
      <c r="K1357" s="22">
        <v>0</v>
      </c>
      <c r="L1357" s="22">
        <v>27.03</v>
      </c>
      <c r="M1357" s="10"/>
      <c r="O1357" s="11"/>
    </row>
    <row r="1358" spans="1:15" s="4" customFormat="1" x14ac:dyDescent="0.25">
      <c r="A1358" s="6">
        <v>668</v>
      </c>
      <c r="B1358" s="5" t="s">
        <v>550</v>
      </c>
      <c r="C1358" s="5" t="s">
        <v>13</v>
      </c>
      <c r="D1358" s="5" t="s">
        <v>187</v>
      </c>
      <c r="E1358" s="5" t="s">
        <v>188</v>
      </c>
      <c r="F1358" s="5" t="s">
        <v>551</v>
      </c>
      <c r="G1358" s="22">
        <v>0</v>
      </c>
      <c r="H1358" s="22">
        <v>0</v>
      </c>
      <c r="I1358" s="22">
        <v>0</v>
      </c>
      <c r="J1358" s="22">
        <v>140.4</v>
      </c>
      <c r="K1358" s="22">
        <v>0</v>
      </c>
      <c r="L1358" s="22">
        <v>140.4</v>
      </c>
      <c r="M1358" s="10"/>
      <c r="N1358" s="67"/>
      <c r="O1358" s="11"/>
    </row>
    <row r="1359" spans="1:15" x14ac:dyDescent="0.25">
      <c r="A1359" s="6"/>
      <c r="B1359" s="5"/>
      <c r="C1359" s="5"/>
      <c r="D1359" s="5" t="s">
        <v>187</v>
      </c>
      <c r="E1359" s="5" t="s">
        <v>188</v>
      </c>
      <c r="F1359" s="5" t="s">
        <v>551</v>
      </c>
      <c r="G1359" s="14">
        <f t="shared" ref="G1359:L1359" si="342">SUBTOTAL(9,G1355:G1358)</f>
        <v>1395.22</v>
      </c>
      <c r="H1359" s="14">
        <f t="shared" si="342"/>
        <v>0</v>
      </c>
      <c r="I1359" s="14">
        <f t="shared" si="342"/>
        <v>0</v>
      </c>
      <c r="J1359" s="14">
        <f t="shared" si="342"/>
        <v>167.43</v>
      </c>
      <c r="K1359" s="14">
        <f t="shared" si="342"/>
        <v>-27.9</v>
      </c>
      <c r="L1359" s="14">
        <f t="shared" si="342"/>
        <v>1534.75</v>
      </c>
      <c r="M1359" s="10">
        <v>2451</v>
      </c>
      <c r="N1359" s="69"/>
      <c r="O1359" s="11">
        <f>O1353+1</f>
        <v>333</v>
      </c>
    </row>
    <row r="1360" spans="1:15" x14ac:dyDescent="0.25">
      <c r="A1360" s="10"/>
      <c r="G1360" s="21"/>
      <c r="H1360" s="21"/>
      <c r="I1360" s="21"/>
      <c r="J1360" s="21"/>
      <c r="K1360" s="21"/>
      <c r="L1360" s="21"/>
      <c r="M1360" s="10"/>
      <c r="O1360" s="11"/>
    </row>
    <row r="1361" spans="1:15" s="4" customFormat="1" x14ac:dyDescent="0.25">
      <c r="A1361" s="6">
        <v>669</v>
      </c>
      <c r="B1361" s="5" t="s">
        <v>550</v>
      </c>
      <c r="C1361" s="5" t="s">
        <v>17</v>
      </c>
      <c r="D1361" s="5" t="s">
        <v>187</v>
      </c>
      <c r="E1361" s="5" t="s">
        <v>188</v>
      </c>
      <c r="F1361" s="5" t="s">
        <v>552</v>
      </c>
      <c r="G1361" s="22">
        <v>0.02</v>
      </c>
      <c r="H1361" s="22">
        <v>0</v>
      </c>
      <c r="I1361" s="22">
        <v>0</v>
      </c>
      <c r="J1361" s="22">
        <v>0</v>
      </c>
      <c r="K1361" s="22">
        <v>0</v>
      </c>
      <c r="L1361" s="22">
        <v>0.02</v>
      </c>
      <c r="M1361" s="10"/>
      <c r="N1361" s="67"/>
      <c r="O1361" s="11"/>
    </row>
    <row r="1362" spans="1:15" s="4" customFormat="1" x14ac:dyDescent="0.25">
      <c r="A1362" s="6">
        <v>670</v>
      </c>
      <c r="B1362" s="5" t="s">
        <v>550</v>
      </c>
      <c r="C1362" s="5" t="s">
        <v>17</v>
      </c>
      <c r="D1362" s="5" t="s">
        <v>187</v>
      </c>
      <c r="E1362" s="5" t="s">
        <v>188</v>
      </c>
      <c r="F1362" s="5" t="s">
        <v>552</v>
      </c>
      <c r="G1362" s="22">
        <v>0.08</v>
      </c>
      <c r="H1362" s="22">
        <v>0</v>
      </c>
      <c r="I1362" s="22">
        <v>0</v>
      </c>
      <c r="J1362" s="22">
        <v>0</v>
      </c>
      <c r="K1362" s="22">
        <v>0</v>
      </c>
      <c r="L1362" s="22">
        <v>0.08</v>
      </c>
      <c r="M1362" s="10"/>
      <c r="N1362" s="67"/>
      <c r="O1362" s="11"/>
    </row>
    <row r="1363" spans="1:15" x14ac:dyDescent="0.25">
      <c r="A1363" s="6">
        <v>671</v>
      </c>
      <c r="B1363" s="5" t="s">
        <v>550</v>
      </c>
      <c r="C1363" s="5" t="s">
        <v>13</v>
      </c>
      <c r="D1363" s="5" t="s">
        <v>187</v>
      </c>
      <c r="E1363" s="5" t="s">
        <v>188</v>
      </c>
      <c r="F1363" s="5" t="s">
        <v>552</v>
      </c>
      <c r="G1363" s="22">
        <v>0</v>
      </c>
      <c r="H1363" s="22">
        <v>0</v>
      </c>
      <c r="I1363" s="22">
        <v>0</v>
      </c>
      <c r="J1363" s="22">
        <v>0</v>
      </c>
      <c r="K1363" s="22">
        <v>0</v>
      </c>
      <c r="L1363" s="22">
        <v>0</v>
      </c>
      <c r="M1363" s="10"/>
      <c r="O1363" s="11"/>
    </row>
    <row r="1364" spans="1:15" x14ac:dyDescent="0.25">
      <c r="A1364" s="6">
        <v>672</v>
      </c>
      <c r="B1364" s="5" t="s">
        <v>550</v>
      </c>
      <c r="C1364" s="5" t="s">
        <v>13</v>
      </c>
      <c r="D1364" s="5" t="s">
        <v>187</v>
      </c>
      <c r="E1364" s="5" t="s">
        <v>188</v>
      </c>
      <c r="F1364" s="5" t="s">
        <v>552</v>
      </c>
      <c r="G1364" s="22">
        <v>0</v>
      </c>
      <c r="H1364" s="22">
        <v>0</v>
      </c>
      <c r="I1364" s="22">
        <v>0</v>
      </c>
      <c r="J1364" s="22">
        <v>0.01</v>
      </c>
      <c r="K1364" s="22">
        <v>0</v>
      </c>
      <c r="L1364" s="22">
        <v>0.01</v>
      </c>
      <c r="M1364" s="10"/>
      <c r="O1364" s="11"/>
    </row>
    <row r="1365" spans="1:15" s="4" customFormat="1" x14ac:dyDescent="0.25">
      <c r="A1365" s="6"/>
      <c r="B1365" s="5"/>
      <c r="C1365" s="5"/>
      <c r="D1365" s="5" t="s">
        <v>187</v>
      </c>
      <c r="E1365" s="5" t="s">
        <v>188</v>
      </c>
      <c r="F1365" s="5" t="s">
        <v>552</v>
      </c>
      <c r="G1365" s="14">
        <f t="shared" ref="G1365:L1365" si="343">SUBTOTAL(9,G1361:G1364)</f>
        <v>0.1</v>
      </c>
      <c r="H1365" s="14">
        <f t="shared" si="343"/>
        <v>0</v>
      </c>
      <c r="I1365" s="14">
        <f t="shared" si="343"/>
        <v>0</v>
      </c>
      <c r="J1365" s="14">
        <f t="shared" si="343"/>
        <v>0.01</v>
      </c>
      <c r="K1365" s="14">
        <f t="shared" si="343"/>
        <v>0</v>
      </c>
      <c r="L1365" s="14">
        <f t="shared" si="343"/>
        <v>0.11</v>
      </c>
      <c r="M1365" s="10">
        <v>2452</v>
      </c>
      <c r="N1365" s="69"/>
      <c r="O1365" s="11">
        <f>O1359+1</f>
        <v>334</v>
      </c>
    </row>
    <row r="1366" spans="1:15" x14ac:dyDescent="0.25">
      <c r="A1366" s="10"/>
      <c r="G1366" s="21"/>
      <c r="H1366" s="21"/>
      <c r="I1366" s="21"/>
      <c r="J1366" s="21"/>
      <c r="K1366" s="21"/>
      <c r="L1366" s="21"/>
      <c r="M1366" s="10"/>
      <c r="O1366" s="11"/>
    </row>
    <row r="1367" spans="1:15" x14ac:dyDescent="0.25">
      <c r="A1367" s="6">
        <v>673</v>
      </c>
      <c r="B1367" s="5" t="s">
        <v>18</v>
      </c>
      <c r="C1367" s="5" t="s">
        <v>17</v>
      </c>
      <c r="D1367" s="5" t="s">
        <v>189</v>
      </c>
      <c r="E1367" s="5" t="s">
        <v>190</v>
      </c>
      <c r="F1367" s="5" t="s">
        <v>19</v>
      </c>
      <c r="G1367" s="22">
        <v>0</v>
      </c>
      <c r="H1367" s="22">
        <v>0</v>
      </c>
      <c r="I1367" s="22">
        <v>0.14000000000000001</v>
      </c>
      <c r="J1367" s="22">
        <v>0</v>
      </c>
      <c r="K1367" s="22">
        <v>-0.02</v>
      </c>
      <c r="L1367" s="22">
        <v>0.12</v>
      </c>
      <c r="M1367" s="10"/>
      <c r="O1367" s="11"/>
    </row>
    <row r="1368" spans="1:15" s="4" customFormat="1" x14ac:dyDescent="0.25">
      <c r="A1368" s="6"/>
      <c r="B1368" s="5"/>
      <c r="C1368" s="5"/>
      <c r="D1368" s="5" t="s">
        <v>189</v>
      </c>
      <c r="E1368" s="5" t="s">
        <v>190</v>
      </c>
      <c r="F1368" s="5" t="s">
        <v>19</v>
      </c>
      <c r="G1368" s="14">
        <f t="shared" ref="G1368:L1368" si="344">SUBTOTAL(9,G1367:G1367)</f>
        <v>0</v>
      </c>
      <c r="H1368" s="14">
        <f t="shared" si="344"/>
        <v>0</v>
      </c>
      <c r="I1368" s="14">
        <f t="shared" si="344"/>
        <v>0.14000000000000001</v>
      </c>
      <c r="J1368" s="14">
        <f t="shared" si="344"/>
        <v>0</v>
      </c>
      <c r="K1368" s="14">
        <f t="shared" si="344"/>
        <v>-0.02</v>
      </c>
      <c r="L1368" s="14">
        <f t="shared" si="344"/>
        <v>0.12</v>
      </c>
      <c r="M1368" s="10">
        <v>2453</v>
      </c>
      <c r="N1368" s="69"/>
      <c r="O1368" s="11">
        <f>O1365+1</f>
        <v>335</v>
      </c>
    </row>
    <row r="1369" spans="1:15" s="4" customFormat="1" x14ac:dyDescent="0.25">
      <c r="A1369" s="10"/>
      <c r="B1369"/>
      <c r="C1369"/>
      <c r="D1369"/>
      <c r="E1369"/>
      <c r="F1369"/>
      <c r="G1369" s="21"/>
      <c r="H1369" s="21"/>
      <c r="I1369" s="21"/>
      <c r="J1369" s="21"/>
      <c r="K1369" s="21"/>
      <c r="L1369" s="21"/>
      <c r="M1369" s="10"/>
      <c r="N1369" s="67"/>
      <c r="O1369" s="11"/>
    </row>
    <row r="1370" spans="1:15" x14ac:dyDescent="0.25">
      <c r="A1370" s="6">
        <v>674</v>
      </c>
      <c r="B1370" s="5" t="s">
        <v>12</v>
      </c>
      <c r="C1370" s="5" t="s">
        <v>17</v>
      </c>
      <c r="D1370" s="5" t="s">
        <v>596</v>
      </c>
      <c r="E1370" s="5" t="s">
        <v>190</v>
      </c>
      <c r="F1370" s="5" t="s">
        <v>16</v>
      </c>
      <c r="G1370" s="22">
        <v>0</v>
      </c>
      <c r="H1370" s="22">
        <v>0</v>
      </c>
      <c r="I1370" s="22">
        <v>2.27</v>
      </c>
      <c r="J1370" s="22">
        <v>0</v>
      </c>
      <c r="K1370" s="22">
        <v>-0.05</v>
      </c>
      <c r="L1370" s="22">
        <v>2.2200000000000002</v>
      </c>
      <c r="M1370" s="10"/>
      <c r="O1370" s="11"/>
    </row>
    <row r="1371" spans="1:15" x14ac:dyDescent="0.25">
      <c r="A1371" s="6">
        <v>675</v>
      </c>
      <c r="B1371" s="5" t="s">
        <v>12</v>
      </c>
      <c r="C1371" s="5" t="s">
        <v>49</v>
      </c>
      <c r="D1371" s="5" t="s">
        <v>596</v>
      </c>
      <c r="E1371" s="5" t="s">
        <v>190</v>
      </c>
      <c r="F1371" s="5" t="s">
        <v>16</v>
      </c>
      <c r="G1371" s="22">
        <v>0</v>
      </c>
      <c r="H1371" s="22">
        <v>0</v>
      </c>
      <c r="I1371" s="22">
        <v>0.01</v>
      </c>
      <c r="J1371" s="22">
        <v>0</v>
      </c>
      <c r="K1371" s="22">
        <v>0</v>
      </c>
      <c r="L1371" s="22">
        <v>0.01</v>
      </c>
      <c r="M1371" s="10"/>
      <c r="N1371" s="70">
        <v>0.01</v>
      </c>
      <c r="O1371" s="11"/>
    </row>
    <row r="1372" spans="1:15" s="4" customFormat="1" x14ac:dyDescent="0.25">
      <c r="A1372" s="6"/>
      <c r="B1372" s="5"/>
      <c r="C1372" s="5"/>
      <c r="D1372" s="5" t="s">
        <v>189</v>
      </c>
      <c r="E1372" s="5" t="s">
        <v>190</v>
      </c>
      <c r="F1372" s="5" t="s">
        <v>16</v>
      </c>
      <c r="G1372" s="14">
        <f t="shared" ref="G1372:L1372" si="345">SUBTOTAL(9,G1370:G1371)</f>
        <v>0</v>
      </c>
      <c r="H1372" s="14">
        <f t="shared" si="345"/>
        <v>0</v>
      </c>
      <c r="I1372" s="14">
        <f t="shared" si="345"/>
        <v>2.2799999999999998</v>
      </c>
      <c r="J1372" s="14">
        <f t="shared" si="345"/>
        <v>0</v>
      </c>
      <c r="K1372" s="14">
        <f t="shared" si="345"/>
        <v>-0.05</v>
      </c>
      <c r="L1372" s="14">
        <f t="shared" si="345"/>
        <v>2.23</v>
      </c>
      <c r="M1372" s="10">
        <v>2454</v>
      </c>
      <c r="N1372" s="71">
        <f>SUBTOTAL(9,N1370:N1371)</f>
        <v>0.01</v>
      </c>
      <c r="O1372" s="11">
        <f>O1368+1</f>
        <v>336</v>
      </c>
    </row>
    <row r="1373" spans="1:15" s="4" customFormat="1" x14ac:dyDescent="0.25">
      <c r="A1373" s="10"/>
      <c r="B1373"/>
      <c r="C1373"/>
      <c r="D1373"/>
      <c r="E1373"/>
      <c r="F1373"/>
      <c r="G1373" s="21"/>
      <c r="H1373" s="21"/>
      <c r="I1373" s="21"/>
      <c r="J1373" s="21"/>
      <c r="K1373" s="21"/>
      <c r="L1373" s="21"/>
      <c r="M1373" s="10"/>
      <c r="N1373" s="67"/>
      <c r="O1373" s="11"/>
    </row>
    <row r="1374" spans="1:15" x14ac:dyDescent="0.25">
      <c r="A1374" s="6">
        <v>676</v>
      </c>
      <c r="B1374" s="5" t="s">
        <v>555</v>
      </c>
      <c r="C1374" s="5" t="s">
        <v>17</v>
      </c>
      <c r="D1374" s="5" t="s">
        <v>596</v>
      </c>
      <c r="E1374" s="5" t="s">
        <v>190</v>
      </c>
      <c r="F1374" s="5" t="s">
        <v>556</v>
      </c>
      <c r="G1374" s="22">
        <v>0</v>
      </c>
      <c r="H1374" s="22">
        <v>0</v>
      </c>
      <c r="I1374" s="22">
        <v>2.84</v>
      </c>
      <c r="J1374" s="22">
        <v>0</v>
      </c>
      <c r="K1374" s="22">
        <v>-0.06</v>
      </c>
      <c r="L1374" s="22">
        <v>2.78</v>
      </c>
      <c r="M1374" s="10"/>
      <c r="O1374" s="11"/>
    </row>
    <row r="1375" spans="1:15" x14ac:dyDescent="0.25">
      <c r="A1375" s="6"/>
      <c r="B1375" s="5"/>
      <c r="C1375" s="5"/>
      <c r="D1375" s="5" t="s">
        <v>661</v>
      </c>
      <c r="E1375" s="5" t="s">
        <v>190</v>
      </c>
      <c r="F1375" s="5" t="s">
        <v>556</v>
      </c>
      <c r="G1375" s="14">
        <f t="shared" ref="G1375:L1375" si="346">SUBTOTAL(9,G1374:G1374)</f>
        <v>0</v>
      </c>
      <c r="H1375" s="14">
        <f t="shared" si="346"/>
        <v>0</v>
      </c>
      <c r="I1375" s="14">
        <f t="shared" si="346"/>
        <v>2.84</v>
      </c>
      <c r="J1375" s="14">
        <f t="shared" si="346"/>
        <v>0</v>
      </c>
      <c r="K1375" s="14">
        <f t="shared" si="346"/>
        <v>-0.06</v>
      </c>
      <c r="L1375" s="14">
        <f t="shared" si="346"/>
        <v>2.78</v>
      </c>
      <c r="M1375" s="10">
        <v>2455</v>
      </c>
      <c r="N1375" s="69"/>
      <c r="O1375" s="11">
        <f>O1372+1</f>
        <v>337</v>
      </c>
    </row>
    <row r="1376" spans="1:15" s="4" customFormat="1" x14ac:dyDescent="0.25">
      <c r="A1376" s="10"/>
      <c r="B1376"/>
      <c r="C1376"/>
      <c r="D1376"/>
      <c r="E1376"/>
      <c r="F1376"/>
      <c r="G1376" s="21"/>
      <c r="H1376" s="21"/>
      <c r="I1376" s="21"/>
      <c r="J1376" s="21"/>
      <c r="K1376" s="21"/>
      <c r="L1376" s="21"/>
      <c r="M1376" s="10"/>
      <c r="N1376" s="67"/>
      <c r="O1376" s="11"/>
    </row>
    <row r="1377" spans="1:15" s="4" customFormat="1" x14ac:dyDescent="0.25">
      <c r="A1377" s="6">
        <v>677</v>
      </c>
      <c r="B1377" s="5" t="s">
        <v>557</v>
      </c>
      <c r="C1377" s="5" t="s">
        <v>17</v>
      </c>
      <c r="D1377" s="5" t="s">
        <v>596</v>
      </c>
      <c r="E1377" s="5" t="s">
        <v>190</v>
      </c>
      <c r="F1377" s="5" t="s">
        <v>558</v>
      </c>
      <c r="G1377" s="22">
        <v>0</v>
      </c>
      <c r="H1377" s="22">
        <v>0</v>
      </c>
      <c r="I1377" s="22">
        <v>2.2400000000000002</v>
      </c>
      <c r="J1377" s="22">
        <v>0</v>
      </c>
      <c r="K1377" s="22">
        <v>-0.04</v>
      </c>
      <c r="L1377" s="22">
        <v>2.2000000000000002</v>
      </c>
      <c r="M1377" s="10"/>
      <c r="N1377" s="67"/>
      <c r="O1377" s="11"/>
    </row>
    <row r="1378" spans="1:15" x14ac:dyDescent="0.25">
      <c r="A1378" s="6"/>
      <c r="B1378" s="5"/>
      <c r="C1378" s="5"/>
      <c r="D1378" s="5" t="s">
        <v>189</v>
      </c>
      <c r="E1378" s="5" t="s">
        <v>190</v>
      </c>
      <c r="F1378" s="5" t="s">
        <v>558</v>
      </c>
      <c r="G1378" s="14">
        <f t="shared" ref="G1378:L1378" si="347">SUBTOTAL(9,G1377:G1377)</f>
        <v>0</v>
      </c>
      <c r="H1378" s="14">
        <f t="shared" si="347"/>
        <v>0</v>
      </c>
      <c r="I1378" s="14">
        <f t="shared" si="347"/>
        <v>2.2400000000000002</v>
      </c>
      <c r="J1378" s="14">
        <f t="shared" si="347"/>
        <v>0</v>
      </c>
      <c r="K1378" s="14">
        <f t="shared" si="347"/>
        <v>-0.04</v>
      </c>
      <c r="L1378" s="14">
        <f t="shared" si="347"/>
        <v>2.2000000000000002</v>
      </c>
      <c r="M1378" s="10">
        <v>2456</v>
      </c>
      <c r="N1378" s="69"/>
      <c r="O1378" s="11">
        <f>O1375+1</f>
        <v>338</v>
      </c>
    </row>
    <row r="1379" spans="1:15" x14ac:dyDescent="0.25">
      <c r="A1379" s="10"/>
      <c r="G1379" s="21"/>
      <c r="H1379" s="21"/>
      <c r="I1379" s="21"/>
      <c r="J1379" s="21"/>
      <c r="K1379" s="21"/>
      <c r="L1379" s="21"/>
      <c r="M1379" s="10"/>
      <c r="O1379" s="11"/>
    </row>
    <row r="1380" spans="1:15" s="4" customFormat="1" x14ac:dyDescent="0.25">
      <c r="A1380" s="6">
        <v>678</v>
      </c>
      <c r="B1380" s="5" t="s">
        <v>22</v>
      </c>
      <c r="C1380" s="5" t="s">
        <v>17</v>
      </c>
      <c r="D1380" s="5" t="s">
        <v>596</v>
      </c>
      <c r="E1380" s="5" t="s">
        <v>190</v>
      </c>
      <c r="F1380" s="5" t="s">
        <v>23</v>
      </c>
      <c r="G1380" s="22">
        <v>0</v>
      </c>
      <c r="H1380" s="22">
        <v>0</v>
      </c>
      <c r="I1380" s="22">
        <v>0.03</v>
      </c>
      <c r="J1380" s="22">
        <v>0</v>
      </c>
      <c r="K1380" s="22">
        <v>0</v>
      </c>
      <c r="L1380" s="22">
        <v>0.03</v>
      </c>
      <c r="M1380" s="10"/>
      <c r="N1380" s="67"/>
      <c r="O1380" s="11"/>
    </row>
    <row r="1381" spans="1:15" x14ac:dyDescent="0.25">
      <c r="A1381" s="6"/>
      <c r="B1381" s="5"/>
      <c r="C1381" s="5"/>
      <c r="D1381" s="5" t="s">
        <v>189</v>
      </c>
      <c r="E1381" s="5" t="s">
        <v>190</v>
      </c>
      <c r="F1381" s="5" t="s">
        <v>23</v>
      </c>
      <c r="G1381" s="14">
        <f t="shared" ref="G1381:L1381" si="348">SUBTOTAL(9,G1380:G1380)</f>
        <v>0</v>
      </c>
      <c r="H1381" s="14">
        <f t="shared" si="348"/>
        <v>0</v>
      </c>
      <c r="I1381" s="14">
        <f t="shared" si="348"/>
        <v>0.03</v>
      </c>
      <c r="J1381" s="14">
        <f t="shared" si="348"/>
        <v>0</v>
      </c>
      <c r="K1381" s="14">
        <f t="shared" si="348"/>
        <v>0</v>
      </c>
      <c r="L1381" s="14">
        <f t="shared" si="348"/>
        <v>0.03</v>
      </c>
      <c r="M1381" s="10">
        <v>2457</v>
      </c>
      <c r="N1381" s="69"/>
      <c r="O1381" s="11">
        <f>O1378+1</f>
        <v>339</v>
      </c>
    </row>
    <row r="1382" spans="1:15" x14ac:dyDescent="0.25">
      <c r="A1382" s="6"/>
      <c r="B1382" s="5"/>
      <c r="C1382" s="5"/>
      <c r="D1382" s="5"/>
      <c r="E1382" s="5"/>
      <c r="F1382" s="5"/>
      <c r="G1382" s="22"/>
      <c r="H1382" s="22"/>
      <c r="I1382" s="22"/>
      <c r="J1382" s="22"/>
      <c r="K1382" s="22"/>
      <c r="L1382" s="22"/>
      <c r="M1382" s="10"/>
      <c r="O1382" s="11"/>
    </row>
    <row r="1383" spans="1:15" s="4" customFormat="1" x14ac:dyDescent="0.25">
      <c r="A1383" s="6">
        <v>679</v>
      </c>
      <c r="B1383" s="5" t="s">
        <v>22</v>
      </c>
      <c r="C1383" s="5" t="s">
        <v>17</v>
      </c>
      <c r="D1383" s="5" t="s">
        <v>596</v>
      </c>
      <c r="E1383" s="5" t="s">
        <v>190</v>
      </c>
      <c r="F1383" s="5" t="s">
        <v>24</v>
      </c>
      <c r="G1383" s="22">
        <v>0</v>
      </c>
      <c r="H1383" s="22">
        <v>0</v>
      </c>
      <c r="I1383" s="22">
        <v>0</v>
      </c>
      <c r="J1383" s="22">
        <v>0</v>
      </c>
      <c r="K1383" s="22">
        <v>0</v>
      </c>
      <c r="L1383" s="22">
        <v>0</v>
      </c>
      <c r="M1383" s="10"/>
      <c r="N1383" s="67"/>
      <c r="O1383" s="11"/>
    </row>
    <row r="1384" spans="1:15" s="4" customFormat="1" x14ac:dyDescent="0.25">
      <c r="A1384" s="28"/>
      <c r="B1384" s="29"/>
      <c r="C1384" s="29"/>
      <c r="D1384" s="29"/>
      <c r="E1384" s="29"/>
      <c r="F1384" s="29" t="s">
        <v>660</v>
      </c>
      <c r="G1384" s="31">
        <f t="shared" ref="G1384:L1384" si="349">SUBTOTAL(9,G1383:G1383)</f>
        <v>0</v>
      </c>
      <c r="H1384" s="31">
        <f t="shared" si="349"/>
        <v>0</v>
      </c>
      <c r="I1384" s="31">
        <f t="shared" si="349"/>
        <v>0</v>
      </c>
      <c r="J1384" s="31">
        <f t="shared" si="349"/>
        <v>0</v>
      </c>
      <c r="K1384" s="31">
        <f t="shared" si="349"/>
        <v>0</v>
      </c>
      <c r="L1384" s="31">
        <f t="shared" si="349"/>
        <v>0</v>
      </c>
      <c r="M1384" s="15"/>
      <c r="N1384" s="67"/>
      <c r="O1384" s="11"/>
    </row>
    <row r="1385" spans="1:15" x14ac:dyDescent="0.25">
      <c r="A1385" s="10"/>
      <c r="G1385" s="21"/>
      <c r="H1385" s="21"/>
      <c r="I1385" s="21"/>
      <c r="J1385" s="21"/>
      <c r="K1385" s="21"/>
      <c r="L1385" s="21"/>
      <c r="M1385" s="10"/>
      <c r="O1385" s="11"/>
    </row>
    <row r="1386" spans="1:15" x14ac:dyDescent="0.25">
      <c r="A1386" s="6">
        <v>680</v>
      </c>
      <c r="B1386" s="5" t="s">
        <v>550</v>
      </c>
      <c r="C1386" s="5" t="s">
        <v>17</v>
      </c>
      <c r="D1386" s="5" t="s">
        <v>596</v>
      </c>
      <c r="E1386" s="5" t="s">
        <v>190</v>
      </c>
      <c r="F1386" s="5" t="s">
        <v>551</v>
      </c>
      <c r="G1386" s="22">
        <v>0</v>
      </c>
      <c r="H1386" s="22">
        <v>0</v>
      </c>
      <c r="I1386" s="22">
        <v>20.079999999999998</v>
      </c>
      <c r="J1386" s="22">
        <v>0</v>
      </c>
      <c r="K1386" s="22">
        <v>-0.4</v>
      </c>
      <c r="L1386" s="22">
        <v>19.68</v>
      </c>
      <c r="M1386" s="10"/>
      <c r="O1386" s="11"/>
    </row>
    <row r="1387" spans="1:15" s="4" customFormat="1" x14ac:dyDescent="0.25">
      <c r="A1387" s="6">
        <v>681</v>
      </c>
      <c r="B1387" s="5" t="s">
        <v>550</v>
      </c>
      <c r="C1387" s="5" t="s">
        <v>17</v>
      </c>
      <c r="D1387" s="5" t="s">
        <v>596</v>
      </c>
      <c r="E1387" s="5" t="s">
        <v>190</v>
      </c>
      <c r="F1387" s="5" t="s">
        <v>551</v>
      </c>
      <c r="G1387" s="22">
        <v>0</v>
      </c>
      <c r="H1387" s="22">
        <v>0</v>
      </c>
      <c r="I1387" s="22">
        <v>314.86</v>
      </c>
      <c r="J1387" s="22">
        <v>0</v>
      </c>
      <c r="K1387" s="22">
        <v>-6.3</v>
      </c>
      <c r="L1387" s="22">
        <v>308.56</v>
      </c>
      <c r="M1387" s="10"/>
      <c r="N1387" s="67"/>
      <c r="O1387" s="11"/>
    </row>
    <row r="1388" spans="1:15" s="4" customFormat="1" x14ac:dyDescent="0.25">
      <c r="A1388" s="6"/>
      <c r="B1388" s="5"/>
      <c r="C1388" s="5"/>
      <c r="D1388" s="5" t="s">
        <v>189</v>
      </c>
      <c r="E1388" s="5" t="s">
        <v>190</v>
      </c>
      <c r="F1388" s="5" t="s">
        <v>551</v>
      </c>
      <c r="G1388" s="14">
        <f t="shared" ref="G1388:L1388" si="350">SUBTOTAL(9,G1386:G1387)</f>
        <v>0</v>
      </c>
      <c r="H1388" s="14">
        <f t="shared" si="350"/>
        <v>0</v>
      </c>
      <c r="I1388" s="14">
        <f t="shared" si="350"/>
        <v>334.94</v>
      </c>
      <c r="J1388" s="14">
        <f t="shared" si="350"/>
        <v>0</v>
      </c>
      <c r="K1388" s="14">
        <f t="shared" si="350"/>
        <v>-6.7</v>
      </c>
      <c r="L1388" s="14">
        <f t="shared" si="350"/>
        <v>328.24</v>
      </c>
      <c r="M1388" s="10">
        <v>2458</v>
      </c>
      <c r="N1388" s="69"/>
      <c r="O1388" s="11">
        <f>O1381+1</f>
        <v>340</v>
      </c>
    </row>
    <row r="1389" spans="1:15" x14ac:dyDescent="0.25">
      <c r="A1389" s="10"/>
      <c r="G1389" s="21"/>
      <c r="H1389" s="21"/>
      <c r="I1389" s="21"/>
      <c r="J1389" s="21"/>
      <c r="K1389" s="21"/>
      <c r="L1389" s="21"/>
      <c r="M1389" s="10"/>
      <c r="O1389" s="11"/>
    </row>
    <row r="1390" spans="1:15" x14ac:dyDescent="0.25">
      <c r="A1390" s="6">
        <v>682</v>
      </c>
      <c r="B1390" s="5" t="s">
        <v>550</v>
      </c>
      <c r="C1390" s="5" t="s">
        <v>17</v>
      </c>
      <c r="D1390" s="5" t="s">
        <v>596</v>
      </c>
      <c r="E1390" s="5" t="s">
        <v>190</v>
      </c>
      <c r="F1390" s="5" t="s">
        <v>552</v>
      </c>
      <c r="G1390" s="22">
        <v>0</v>
      </c>
      <c r="H1390" s="22">
        <v>0</v>
      </c>
      <c r="I1390" s="22">
        <v>0.02</v>
      </c>
      <c r="J1390" s="22">
        <v>0</v>
      </c>
      <c r="K1390" s="22">
        <v>0</v>
      </c>
      <c r="L1390" s="22">
        <v>0.02</v>
      </c>
      <c r="M1390" s="10"/>
      <c r="O1390" s="11"/>
    </row>
    <row r="1391" spans="1:15" s="4" customFormat="1" x14ac:dyDescent="0.25">
      <c r="A1391" s="6"/>
      <c r="B1391" s="5"/>
      <c r="C1391" s="5"/>
      <c r="D1391" s="5" t="s">
        <v>189</v>
      </c>
      <c r="E1391" s="5" t="s">
        <v>190</v>
      </c>
      <c r="F1391" s="5" t="s">
        <v>552</v>
      </c>
      <c r="G1391" s="14">
        <f t="shared" ref="G1391:L1391" si="351">SUBTOTAL(9,G1390:G1390)</f>
        <v>0</v>
      </c>
      <c r="H1391" s="14">
        <f t="shared" si="351"/>
        <v>0</v>
      </c>
      <c r="I1391" s="14">
        <f t="shared" si="351"/>
        <v>0.02</v>
      </c>
      <c r="J1391" s="14">
        <f t="shared" si="351"/>
        <v>0</v>
      </c>
      <c r="K1391" s="14">
        <f t="shared" si="351"/>
        <v>0</v>
      </c>
      <c r="L1391" s="14">
        <f t="shared" si="351"/>
        <v>0.02</v>
      </c>
      <c r="M1391" s="10">
        <v>2459</v>
      </c>
      <c r="N1391" s="69"/>
      <c r="O1391" s="11">
        <f>O1388+1</f>
        <v>341</v>
      </c>
    </row>
    <row r="1392" spans="1:15" x14ac:dyDescent="0.25">
      <c r="A1392" s="10"/>
      <c r="G1392" s="21"/>
      <c r="H1392" s="21"/>
      <c r="I1392" s="21"/>
      <c r="J1392" s="21"/>
      <c r="K1392" s="21"/>
      <c r="L1392" s="21"/>
      <c r="M1392" s="10"/>
      <c r="O1392" s="11"/>
    </row>
    <row r="1393" spans="1:15" x14ac:dyDescent="0.25">
      <c r="A1393" s="6">
        <v>683</v>
      </c>
      <c r="B1393" s="5" t="s">
        <v>18</v>
      </c>
      <c r="C1393" s="5" t="s">
        <v>17</v>
      </c>
      <c r="D1393" s="5" t="s">
        <v>191</v>
      </c>
      <c r="E1393" s="5" t="s">
        <v>192</v>
      </c>
      <c r="F1393" s="5" t="s">
        <v>19</v>
      </c>
      <c r="G1393" s="22">
        <v>0</v>
      </c>
      <c r="H1393" s="22">
        <v>0</v>
      </c>
      <c r="I1393" s="22">
        <v>0.21</v>
      </c>
      <c r="J1393" s="22">
        <v>0</v>
      </c>
      <c r="K1393" s="22">
        <v>-0.02</v>
      </c>
      <c r="L1393" s="22">
        <v>0.19</v>
      </c>
      <c r="M1393" s="10"/>
      <c r="O1393" s="11"/>
    </row>
    <row r="1394" spans="1:15" s="4" customFormat="1" x14ac:dyDescent="0.25">
      <c r="A1394" s="6">
        <v>684</v>
      </c>
      <c r="B1394" s="5" t="s">
        <v>18</v>
      </c>
      <c r="C1394" s="5" t="s">
        <v>17</v>
      </c>
      <c r="D1394" s="5" t="s">
        <v>191</v>
      </c>
      <c r="E1394" s="5" t="s">
        <v>192</v>
      </c>
      <c r="F1394" s="5" t="s">
        <v>19</v>
      </c>
      <c r="G1394" s="22">
        <v>0</v>
      </c>
      <c r="H1394" s="22">
        <v>0</v>
      </c>
      <c r="I1394" s="22">
        <v>12.43</v>
      </c>
      <c r="J1394" s="22">
        <v>0</v>
      </c>
      <c r="K1394" s="22">
        <v>-0.25</v>
      </c>
      <c r="L1394" s="22">
        <v>12.18</v>
      </c>
      <c r="M1394" s="10"/>
      <c r="N1394" s="67"/>
      <c r="O1394" s="11"/>
    </row>
    <row r="1395" spans="1:15" x14ac:dyDescent="0.25">
      <c r="A1395" s="6"/>
      <c r="B1395" s="5"/>
      <c r="C1395" s="5"/>
      <c r="D1395" s="5" t="s">
        <v>191</v>
      </c>
      <c r="E1395" s="5" t="s">
        <v>192</v>
      </c>
      <c r="F1395" s="5" t="s">
        <v>19</v>
      </c>
      <c r="G1395" s="14">
        <f t="shared" ref="G1395:L1395" si="352">SUBTOTAL(9,G1393:G1394)</f>
        <v>0</v>
      </c>
      <c r="H1395" s="14">
        <f t="shared" si="352"/>
        <v>0</v>
      </c>
      <c r="I1395" s="14">
        <f t="shared" si="352"/>
        <v>12.64</v>
      </c>
      <c r="J1395" s="14">
        <f t="shared" si="352"/>
        <v>0</v>
      </c>
      <c r="K1395" s="14">
        <f t="shared" si="352"/>
        <v>-0.27</v>
      </c>
      <c r="L1395" s="14">
        <f t="shared" si="352"/>
        <v>12.37</v>
      </c>
      <c r="M1395" s="10">
        <v>2460</v>
      </c>
      <c r="N1395" s="69"/>
      <c r="O1395" s="11">
        <f>O1391+1</f>
        <v>342</v>
      </c>
    </row>
    <row r="1396" spans="1:15" x14ac:dyDescent="0.25">
      <c r="A1396" s="10"/>
      <c r="G1396" s="21"/>
      <c r="H1396" s="21"/>
      <c r="I1396" s="21"/>
      <c r="J1396" s="21"/>
      <c r="K1396" s="21"/>
      <c r="L1396" s="21"/>
      <c r="M1396" s="10"/>
      <c r="O1396" s="11"/>
    </row>
    <row r="1397" spans="1:15" s="4" customFormat="1" x14ac:dyDescent="0.25">
      <c r="A1397" s="6">
        <v>685</v>
      </c>
      <c r="B1397" s="5" t="s">
        <v>20</v>
      </c>
      <c r="C1397" s="5" t="s">
        <v>17</v>
      </c>
      <c r="D1397" s="5" t="s">
        <v>191</v>
      </c>
      <c r="E1397" s="5" t="s">
        <v>192</v>
      </c>
      <c r="F1397" s="5" t="s">
        <v>21</v>
      </c>
      <c r="G1397" s="22">
        <v>0</v>
      </c>
      <c r="H1397" s="22">
        <v>0</v>
      </c>
      <c r="I1397" s="22">
        <v>18.579999999999998</v>
      </c>
      <c r="J1397" s="22">
        <v>0</v>
      </c>
      <c r="K1397" s="22">
        <v>-0.37</v>
      </c>
      <c r="L1397" s="22">
        <v>18.21</v>
      </c>
      <c r="M1397" s="10"/>
      <c r="N1397" s="67"/>
      <c r="O1397" s="11"/>
    </row>
    <row r="1398" spans="1:15" x14ac:dyDescent="0.25">
      <c r="A1398" s="6"/>
      <c r="B1398" s="5"/>
      <c r="C1398" s="5"/>
      <c r="D1398" s="5" t="s">
        <v>191</v>
      </c>
      <c r="E1398" s="5" t="s">
        <v>192</v>
      </c>
      <c r="F1398" s="5" t="s">
        <v>21</v>
      </c>
      <c r="G1398" s="14">
        <f t="shared" ref="G1398:L1398" si="353">SUBTOTAL(9,G1397:G1397)</f>
        <v>0</v>
      </c>
      <c r="H1398" s="14">
        <f t="shared" si="353"/>
        <v>0</v>
      </c>
      <c r="I1398" s="14">
        <f t="shared" si="353"/>
        <v>18.579999999999998</v>
      </c>
      <c r="J1398" s="14">
        <f t="shared" si="353"/>
        <v>0</v>
      </c>
      <c r="K1398" s="14">
        <f t="shared" si="353"/>
        <v>-0.37</v>
      </c>
      <c r="L1398" s="14">
        <f t="shared" si="353"/>
        <v>18.21</v>
      </c>
      <c r="M1398" s="10">
        <v>2461</v>
      </c>
      <c r="N1398" s="69"/>
      <c r="O1398" s="11">
        <f>O1395+1</f>
        <v>343</v>
      </c>
    </row>
    <row r="1399" spans="1:15" x14ac:dyDescent="0.25">
      <c r="A1399" s="10"/>
      <c r="G1399" s="21"/>
      <c r="H1399" s="21"/>
      <c r="I1399" s="21"/>
      <c r="J1399" s="21"/>
      <c r="K1399" s="21"/>
      <c r="L1399" s="21"/>
      <c r="M1399" s="10"/>
      <c r="O1399" s="11"/>
    </row>
    <row r="1400" spans="1:15" s="4" customFormat="1" x14ac:dyDescent="0.25">
      <c r="A1400" s="6">
        <v>686</v>
      </c>
      <c r="B1400" s="5" t="s">
        <v>550</v>
      </c>
      <c r="C1400" s="5" t="s">
        <v>17</v>
      </c>
      <c r="D1400" s="5" t="s">
        <v>191</v>
      </c>
      <c r="E1400" s="5" t="s">
        <v>192</v>
      </c>
      <c r="F1400" s="5" t="s">
        <v>551</v>
      </c>
      <c r="G1400" s="22">
        <v>0</v>
      </c>
      <c r="H1400" s="22">
        <v>0</v>
      </c>
      <c r="I1400" s="22">
        <v>3000.78</v>
      </c>
      <c r="J1400" s="22">
        <v>0</v>
      </c>
      <c r="K1400" s="22">
        <v>-60.02</v>
      </c>
      <c r="L1400" s="22">
        <v>2940.76</v>
      </c>
      <c r="M1400" s="10"/>
      <c r="N1400" s="67"/>
      <c r="O1400" s="11"/>
    </row>
    <row r="1401" spans="1:15" x14ac:dyDescent="0.25">
      <c r="A1401" s="6">
        <v>687</v>
      </c>
      <c r="B1401" s="5" t="s">
        <v>550</v>
      </c>
      <c r="C1401" s="5" t="s">
        <v>17</v>
      </c>
      <c r="D1401" s="5" t="s">
        <v>191</v>
      </c>
      <c r="E1401" s="5" t="s">
        <v>192</v>
      </c>
      <c r="F1401" s="5" t="s">
        <v>551</v>
      </c>
      <c r="G1401" s="22">
        <v>0</v>
      </c>
      <c r="H1401" s="22">
        <v>0</v>
      </c>
      <c r="I1401" s="22">
        <v>526.82000000000005</v>
      </c>
      <c r="J1401" s="22">
        <v>0</v>
      </c>
      <c r="K1401" s="22">
        <v>-10.54</v>
      </c>
      <c r="L1401" s="22">
        <v>516.28</v>
      </c>
      <c r="M1401" s="10"/>
      <c r="O1401" s="11"/>
    </row>
    <row r="1402" spans="1:15" x14ac:dyDescent="0.25">
      <c r="A1402" s="6"/>
      <c r="B1402" s="5"/>
      <c r="C1402" s="5"/>
      <c r="D1402" s="5" t="s">
        <v>191</v>
      </c>
      <c r="E1402" s="5" t="s">
        <v>192</v>
      </c>
      <c r="F1402" s="5" t="s">
        <v>551</v>
      </c>
      <c r="G1402" s="14">
        <f t="shared" ref="G1402:L1402" si="354">SUBTOTAL(9,G1400:G1401)</f>
        <v>0</v>
      </c>
      <c r="H1402" s="14">
        <f t="shared" si="354"/>
        <v>0</v>
      </c>
      <c r="I1402" s="14">
        <f t="shared" si="354"/>
        <v>3527.6000000000004</v>
      </c>
      <c r="J1402" s="14">
        <f t="shared" si="354"/>
        <v>0</v>
      </c>
      <c r="K1402" s="14">
        <f t="shared" si="354"/>
        <v>-70.56</v>
      </c>
      <c r="L1402" s="14">
        <f t="shared" si="354"/>
        <v>3457.04</v>
      </c>
      <c r="M1402" s="10">
        <v>2462</v>
      </c>
      <c r="N1402" s="69"/>
      <c r="O1402" s="11">
        <f>O1398+1</f>
        <v>344</v>
      </c>
    </row>
    <row r="1403" spans="1:15" s="4" customFormat="1" x14ac:dyDescent="0.25">
      <c r="A1403" s="10"/>
      <c r="B1403"/>
      <c r="C1403"/>
      <c r="D1403"/>
      <c r="E1403"/>
      <c r="F1403"/>
      <c r="G1403" s="21"/>
      <c r="H1403" s="21"/>
      <c r="I1403" s="21"/>
      <c r="J1403" s="21"/>
      <c r="K1403" s="21"/>
      <c r="L1403" s="21"/>
      <c r="M1403" s="10"/>
      <c r="N1403" s="67"/>
      <c r="O1403" s="11"/>
    </row>
    <row r="1404" spans="1:15" x14ac:dyDescent="0.25">
      <c r="A1404" s="6">
        <v>688</v>
      </c>
      <c r="B1404" s="5" t="s">
        <v>550</v>
      </c>
      <c r="C1404" s="5" t="s">
        <v>17</v>
      </c>
      <c r="D1404" s="5" t="s">
        <v>191</v>
      </c>
      <c r="E1404" s="5" t="s">
        <v>192</v>
      </c>
      <c r="F1404" s="5" t="s">
        <v>552</v>
      </c>
      <c r="G1404" s="22">
        <v>0</v>
      </c>
      <c r="H1404" s="22">
        <v>0</v>
      </c>
      <c r="I1404" s="22">
        <v>0.22</v>
      </c>
      <c r="J1404" s="22">
        <v>0</v>
      </c>
      <c r="K1404" s="22">
        <v>0</v>
      </c>
      <c r="L1404" s="22">
        <v>0.22</v>
      </c>
      <c r="M1404" s="10"/>
      <c r="O1404" s="11"/>
    </row>
    <row r="1405" spans="1:15" x14ac:dyDescent="0.25">
      <c r="A1405" s="6">
        <v>689</v>
      </c>
      <c r="B1405" s="5" t="s">
        <v>550</v>
      </c>
      <c r="C1405" s="5" t="s">
        <v>17</v>
      </c>
      <c r="D1405" s="5" t="s">
        <v>191</v>
      </c>
      <c r="E1405" s="5" t="s">
        <v>192</v>
      </c>
      <c r="F1405" s="5" t="s">
        <v>552</v>
      </c>
      <c r="G1405" s="22">
        <v>0</v>
      </c>
      <c r="H1405" s="22">
        <v>0</v>
      </c>
      <c r="I1405" s="22">
        <v>0.04</v>
      </c>
      <c r="J1405" s="22">
        <v>0</v>
      </c>
      <c r="K1405" s="22">
        <v>0</v>
      </c>
      <c r="L1405" s="22">
        <v>0.04</v>
      </c>
      <c r="M1405" s="10"/>
      <c r="O1405" s="11"/>
    </row>
    <row r="1406" spans="1:15" s="4" customFormat="1" x14ac:dyDescent="0.25">
      <c r="A1406" s="6"/>
      <c r="B1406" s="5"/>
      <c r="C1406" s="5"/>
      <c r="D1406" s="5" t="s">
        <v>191</v>
      </c>
      <c r="E1406" s="5" t="s">
        <v>192</v>
      </c>
      <c r="F1406" s="5" t="s">
        <v>552</v>
      </c>
      <c r="G1406" s="14">
        <f t="shared" ref="G1406:L1406" si="355">SUBTOTAL(9,G1404:G1405)</f>
        <v>0</v>
      </c>
      <c r="H1406" s="14">
        <f t="shared" si="355"/>
        <v>0</v>
      </c>
      <c r="I1406" s="14">
        <f t="shared" si="355"/>
        <v>0.26</v>
      </c>
      <c r="J1406" s="14">
        <f t="shared" si="355"/>
        <v>0</v>
      </c>
      <c r="K1406" s="14">
        <f t="shared" si="355"/>
        <v>0</v>
      </c>
      <c r="L1406" s="14">
        <f t="shared" si="355"/>
        <v>0.26</v>
      </c>
      <c r="M1406" s="10">
        <v>2463</v>
      </c>
      <c r="N1406" s="69"/>
      <c r="O1406" s="11">
        <f>O1402+1</f>
        <v>345</v>
      </c>
    </row>
    <row r="1407" spans="1:15" x14ac:dyDescent="0.25">
      <c r="A1407" s="10"/>
      <c r="G1407" s="21"/>
      <c r="H1407" s="21"/>
      <c r="I1407" s="21"/>
      <c r="J1407" s="21"/>
      <c r="K1407" s="21"/>
      <c r="L1407" s="21"/>
      <c r="M1407" s="10"/>
      <c r="O1407" s="11"/>
    </row>
    <row r="1408" spans="1:15" x14ac:dyDescent="0.25">
      <c r="A1408" s="6">
        <v>690</v>
      </c>
      <c r="B1408" s="5" t="s">
        <v>566</v>
      </c>
      <c r="C1408" s="5" t="s">
        <v>17</v>
      </c>
      <c r="D1408" s="5" t="s">
        <v>193</v>
      </c>
      <c r="E1408" s="5" t="s">
        <v>194</v>
      </c>
      <c r="F1408" s="5" t="s">
        <v>567</v>
      </c>
      <c r="G1408" s="22">
        <v>0</v>
      </c>
      <c r="H1408" s="22">
        <v>0</v>
      </c>
      <c r="I1408" s="22">
        <v>0.01</v>
      </c>
      <c r="J1408" s="22">
        <v>0</v>
      </c>
      <c r="K1408" s="22">
        <v>0</v>
      </c>
      <c r="L1408" s="22">
        <v>0.01</v>
      </c>
      <c r="M1408" s="10"/>
      <c r="O1408" s="11"/>
    </row>
    <row r="1409" spans="1:15" s="4" customFormat="1" x14ac:dyDescent="0.25">
      <c r="A1409" s="6"/>
      <c r="B1409" s="5"/>
      <c r="C1409" s="5"/>
      <c r="D1409" s="5" t="s">
        <v>193</v>
      </c>
      <c r="E1409" s="5" t="s">
        <v>194</v>
      </c>
      <c r="F1409" s="5" t="s">
        <v>567</v>
      </c>
      <c r="G1409" s="14">
        <f t="shared" ref="G1409:L1409" si="356">SUBTOTAL(9,G1408:G1408)</f>
        <v>0</v>
      </c>
      <c r="H1409" s="14">
        <f t="shared" si="356"/>
        <v>0</v>
      </c>
      <c r="I1409" s="14">
        <f t="shared" si="356"/>
        <v>0.01</v>
      </c>
      <c r="J1409" s="14">
        <f t="shared" si="356"/>
        <v>0</v>
      </c>
      <c r="K1409" s="14">
        <f t="shared" si="356"/>
        <v>0</v>
      </c>
      <c r="L1409" s="14">
        <f t="shared" si="356"/>
        <v>0.01</v>
      </c>
      <c r="M1409" s="10">
        <v>2464</v>
      </c>
      <c r="N1409" s="69"/>
      <c r="O1409" s="11">
        <f>O1406+1</f>
        <v>346</v>
      </c>
    </row>
    <row r="1410" spans="1:15" x14ac:dyDescent="0.25">
      <c r="A1410" s="10"/>
      <c r="G1410" s="21"/>
      <c r="H1410" s="21"/>
      <c r="I1410" s="21"/>
      <c r="J1410" s="21"/>
      <c r="K1410" s="21"/>
      <c r="L1410" s="21"/>
      <c r="M1410" s="10"/>
      <c r="O1410" s="11"/>
    </row>
    <row r="1411" spans="1:15" x14ac:dyDescent="0.25">
      <c r="A1411" s="6">
        <v>691</v>
      </c>
      <c r="B1411" s="5" t="s">
        <v>18</v>
      </c>
      <c r="C1411" s="5" t="s">
        <v>17</v>
      </c>
      <c r="D1411" s="5" t="s">
        <v>193</v>
      </c>
      <c r="E1411" s="5" t="s">
        <v>194</v>
      </c>
      <c r="F1411" s="5" t="s">
        <v>19</v>
      </c>
      <c r="G1411" s="22">
        <v>0</v>
      </c>
      <c r="H1411" s="22">
        <v>0</v>
      </c>
      <c r="I1411" s="22">
        <v>0.02</v>
      </c>
      <c r="J1411" s="22">
        <v>0</v>
      </c>
      <c r="K1411" s="22">
        <v>0</v>
      </c>
      <c r="L1411" s="22">
        <v>0.02</v>
      </c>
      <c r="M1411" s="10"/>
      <c r="O1411" s="11"/>
    </row>
    <row r="1412" spans="1:15" s="4" customFormat="1" x14ac:dyDescent="0.25">
      <c r="A1412" s="6"/>
      <c r="B1412" s="5"/>
      <c r="C1412" s="5"/>
      <c r="D1412" s="5" t="s">
        <v>193</v>
      </c>
      <c r="E1412" s="5" t="s">
        <v>194</v>
      </c>
      <c r="F1412" s="5" t="s">
        <v>19</v>
      </c>
      <c r="G1412" s="14">
        <f t="shared" ref="G1412:L1412" si="357">SUBTOTAL(9,G1411:G1411)</f>
        <v>0</v>
      </c>
      <c r="H1412" s="14">
        <f t="shared" si="357"/>
        <v>0</v>
      </c>
      <c r="I1412" s="14">
        <f t="shared" si="357"/>
        <v>0.02</v>
      </c>
      <c r="J1412" s="14">
        <f t="shared" si="357"/>
        <v>0</v>
      </c>
      <c r="K1412" s="14">
        <f t="shared" si="357"/>
        <v>0</v>
      </c>
      <c r="L1412" s="14">
        <f t="shared" si="357"/>
        <v>0.02</v>
      </c>
      <c r="M1412" s="10">
        <v>2465</v>
      </c>
      <c r="N1412" s="69"/>
      <c r="O1412" s="11">
        <f>O1409+1</f>
        <v>347</v>
      </c>
    </row>
    <row r="1413" spans="1:15" x14ac:dyDescent="0.25">
      <c r="A1413" s="10"/>
      <c r="G1413" s="21"/>
      <c r="H1413" s="21"/>
      <c r="I1413" s="21"/>
      <c r="J1413" s="21"/>
      <c r="K1413" s="21"/>
      <c r="L1413" s="21"/>
      <c r="M1413" s="10"/>
      <c r="O1413" s="11"/>
    </row>
    <row r="1414" spans="1:15" x14ac:dyDescent="0.25">
      <c r="A1414" s="6">
        <v>692</v>
      </c>
      <c r="B1414" s="5" t="s">
        <v>550</v>
      </c>
      <c r="C1414" s="5" t="s">
        <v>17</v>
      </c>
      <c r="D1414" s="5" t="s">
        <v>597</v>
      </c>
      <c r="E1414" s="5" t="s">
        <v>194</v>
      </c>
      <c r="F1414" s="5" t="s">
        <v>551</v>
      </c>
      <c r="G1414" s="22">
        <v>0</v>
      </c>
      <c r="H1414" s="22">
        <v>0</v>
      </c>
      <c r="I1414" s="22">
        <v>35.25</v>
      </c>
      <c r="J1414" s="22">
        <v>0</v>
      </c>
      <c r="K1414" s="22">
        <v>-0.7</v>
      </c>
      <c r="L1414" s="22">
        <v>34.549999999999997</v>
      </c>
      <c r="M1414" s="10"/>
      <c r="O1414" s="11"/>
    </row>
    <row r="1415" spans="1:15" s="4" customFormat="1" x14ac:dyDescent="0.25">
      <c r="A1415" s="6">
        <v>693</v>
      </c>
      <c r="B1415" s="5" t="s">
        <v>550</v>
      </c>
      <c r="C1415" s="5" t="s">
        <v>17</v>
      </c>
      <c r="D1415" s="5" t="s">
        <v>597</v>
      </c>
      <c r="E1415" s="5" t="s">
        <v>194</v>
      </c>
      <c r="F1415" s="5" t="s">
        <v>551</v>
      </c>
      <c r="G1415" s="22">
        <v>0</v>
      </c>
      <c r="H1415" s="22">
        <v>0</v>
      </c>
      <c r="I1415" s="22">
        <v>0.54</v>
      </c>
      <c r="J1415" s="22">
        <v>0</v>
      </c>
      <c r="K1415" s="22">
        <v>-0.01</v>
      </c>
      <c r="L1415" s="22">
        <v>0.53</v>
      </c>
      <c r="M1415" s="10"/>
      <c r="N1415" s="67"/>
      <c r="O1415" s="11"/>
    </row>
    <row r="1416" spans="1:15" x14ac:dyDescent="0.25">
      <c r="A1416" s="6"/>
      <c r="B1416" s="5"/>
      <c r="C1416" s="5"/>
      <c r="D1416" s="5" t="s">
        <v>193</v>
      </c>
      <c r="E1416" s="5" t="s">
        <v>194</v>
      </c>
      <c r="F1416" s="5" t="s">
        <v>551</v>
      </c>
      <c r="G1416" s="14">
        <f t="shared" ref="G1416:L1416" si="358">SUBTOTAL(9,G1414:G1415)</f>
        <v>0</v>
      </c>
      <c r="H1416" s="14">
        <f t="shared" si="358"/>
        <v>0</v>
      </c>
      <c r="I1416" s="14">
        <f t="shared" si="358"/>
        <v>35.79</v>
      </c>
      <c r="J1416" s="14">
        <f t="shared" si="358"/>
        <v>0</v>
      </c>
      <c r="K1416" s="14">
        <f t="shared" si="358"/>
        <v>-0.71</v>
      </c>
      <c r="L1416" s="14">
        <f t="shared" si="358"/>
        <v>35.08</v>
      </c>
      <c r="M1416" s="10">
        <v>2466</v>
      </c>
      <c r="N1416" s="69"/>
      <c r="O1416" s="11">
        <f>O1412+1</f>
        <v>348</v>
      </c>
    </row>
    <row r="1417" spans="1:15" x14ac:dyDescent="0.25">
      <c r="A1417" s="10"/>
      <c r="G1417" s="21"/>
      <c r="H1417" s="21"/>
      <c r="I1417" s="21"/>
      <c r="J1417" s="21"/>
      <c r="K1417" s="21"/>
      <c r="L1417" s="21"/>
      <c r="M1417" s="10"/>
      <c r="O1417" s="11"/>
    </row>
    <row r="1418" spans="1:15" s="4" customFormat="1" x14ac:dyDescent="0.25">
      <c r="A1418" s="6">
        <v>694</v>
      </c>
      <c r="B1418" s="5" t="s">
        <v>18</v>
      </c>
      <c r="C1418" s="5" t="s">
        <v>17</v>
      </c>
      <c r="D1418" s="5" t="s">
        <v>195</v>
      </c>
      <c r="E1418" s="5" t="s">
        <v>196</v>
      </c>
      <c r="F1418" s="5" t="s">
        <v>19</v>
      </c>
      <c r="G1418" s="22">
        <v>0.64</v>
      </c>
      <c r="H1418" s="22">
        <v>0</v>
      </c>
      <c r="I1418" s="22">
        <v>0</v>
      </c>
      <c r="J1418" s="22">
        <v>0</v>
      </c>
      <c r="K1418" s="22">
        <v>-0.56999999999999995</v>
      </c>
      <c r="L1418" s="22">
        <v>7.0000000000000007E-2</v>
      </c>
      <c r="M1418" s="10"/>
      <c r="N1418" s="67"/>
      <c r="O1418" s="11"/>
    </row>
    <row r="1419" spans="1:15" x14ac:dyDescent="0.25">
      <c r="A1419" s="6"/>
      <c r="B1419" s="5"/>
      <c r="C1419" s="5"/>
      <c r="D1419" s="5" t="s">
        <v>195</v>
      </c>
      <c r="E1419" s="5" t="s">
        <v>196</v>
      </c>
      <c r="F1419" s="5" t="s">
        <v>19</v>
      </c>
      <c r="G1419" s="14">
        <f t="shared" ref="G1419:L1419" si="359">SUBTOTAL(9,G1418:G1418)</f>
        <v>0.64</v>
      </c>
      <c r="H1419" s="14">
        <f t="shared" si="359"/>
        <v>0</v>
      </c>
      <c r="I1419" s="14">
        <f t="shared" si="359"/>
        <v>0</v>
      </c>
      <c r="J1419" s="14">
        <f t="shared" si="359"/>
        <v>0</v>
      </c>
      <c r="K1419" s="14">
        <f t="shared" si="359"/>
        <v>-0.56999999999999995</v>
      </c>
      <c r="L1419" s="14">
        <f t="shared" si="359"/>
        <v>7.0000000000000007E-2</v>
      </c>
      <c r="M1419" s="10">
        <v>2467</v>
      </c>
      <c r="N1419" s="69"/>
      <c r="O1419" s="11">
        <f>O1416+1</f>
        <v>349</v>
      </c>
    </row>
    <row r="1420" spans="1:15" x14ac:dyDescent="0.25">
      <c r="A1420" s="10"/>
      <c r="G1420" s="21"/>
      <c r="H1420" s="21"/>
      <c r="I1420" s="21"/>
      <c r="J1420" s="21"/>
      <c r="K1420" s="21"/>
      <c r="L1420" s="21"/>
      <c r="M1420" s="10"/>
      <c r="O1420" s="11"/>
    </row>
    <row r="1421" spans="1:15" s="4" customFormat="1" x14ac:dyDescent="0.25">
      <c r="A1421" s="6">
        <v>695</v>
      </c>
      <c r="B1421" s="5" t="s">
        <v>550</v>
      </c>
      <c r="C1421" s="5" t="s">
        <v>17</v>
      </c>
      <c r="D1421" s="5" t="s">
        <v>195</v>
      </c>
      <c r="E1421" s="5" t="s">
        <v>196</v>
      </c>
      <c r="F1421" s="5" t="s">
        <v>551</v>
      </c>
      <c r="G1421" s="22">
        <v>31079.1</v>
      </c>
      <c r="H1421" s="22">
        <v>0</v>
      </c>
      <c r="I1421" s="22">
        <v>0</v>
      </c>
      <c r="J1421" s="22">
        <v>0</v>
      </c>
      <c r="K1421" s="22">
        <v>-621.58000000000004</v>
      </c>
      <c r="L1421" s="22">
        <v>30457.52</v>
      </c>
      <c r="M1421" s="10"/>
      <c r="N1421" s="67"/>
      <c r="O1421" s="11"/>
    </row>
    <row r="1422" spans="1:15" x14ac:dyDescent="0.25">
      <c r="A1422" s="6">
        <v>696</v>
      </c>
      <c r="B1422" s="5" t="s">
        <v>550</v>
      </c>
      <c r="C1422" s="5" t="s">
        <v>13</v>
      </c>
      <c r="D1422" s="5" t="s">
        <v>195</v>
      </c>
      <c r="E1422" s="5" t="s">
        <v>196</v>
      </c>
      <c r="F1422" s="5" t="s">
        <v>551</v>
      </c>
      <c r="G1422" s="22">
        <v>0</v>
      </c>
      <c r="H1422" s="22">
        <v>0</v>
      </c>
      <c r="I1422" s="22">
        <v>0</v>
      </c>
      <c r="J1422" s="22">
        <v>3729.49</v>
      </c>
      <c r="K1422" s="22">
        <v>0</v>
      </c>
      <c r="L1422" s="22">
        <v>3729.49</v>
      </c>
      <c r="M1422" s="10"/>
      <c r="O1422" s="11"/>
    </row>
    <row r="1423" spans="1:15" x14ac:dyDescent="0.25">
      <c r="A1423" s="6"/>
      <c r="B1423" s="5"/>
      <c r="C1423" s="5"/>
      <c r="D1423" s="5" t="s">
        <v>195</v>
      </c>
      <c r="E1423" s="5" t="s">
        <v>196</v>
      </c>
      <c r="F1423" s="5" t="s">
        <v>551</v>
      </c>
      <c r="G1423" s="14">
        <f t="shared" ref="G1423:L1423" si="360">SUBTOTAL(9,G1421:G1422)</f>
        <v>31079.1</v>
      </c>
      <c r="H1423" s="14">
        <f t="shared" si="360"/>
        <v>0</v>
      </c>
      <c r="I1423" s="14">
        <f t="shared" si="360"/>
        <v>0</v>
      </c>
      <c r="J1423" s="14">
        <f t="shared" si="360"/>
        <v>3729.49</v>
      </c>
      <c r="K1423" s="14">
        <f t="shared" si="360"/>
        <v>-621.58000000000004</v>
      </c>
      <c r="L1423" s="14">
        <f t="shared" si="360"/>
        <v>34187.01</v>
      </c>
      <c r="M1423" s="10">
        <v>2468</v>
      </c>
      <c r="N1423" s="69"/>
      <c r="O1423" s="11">
        <f>O1419+1</f>
        <v>350</v>
      </c>
    </row>
    <row r="1424" spans="1:15" s="4" customFormat="1" x14ac:dyDescent="0.25">
      <c r="A1424" s="10"/>
      <c r="B1424"/>
      <c r="C1424"/>
      <c r="D1424"/>
      <c r="E1424"/>
      <c r="F1424"/>
      <c r="G1424" s="21"/>
      <c r="H1424" s="21"/>
      <c r="I1424" s="21"/>
      <c r="J1424" s="21"/>
      <c r="K1424" s="21"/>
      <c r="L1424" s="21"/>
      <c r="M1424" s="10"/>
      <c r="N1424" s="67"/>
      <c r="O1424" s="11"/>
    </row>
    <row r="1425" spans="1:15" x14ac:dyDescent="0.25">
      <c r="A1425" s="6">
        <v>697</v>
      </c>
      <c r="B1425" s="5" t="s">
        <v>550</v>
      </c>
      <c r="C1425" s="5" t="s">
        <v>17</v>
      </c>
      <c r="D1425" s="5" t="s">
        <v>195</v>
      </c>
      <c r="E1425" s="5" t="s">
        <v>196</v>
      </c>
      <c r="F1425" s="5" t="s">
        <v>552</v>
      </c>
      <c r="G1425" s="22">
        <v>2.2400000000000002</v>
      </c>
      <c r="H1425" s="22">
        <v>0</v>
      </c>
      <c r="I1425" s="22">
        <v>0</v>
      </c>
      <c r="J1425" s="22">
        <v>0</v>
      </c>
      <c r="K1425" s="22">
        <v>-0.04</v>
      </c>
      <c r="L1425" s="22">
        <v>2.2000000000000002</v>
      </c>
      <c r="M1425" s="10"/>
      <c r="O1425" s="11"/>
    </row>
    <row r="1426" spans="1:15" x14ac:dyDescent="0.25">
      <c r="A1426" s="6">
        <v>698</v>
      </c>
      <c r="B1426" s="5" t="s">
        <v>550</v>
      </c>
      <c r="C1426" s="5" t="s">
        <v>13</v>
      </c>
      <c r="D1426" s="5" t="s">
        <v>195</v>
      </c>
      <c r="E1426" s="5" t="s">
        <v>196</v>
      </c>
      <c r="F1426" s="5" t="s">
        <v>552</v>
      </c>
      <c r="G1426" s="22">
        <v>0</v>
      </c>
      <c r="H1426" s="22">
        <v>0</v>
      </c>
      <c r="I1426" s="22">
        <v>0</v>
      </c>
      <c r="J1426" s="22">
        <v>0.27</v>
      </c>
      <c r="K1426" s="22">
        <v>0</v>
      </c>
      <c r="L1426" s="22">
        <v>0.27</v>
      </c>
      <c r="M1426" s="10"/>
      <c r="O1426" s="11"/>
    </row>
    <row r="1427" spans="1:15" s="4" customFormat="1" x14ac:dyDescent="0.25">
      <c r="A1427" s="6"/>
      <c r="B1427" s="5"/>
      <c r="C1427" s="5"/>
      <c r="D1427" s="5" t="s">
        <v>195</v>
      </c>
      <c r="E1427" s="5" t="s">
        <v>196</v>
      </c>
      <c r="F1427" s="5" t="s">
        <v>552</v>
      </c>
      <c r="G1427" s="14">
        <f t="shared" ref="G1427:L1427" si="361">SUBTOTAL(9,G1425:G1426)</f>
        <v>2.2400000000000002</v>
      </c>
      <c r="H1427" s="14">
        <f t="shared" si="361"/>
        <v>0</v>
      </c>
      <c r="I1427" s="14">
        <f t="shared" si="361"/>
        <v>0</v>
      </c>
      <c r="J1427" s="14">
        <f t="shared" si="361"/>
        <v>0.27</v>
      </c>
      <c r="K1427" s="14">
        <f t="shared" si="361"/>
        <v>-0.04</v>
      </c>
      <c r="L1427" s="14">
        <f t="shared" si="361"/>
        <v>2.4700000000000002</v>
      </c>
      <c r="M1427" s="10">
        <v>2469</v>
      </c>
      <c r="N1427" s="69"/>
      <c r="O1427" s="11">
        <f>O1423+1</f>
        <v>351</v>
      </c>
    </row>
    <row r="1428" spans="1:15" s="4" customFormat="1" x14ac:dyDescent="0.25">
      <c r="A1428" s="10"/>
      <c r="B1428"/>
      <c r="C1428"/>
      <c r="D1428"/>
      <c r="E1428"/>
      <c r="F1428"/>
      <c r="G1428" s="21"/>
      <c r="H1428" s="21"/>
      <c r="I1428" s="21"/>
      <c r="J1428" s="21"/>
      <c r="K1428" s="21"/>
      <c r="L1428" s="21"/>
      <c r="M1428" s="10"/>
      <c r="N1428" s="67"/>
      <c r="O1428" s="11"/>
    </row>
    <row r="1429" spans="1:15" x14ac:dyDescent="0.25">
      <c r="A1429" s="6">
        <v>699</v>
      </c>
      <c r="B1429" s="5" t="s">
        <v>555</v>
      </c>
      <c r="C1429" s="5" t="s">
        <v>17</v>
      </c>
      <c r="D1429" s="5" t="s">
        <v>197</v>
      </c>
      <c r="E1429" s="5" t="s">
        <v>198</v>
      </c>
      <c r="F1429" s="5" t="s">
        <v>556</v>
      </c>
      <c r="G1429" s="22">
        <v>41.22</v>
      </c>
      <c r="H1429" s="22">
        <v>0</v>
      </c>
      <c r="I1429" s="22">
        <v>0</v>
      </c>
      <c r="J1429" s="22">
        <v>0</v>
      </c>
      <c r="K1429" s="22">
        <v>-0.82</v>
      </c>
      <c r="L1429" s="22">
        <v>40.4</v>
      </c>
      <c r="M1429" s="10"/>
      <c r="O1429" s="11"/>
    </row>
    <row r="1430" spans="1:15" x14ac:dyDescent="0.25">
      <c r="A1430" s="6">
        <v>700</v>
      </c>
      <c r="B1430" s="5" t="s">
        <v>555</v>
      </c>
      <c r="C1430" s="5" t="s">
        <v>13</v>
      </c>
      <c r="D1430" s="5" t="s">
        <v>197</v>
      </c>
      <c r="E1430" s="5" t="s">
        <v>198</v>
      </c>
      <c r="F1430" s="5" t="s">
        <v>556</v>
      </c>
      <c r="G1430" s="22">
        <v>0</v>
      </c>
      <c r="H1430" s="22">
        <v>0</v>
      </c>
      <c r="I1430" s="22">
        <v>0</v>
      </c>
      <c r="J1430" s="22">
        <v>4.95</v>
      </c>
      <c r="K1430" s="22">
        <v>0</v>
      </c>
      <c r="L1430" s="22">
        <v>4.95</v>
      </c>
      <c r="M1430" s="10"/>
      <c r="O1430" s="11"/>
    </row>
    <row r="1431" spans="1:15" s="4" customFormat="1" x14ac:dyDescent="0.25">
      <c r="A1431" s="6">
        <v>710</v>
      </c>
      <c r="B1431" s="5" t="s">
        <v>555</v>
      </c>
      <c r="C1431" s="5" t="s">
        <v>17</v>
      </c>
      <c r="D1431" s="5" t="s">
        <v>199</v>
      </c>
      <c r="E1431" s="5" t="s">
        <v>198</v>
      </c>
      <c r="F1431" s="5" t="s">
        <v>556</v>
      </c>
      <c r="G1431" s="22">
        <v>104.74</v>
      </c>
      <c r="H1431" s="22">
        <v>0</v>
      </c>
      <c r="I1431" s="22">
        <v>0</v>
      </c>
      <c r="J1431" s="22">
        <v>0</v>
      </c>
      <c r="K1431" s="22">
        <v>-2.09</v>
      </c>
      <c r="L1431" s="22">
        <v>102.65</v>
      </c>
      <c r="M1431" s="10"/>
      <c r="N1431" s="67"/>
      <c r="O1431" s="11"/>
    </row>
    <row r="1432" spans="1:15" x14ac:dyDescent="0.25">
      <c r="A1432" s="6">
        <v>711</v>
      </c>
      <c r="B1432" s="5" t="s">
        <v>555</v>
      </c>
      <c r="C1432" s="5" t="s">
        <v>13</v>
      </c>
      <c r="D1432" s="5" t="s">
        <v>199</v>
      </c>
      <c r="E1432" s="5" t="s">
        <v>198</v>
      </c>
      <c r="F1432" s="5" t="s">
        <v>556</v>
      </c>
      <c r="G1432" s="22">
        <v>0</v>
      </c>
      <c r="H1432" s="22">
        <v>0</v>
      </c>
      <c r="I1432" s="22">
        <v>0</v>
      </c>
      <c r="J1432" s="22">
        <v>12.57</v>
      </c>
      <c r="K1432" s="22">
        <v>0</v>
      </c>
      <c r="L1432" s="22">
        <v>12.57</v>
      </c>
      <c r="M1432" s="10"/>
      <c r="O1432" s="11"/>
    </row>
    <row r="1433" spans="1:15" x14ac:dyDescent="0.25">
      <c r="A1433" s="6"/>
      <c r="B1433" s="5"/>
      <c r="C1433" s="5"/>
      <c r="D1433" s="5" t="s">
        <v>199</v>
      </c>
      <c r="E1433" s="5" t="s">
        <v>198</v>
      </c>
      <c r="F1433" s="5" t="s">
        <v>556</v>
      </c>
      <c r="G1433" s="14">
        <f>SUBTOTAL(9,G1429:G1432)</f>
        <v>145.95999999999998</v>
      </c>
      <c r="H1433" s="14">
        <f t="shared" ref="H1433:L1433" si="362">SUBTOTAL(9,H1429:H1432)</f>
        <v>0</v>
      </c>
      <c r="I1433" s="14">
        <f t="shared" si="362"/>
        <v>0</v>
      </c>
      <c r="J1433" s="14">
        <f t="shared" si="362"/>
        <v>17.52</v>
      </c>
      <c r="K1433" s="14">
        <f t="shared" si="362"/>
        <v>-2.9099999999999997</v>
      </c>
      <c r="L1433" s="14">
        <f t="shared" si="362"/>
        <v>160.57</v>
      </c>
      <c r="M1433" s="10">
        <v>2470</v>
      </c>
      <c r="N1433" s="69"/>
      <c r="O1433" s="11">
        <f>O1427+1</f>
        <v>352</v>
      </c>
    </row>
    <row r="1434" spans="1:15" s="4" customFormat="1" x14ac:dyDescent="0.25">
      <c r="A1434" s="10"/>
      <c r="B1434"/>
      <c r="C1434"/>
      <c r="D1434"/>
      <c r="E1434"/>
      <c r="F1434"/>
      <c r="G1434" s="21"/>
      <c r="H1434" s="21"/>
      <c r="I1434" s="21"/>
      <c r="J1434" s="21"/>
      <c r="K1434" s="21"/>
      <c r="L1434" s="21"/>
      <c r="M1434" s="10"/>
      <c r="N1434" s="67"/>
      <c r="O1434" s="11"/>
    </row>
    <row r="1435" spans="1:15" s="4" customFormat="1" x14ac:dyDescent="0.25">
      <c r="A1435" s="6">
        <v>701</v>
      </c>
      <c r="B1435" s="5" t="s">
        <v>557</v>
      </c>
      <c r="C1435" s="5" t="s">
        <v>17</v>
      </c>
      <c r="D1435" s="5" t="s">
        <v>197</v>
      </c>
      <c r="E1435" s="5" t="s">
        <v>198</v>
      </c>
      <c r="F1435" s="5" t="s">
        <v>558</v>
      </c>
      <c r="G1435" s="22">
        <v>39.07</v>
      </c>
      <c r="H1435" s="22">
        <v>0</v>
      </c>
      <c r="I1435" s="22">
        <v>0</v>
      </c>
      <c r="J1435" s="22">
        <v>0</v>
      </c>
      <c r="K1435" s="22">
        <v>-0.78</v>
      </c>
      <c r="L1435" s="22">
        <v>38.29</v>
      </c>
      <c r="M1435" s="10"/>
      <c r="N1435" s="67"/>
      <c r="O1435" s="11"/>
    </row>
    <row r="1436" spans="1:15" x14ac:dyDescent="0.25">
      <c r="A1436" s="6">
        <v>702</v>
      </c>
      <c r="B1436" s="5" t="s">
        <v>557</v>
      </c>
      <c r="C1436" s="5" t="s">
        <v>13</v>
      </c>
      <c r="D1436" s="5" t="s">
        <v>197</v>
      </c>
      <c r="E1436" s="5" t="s">
        <v>198</v>
      </c>
      <c r="F1436" s="5" t="s">
        <v>558</v>
      </c>
      <c r="G1436" s="22">
        <v>0</v>
      </c>
      <c r="H1436" s="22">
        <v>0</v>
      </c>
      <c r="I1436" s="22">
        <v>0</v>
      </c>
      <c r="J1436" s="22">
        <v>4.6900000000000004</v>
      </c>
      <c r="K1436" s="22">
        <v>0</v>
      </c>
      <c r="L1436" s="22">
        <v>4.6900000000000004</v>
      </c>
      <c r="M1436" s="10"/>
      <c r="O1436" s="11"/>
    </row>
    <row r="1437" spans="1:15" x14ac:dyDescent="0.25">
      <c r="A1437" s="6">
        <v>712</v>
      </c>
      <c r="B1437" s="5" t="s">
        <v>557</v>
      </c>
      <c r="C1437" s="5" t="s">
        <v>17</v>
      </c>
      <c r="D1437" s="5" t="s">
        <v>199</v>
      </c>
      <c r="E1437" s="5" t="s">
        <v>198</v>
      </c>
      <c r="F1437" s="5" t="s">
        <v>558</v>
      </c>
      <c r="G1437" s="22">
        <v>58.46</v>
      </c>
      <c r="H1437" s="22">
        <v>0</v>
      </c>
      <c r="I1437" s="22">
        <v>0</v>
      </c>
      <c r="J1437" s="22">
        <v>0</v>
      </c>
      <c r="K1437" s="22">
        <v>-1.17</v>
      </c>
      <c r="L1437" s="22">
        <v>57.29</v>
      </c>
      <c r="M1437" s="10"/>
      <c r="O1437" s="11"/>
    </row>
    <row r="1438" spans="1:15" s="4" customFormat="1" x14ac:dyDescent="0.25">
      <c r="A1438" s="6">
        <v>713</v>
      </c>
      <c r="B1438" s="5" t="s">
        <v>557</v>
      </c>
      <c r="C1438" s="5" t="s">
        <v>13</v>
      </c>
      <c r="D1438" s="5" t="s">
        <v>199</v>
      </c>
      <c r="E1438" s="5" t="s">
        <v>198</v>
      </c>
      <c r="F1438" s="5" t="s">
        <v>558</v>
      </c>
      <c r="G1438" s="22">
        <v>0</v>
      </c>
      <c r="H1438" s="22">
        <v>0</v>
      </c>
      <c r="I1438" s="22">
        <v>0</v>
      </c>
      <c r="J1438" s="22">
        <v>7.02</v>
      </c>
      <c r="K1438" s="22">
        <v>0</v>
      </c>
      <c r="L1438" s="22">
        <v>7.02</v>
      </c>
      <c r="M1438" s="10"/>
      <c r="N1438" s="67"/>
      <c r="O1438" s="11"/>
    </row>
    <row r="1439" spans="1:15" s="4" customFormat="1" x14ac:dyDescent="0.25">
      <c r="A1439" s="6"/>
      <c r="B1439" s="5"/>
      <c r="C1439" s="5"/>
      <c r="D1439" s="5" t="s">
        <v>199</v>
      </c>
      <c r="E1439" s="5" t="s">
        <v>198</v>
      </c>
      <c r="F1439" s="5" t="s">
        <v>558</v>
      </c>
      <c r="G1439" s="14">
        <f>SUBTOTAL(9,G1435:G1438)</f>
        <v>97.53</v>
      </c>
      <c r="H1439" s="14">
        <f t="shared" ref="H1439:L1439" si="363">SUBTOTAL(9,H1435:H1438)</f>
        <v>0</v>
      </c>
      <c r="I1439" s="14">
        <f t="shared" si="363"/>
        <v>0</v>
      </c>
      <c r="J1439" s="14">
        <f t="shared" si="363"/>
        <v>11.71</v>
      </c>
      <c r="K1439" s="14">
        <f t="shared" si="363"/>
        <v>-1.95</v>
      </c>
      <c r="L1439" s="14">
        <f t="shared" si="363"/>
        <v>107.28999999999999</v>
      </c>
      <c r="M1439" s="10">
        <v>2471</v>
      </c>
      <c r="N1439" s="69"/>
      <c r="O1439" s="11">
        <f>O1433+1</f>
        <v>353</v>
      </c>
    </row>
    <row r="1440" spans="1:15" x14ac:dyDescent="0.25">
      <c r="A1440" s="10"/>
      <c r="G1440" s="21"/>
      <c r="H1440" s="21"/>
      <c r="I1440" s="21"/>
      <c r="J1440" s="21"/>
      <c r="K1440" s="21"/>
      <c r="L1440" s="21"/>
      <c r="M1440" s="10"/>
      <c r="O1440" s="11"/>
    </row>
    <row r="1441" spans="1:15" x14ac:dyDescent="0.25">
      <c r="A1441" s="6">
        <v>703</v>
      </c>
      <c r="B1441" s="5" t="s">
        <v>18</v>
      </c>
      <c r="C1441" s="5" t="s">
        <v>17</v>
      </c>
      <c r="D1441" s="5" t="s">
        <v>197</v>
      </c>
      <c r="E1441" s="5" t="s">
        <v>198</v>
      </c>
      <c r="F1441" s="5" t="s">
        <v>19</v>
      </c>
      <c r="G1441" s="22">
        <v>0.03</v>
      </c>
      <c r="H1441" s="22">
        <v>0</v>
      </c>
      <c r="I1441" s="22">
        <v>0</v>
      </c>
      <c r="J1441" s="22">
        <v>0</v>
      </c>
      <c r="K1441" s="22">
        <v>-0.03</v>
      </c>
      <c r="L1441" s="22">
        <v>0</v>
      </c>
      <c r="M1441" s="10"/>
      <c r="O1441" s="11"/>
    </row>
    <row r="1442" spans="1:15" s="4" customFormat="1" x14ac:dyDescent="0.25">
      <c r="A1442" s="6">
        <v>714</v>
      </c>
      <c r="B1442" s="5" t="s">
        <v>18</v>
      </c>
      <c r="C1442" s="5" t="s">
        <v>17</v>
      </c>
      <c r="D1442" s="5" t="s">
        <v>199</v>
      </c>
      <c r="E1442" s="5" t="s">
        <v>198</v>
      </c>
      <c r="F1442" s="5" t="s">
        <v>19</v>
      </c>
      <c r="G1442" s="22">
        <v>0.93</v>
      </c>
      <c r="H1442" s="22">
        <v>0</v>
      </c>
      <c r="I1442" s="22">
        <v>0</v>
      </c>
      <c r="J1442" s="22">
        <v>0</v>
      </c>
      <c r="K1442" s="22">
        <v>-0.82</v>
      </c>
      <c r="L1442" s="22">
        <v>0.11</v>
      </c>
      <c r="M1442" s="10"/>
      <c r="N1442" s="67"/>
      <c r="O1442" s="11"/>
    </row>
    <row r="1443" spans="1:15" x14ac:dyDescent="0.25">
      <c r="A1443" s="6">
        <v>715</v>
      </c>
      <c r="B1443" s="5" t="s">
        <v>18</v>
      </c>
      <c r="C1443" s="5" t="s">
        <v>17</v>
      </c>
      <c r="D1443" s="5" t="s">
        <v>199</v>
      </c>
      <c r="E1443" s="5" t="s">
        <v>198</v>
      </c>
      <c r="F1443" s="5" t="s">
        <v>19</v>
      </c>
      <c r="G1443" s="22">
        <v>0.03</v>
      </c>
      <c r="H1443" s="22">
        <v>0</v>
      </c>
      <c r="I1443" s="22">
        <v>0</v>
      </c>
      <c r="J1443" s="22">
        <v>0</v>
      </c>
      <c r="K1443" s="22">
        <v>-0.03</v>
      </c>
      <c r="L1443" s="22">
        <v>0</v>
      </c>
      <c r="M1443" s="10"/>
      <c r="O1443" s="11"/>
    </row>
    <row r="1444" spans="1:15" x14ac:dyDescent="0.25">
      <c r="A1444" s="6"/>
      <c r="B1444" s="5"/>
      <c r="C1444" s="5"/>
      <c r="D1444" s="5" t="s">
        <v>199</v>
      </c>
      <c r="E1444" s="5" t="s">
        <v>198</v>
      </c>
      <c r="F1444" s="5" t="s">
        <v>19</v>
      </c>
      <c r="G1444" s="14">
        <f>SUBTOTAL(9,G1441:G1443)</f>
        <v>0.9900000000000001</v>
      </c>
      <c r="H1444" s="14">
        <f t="shared" ref="H1444:L1444" si="364">SUBTOTAL(9,H1441:H1443)</f>
        <v>0</v>
      </c>
      <c r="I1444" s="14">
        <f t="shared" si="364"/>
        <v>0</v>
      </c>
      <c r="J1444" s="14">
        <f t="shared" si="364"/>
        <v>0</v>
      </c>
      <c r="K1444" s="14">
        <f t="shared" si="364"/>
        <v>-0.88</v>
      </c>
      <c r="L1444" s="14">
        <f t="shared" si="364"/>
        <v>0.11</v>
      </c>
      <c r="M1444" s="10">
        <v>2472</v>
      </c>
      <c r="N1444" s="69"/>
      <c r="O1444" s="11">
        <f>O1439+1</f>
        <v>354</v>
      </c>
    </row>
    <row r="1445" spans="1:15" s="4" customFormat="1" x14ac:dyDescent="0.25">
      <c r="A1445" s="10"/>
      <c r="B1445"/>
      <c r="C1445"/>
      <c r="D1445"/>
      <c r="E1445"/>
      <c r="F1445"/>
      <c r="G1445" s="21"/>
      <c r="H1445" s="21"/>
      <c r="I1445" s="21"/>
      <c r="J1445" s="21"/>
      <c r="K1445" s="21"/>
      <c r="L1445" s="21"/>
      <c r="M1445" s="10"/>
      <c r="N1445" s="67"/>
      <c r="O1445" s="11"/>
    </row>
    <row r="1446" spans="1:15" x14ac:dyDescent="0.25">
      <c r="A1446" s="6">
        <v>704</v>
      </c>
      <c r="B1446" s="5" t="s">
        <v>550</v>
      </c>
      <c r="C1446" s="5" t="s">
        <v>17</v>
      </c>
      <c r="D1446" s="5" t="s">
        <v>197</v>
      </c>
      <c r="E1446" s="5" t="s">
        <v>198</v>
      </c>
      <c r="F1446" s="5" t="s">
        <v>551</v>
      </c>
      <c r="G1446" s="22">
        <v>65.510000000000005</v>
      </c>
      <c r="H1446" s="22">
        <v>0</v>
      </c>
      <c r="I1446" s="22">
        <v>0</v>
      </c>
      <c r="J1446" s="22">
        <v>0</v>
      </c>
      <c r="K1446" s="22">
        <v>-1.31</v>
      </c>
      <c r="L1446" s="22">
        <v>64.2</v>
      </c>
      <c r="M1446" s="10"/>
      <c r="O1446" s="11"/>
    </row>
    <row r="1447" spans="1:15" x14ac:dyDescent="0.25">
      <c r="A1447" s="6">
        <v>705</v>
      </c>
      <c r="B1447" s="5" t="s">
        <v>550</v>
      </c>
      <c r="C1447" s="5" t="s">
        <v>17</v>
      </c>
      <c r="D1447" s="5" t="s">
        <v>197</v>
      </c>
      <c r="E1447" s="5" t="s">
        <v>198</v>
      </c>
      <c r="F1447" s="5" t="s">
        <v>551</v>
      </c>
      <c r="G1447" s="22">
        <v>0</v>
      </c>
      <c r="H1447" s="22">
        <v>0</v>
      </c>
      <c r="I1447" s="22">
        <v>548034.81999999995</v>
      </c>
      <c r="J1447" s="22">
        <v>0</v>
      </c>
      <c r="K1447" s="22">
        <v>-10960.7</v>
      </c>
      <c r="L1447" s="22">
        <v>537074.12</v>
      </c>
      <c r="M1447" s="10"/>
      <c r="O1447" s="11"/>
    </row>
    <row r="1448" spans="1:15" s="4" customFormat="1" x14ac:dyDescent="0.25">
      <c r="A1448" s="6">
        <v>706</v>
      </c>
      <c r="B1448" s="5" t="s">
        <v>550</v>
      </c>
      <c r="C1448" s="5" t="s">
        <v>13</v>
      </c>
      <c r="D1448" s="5" t="s">
        <v>197</v>
      </c>
      <c r="E1448" s="5" t="s">
        <v>198</v>
      </c>
      <c r="F1448" s="5" t="s">
        <v>551</v>
      </c>
      <c r="G1448" s="22">
        <v>0</v>
      </c>
      <c r="H1448" s="22">
        <v>0</v>
      </c>
      <c r="I1448" s="22">
        <v>0</v>
      </c>
      <c r="J1448" s="22">
        <v>7.86</v>
      </c>
      <c r="K1448" s="22">
        <v>0</v>
      </c>
      <c r="L1448" s="22">
        <v>7.86</v>
      </c>
      <c r="M1448" s="10"/>
      <c r="N1448" s="67"/>
      <c r="O1448" s="11"/>
    </row>
    <row r="1449" spans="1:15" s="4" customFormat="1" x14ac:dyDescent="0.25">
      <c r="A1449" s="6">
        <v>708</v>
      </c>
      <c r="B1449" s="5" t="s">
        <v>550</v>
      </c>
      <c r="C1449" s="5" t="s">
        <v>17</v>
      </c>
      <c r="D1449" s="5" t="s">
        <v>598</v>
      </c>
      <c r="E1449" s="5" t="s">
        <v>599</v>
      </c>
      <c r="F1449" s="5" t="s">
        <v>551</v>
      </c>
      <c r="G1449" s="22">
        <v>0</v>
      </c>
      <c r="H1449" s="22">
        <v>0</v>
      </c>
      <c r="I1449" s="22">
        <v>101.81</v>
      </c>
      <c r="J1449" s="22">
        <v>0</v>
      </c>
      <c r="K1449" s="22">
        <v>-2.04</v>
      </c>
      <c r="L1449" s="22">
        <v>99.77</v>
      </c>
      <c r="M1449" s="10"/>
      <c r="N1449" s="67"/>
      <c r="O1449" s="11"/>
    </row>
    <row r="1450" spans="1:15" x14ac:dyDescent="0.25">
      <c r="A1450" s="6">
        <v>716</v>
      </c>
      <c r="B1450" s="5" t="s">
        <v>550</v>
      </c>
      <c r="C1450" s="5" t="s">
        <v>17</v>
      </c>
      <c r="D1450" s="5" t="s">
        <v>199</v>
      </c>
      <c r="E1450" s="5" t="s">
        <v>198</v>
      </c>
      <c r="F1450" s="5" t="s">
        <v>551</v>
      </c>
      <c r="G1450" s="22">
        <v>5059.71</v>
      </c>
      <c r="H1450" s="22">
        <v>0</v>
      </c>
      <c r="I1450" s="22">
        <v>0</v>
      </c>
      <c r="J1450" s="22">
        <v>0</v>
      </c>
      <c r="K1450" s="22">
        <v>-101.19</v>
      </c>
      <c r="L1450" s="22">
        <v>4958.5200000000004</v>
      </c>
      <c r="M1450" s="10"/>
      <c r="O1450" s="11"/>
    </row>
    <row r="1451" spans="1:15" x14ac:dyDescent="0.25">
      <c r="A1451" s="6">
        <v>717</v>
      </c>
      <c r="B1451" s="5" t="s">
        <v>550</v>
      </c>
      <c r="C1451" s="5" t="s">
        <v>17</v>
      </c>
      <c r="D1451" s="5" t="s">
        <v>199</v>
      </c>
      <c r="E1451" s="5" t="s">
        <v>198</v>
      </c>
      <c r="F1451" s="5" t="s">
        <v>551</v>
      </c>
      <c r="G1451" s="22">
        <v>671.81</v>
      </c>
      <c r="H1451" s="22">
        <v>0</v>
      </c>
      <c r="I1451" s="22">
        <v>0</v>
      </c>
      <c r="J1451" s="22">
        <v>0</v>
      </c>
      <c r="K1451" s="22">
        <v>-13.44</v>
      </c>
      <c r="L1451" s="22">
        <v>658.37</v>
      </c>
      <c r="M1451" s="10"/>
      <c r="O1451" s="11"/>
    </row>
    <row r="1452" spans="1:15" s="4" customFormat="1" x14ac:dyDescent="0.25">
      <c r="A1452" s="6">
        <v>718</v>
      </c>
      <c r="B1452" s="5" t="s">
        <v>550</v>
      </c>
      <c r="C1452" s="5" t="s">
        <v>13</v>
      </c>
      <c r="D1452" s="5" t="s">
        <v>199</v>
      </c>
      <c r="E1452" s="5" t="s">
        <v>198</v>
      </c>
      <c r="F1452" s="5" t="s">
        <v>551</v>
      </c>
      <c r="G1452" s="22">
        <v>0</v>
      </c>
      <c r="H1452" s="22">
        <v>0</v>
      </c>
      <c r="I1452" s="22">
        <v>0</v>
      </c>
      <c r="J1452" s="22">
        <v>607.16999999999996</v>
      </c>
      <c r="K1452" s="22">
        <v>0</v>
      </c>
      <c r="L1452" s="22">
        <v>607.16999999999996</v>
      </c>
      <c r="M1452" s="10"/>
      <c r="N1452" s="67"/>
      <c r="O1452" s="11"/>
    </row>
    <row r="1453" spans="1:15" s="4" customFormat="1" x14ac:dyDescent="0.25">
      <c r="A1453" s="6">
        <v>719</v>
      </c>
      <c r="B1453" s="5" t="s">
        <v>550</v>
      </c>
      <c r="C1453" s="5" t="s">
        <v>13</v>
      </c>
      <c r="D1453" s="5" t="s">
        <v>199</v>
      </c>
      <c r="E1453" s="5" t="s">
        <v>198</v>
      </c>
      <c r="F1453" s="5" t="s">
        <v>551</v>
      </c>
      <c r="G1453" s="22">
        <v>0</v>
      </c>
      <c r="H1453" s="22">
        <v>0</v>
      </c>
      <c r="I1453" s="22">
        <v>0</v>
      </c>
      <c r="J1453" s="22">
        <v>80.62</v>
      </c>
      <c r="K1453" s="22">
        <v>0</v>
      </c>
      <c r="L1453" s="22">
        <v>80.62</v>
      </c>
      <c r="M1453" s="10"/>
      <c r="N1453" s="67"/>
      <c r="O1453" s="11"/>
    </row>
    <row r="1454" spans="1:15" x14ac:dyDescent="0.25">
      <c r="A1454" s="6"/>
      <c r="B1454" s="5"/>
      <c r="C1454" s="5"/>
      <c r="D1454" s="5" t="s">
        <v>199</v>
      </c>
      <c r="E1454" s="5" t="s">
        <v>198</v>
      </c>
      <c r="F1454" s="5" t="s">
        <v>551</v>
      </c>
      <c r="G1454" s="14">
        <f>SUBTOTAL(9,G1446:G1453)</f>
        <v>5797.0300000000007</v>
      </c>
      <c r="H1454" s="14">
        <f t="shared" ref="H1454:L1454" si="365">SUBTOTAL(9,H1446:H1453)</f>
        <v>0</v>
      </c>
      <c r="I1454" s="14">
        <f t="shared" si="365"/>
        <v>548136.63</v>
      </c>
      <c r="J1454" s="14">
        <f t="shared" si="365"/>
        <v>695.65</v>
      </c>
      <c r="K1454" s="14">
        <f t="shared" si="365"/>
        <v>-11078.680000000002</v>
      </c>
      <c r="L1454" s="14">
        <f t="shared" si="365"/>
        <v>543550.63</v>
      </c>
      <c r="M1454" s="10">
        <v>2473</v>
      </c>
      <c r="N1454" s="69"/>
      <c r="O1454" s="11">
        <f>O1444+1</f>
        <v>355</v>
      </c>
    </row>
    <row r="1455" spans="1:15" x14ac:dyDescent="0.25">
      <c r="A1455" s="10"/>
      <c r="G1455" s="21"/>
      <c r="H1455" s="21"/>
      <c r="I1455" s="21"/>
      <c r="J1455" s="21"/>
      <c r="K1455" s="21"/>
      <c r="L1455" s="21"/>
      <c r="M1455" s="10"/>
      <c r="O1455" s="11"/>
    </row>
    <row r="1456" spans="1:15" s="4" customFormat="1" x14ac:dyDescent="0.25">
      <c r="A1456" s="6">
        <v>707</v>
      </c>
      <c r="B1456" s="5" t="s">
        <v>550</v>
      </c>
      <c r="C1456" s="5" t="s">
        <v>17</v>
      </c>
      <c r="D1456" s="5" t="s">
        <v>197</v>
      </c>
      <c r="E1456" s="5" t="s">
        <v>198</v>
      </c>
      <c r="F1456" s="5" t="s">
        <v>552</v>
      </c>
      <c r="G1456" s="22">
        <v>0</v>
      </c>
      <c r="H1456" s="22">
        <v>0</v>
      </c>
      <c r="I1456" s="22">
        <v>39.42</v>
      </c>
      <c r="J1456" s="22">
        <v>0</v>
      </c>
      <c r="K1456" s="22">
        <v>-0.79</v>
      </c>
      <c r="L1456" s="22">
        <v>38.630000000000003</v>
      </c>
      <c r="M1456" s="10"/>
      <c r="N1456" s="67"/>
      <c r="O1456" s="11"/>
    </row>
    <row r="1457" spans="1:15" s="4" customFormat="1" x14ac:dyDescent="0.25">
      <c r="A1457" s="6">
        <v>709</v>
      </c>
      <c r="B1457" s="5" t="s">
        <v>550</v>
      </c>
      <c r="C1457" s="5" t="s">
        <v>17</v>
      </c>
      <c r="D1457" s="5" t="s">
        <v>598</v>
      </c>
      <c r="E1457" s="5" t="s">
        <v>599</v>
      </c>
      <c r="F1457" s="5" t="s">
        <v>552</v>
      </c>
      <c r="G1457" s="22">
        <v>0</v>
      </c>
      <c r="H1457" s="22">
        <v>0</v>
      </c>
      <c r="I1457" s="22">
        <v>0.01</v>
      </c>
      <c r="J1457" s="22">
        <v>0</v>
      </c>
      <c r="K1457" s="22">
        <v>0</v>
      </c>
      <c r="L1457" s="22">
        <v>0.01</v>
      </c>
      <c r="M1457" s="10"/>
      <c r="N1457" s="67"/>
      <c r="O1457" s="11"/>
    </row>
    <row r="1458" spans="1:15" x14ac:dyDescent="0.25">
      <c r="A1458" s="6">
        <v>720</v>
      </c>
      <c r="B1458" s="5" t="s">
        <v>550</v>
      </c>
      <c r="C1458" s="5" t="s">
        <v>17</v>
      </c>
      <c r="D1458" s="5" t="s">
        <v>199</v>
      </c>
      <c r="E1458" s="5" t="s">
        <v>198</v>
      </c>
      <c r="F1458" s="5" t="s">
        <v>552</v>
      </c>
      <c r="G1458" s="22">
        <v>0.36</v>
      </c>
      <c r="H1458" s="22">
        <v>0</v>
      </c>
      <c r="I1458" s="22">
        <v>0</v>
      </c>
      <c r="J1458" s="22">
        <v>0</v>
      </c>
      <c r="K1458" s="22">
        <v>-0.01</v>
      </c>
      <c r="L1458" s="22">
        <v>0.35</v>
      </c>
      <c r="M1458" s="10"/>
      <c r="O1458" s="11"/>
    </row>
    <row r="1459" spans="1:15" x14ac:dyDescent="0.25">
      <c r="A1459" s="6">
        <v>721</v>
      </c>
      <c r="B1459" s="5" t="s">
        <v>550</v>
      </c>
      <c r="C1459" s="5" t="s">
        <v>17</v>
      </c>
      <c r="D1459" s="5" t="s">
        <v>199</v>
      </c>
      <c r="E1459" s="5" t="s">
        <v>198</v>
      </c>
      <c r="F1459" s="5" t="s">
        <v>552</v>
      </c>
      <c r="G1459" s="22">
        <v>0.05</v>
      </c>
      <c r="H1459" s="22">
        <v>0</v>
      </c>
      <c r="I1459" s="22">
        <v>0</v>
      </c>
      <c r="J1459" s="22">
        <v>0</v>
      </c>
      <c r="K1459" s="22">
        <v>0</v>
      </c>
      <c r="L1459" s="22">
        <v>0.05</v>
      </c>
      <c r="M1459" s="10"/>
      <c r="O1459" s="11"/>
    </row>
    <row r="1460" spans="1:15" s="4" customFormat="1" x14ac:dyDescent="0.25">
      <c r="A1460" s="6">
        <v>722</v>
      </c>
      <c r="B1460" s="5" t="s">
        <v>550</v>
      </c>
      <c r="C1460" s="5" t="s">
        <v>13</v>
      </c>
      <c r="D1460" s="5" t="s">
        <v>199</v>
      </c>
      <c r="E1460" s="5" t="s">
        <v>198</v>
      </c>
      <c r="F1460" s="5" t="s">
        <v>552</v>
      </c>
      <c r="G1460" s="22">
        <v>0</v>
      </c>
      <c r="H1460" s="22">
        <v>0</v>
      </c>
      <c r="I1460" s="22">
        <v>0</v>
      </c>
      <c r="J1460" s="22">
        <v>0.04</v>
      </c>
      <c r="K1460" s="22">
        <v>0</v>
      </c>
      <c r="L1460" s="22">
        <v>0.04</v>
      </c>
      <c r="M1460" s="10"/>
      <c r="N1460" s="67"/>
      <c r="O1460" s="11"/>
    </row>
    <row r="1461" spans="1:15" s="4" customFormat="1" x14ac:dyDescent="0.25">
      <c r="A1461" s="6">
        <v>723</v>
      </c>
      <c r="B1461" s="5" t="s">
        <v>550</v>
      </c>
      <c r="C1461" s="5" t="s">
        <v>13</v>
      </c>
      <c r="D1461" s="5" t="s">
        <v>199</v>
      </c>
      <c r="E1461" s="5" t="s">
        <v>198</v>
      </c>
      <c r="F1461" s="5" t="s">
        <v>552</v>
      </c>
      <c r="G1461" s="22">
        <v>0</v>
      </c>
      <c r="H1461" s="22">
        <v>0</v>
      </c>
      <c r="I1461" s="22">
        <v>0</v>
      </c>
      <c r="J1461" s="22">
        <v>0.01</v>
      </c>
      <c r="K1461" s="22">
        <v>0</v>
      </c>
      <c r="L1461" s="22">
        <v>0.01</v>
      </c>
      <c r="M1461" s="10"/>
      <c r="N1461" s="67"/>
      <c r="O1461" s="11"/>
    </row>
    <row r="1462" spans="1:15" x14ac:dyDescent="0.25">
      <c r="A1462" s="6"/>
      <c r="B1462" s="5"/>
      <c r="C1462" s="5"/>
      <c r="D1462" s="5" t="s">
        <v>199</v>
      </c>
      <c r="E1462" s="5" t="s">
        <v>198</v>
      </c>
      <c r="F1462" s="5" t="s">
        <v>552</v>
      </c>
      <c r="G1462" s="14">
        <f>SUBTOTAL(9,G1456:G1461)</f>
        <v>0.41</v>
      </c>
      <c r="H1462" s="14">
        <f t="shared" ref="H1462:L1462" si="366">SUBTOTAL(9,H1456:H1461)</f>
        <v>0</v>
      </c>
      <c r="I1462" s="14">
        <f t="shared" si="366"/>
        <v>39.43</v>
      </c>
      <c r="J1462" s="14">
        <f t="shared" si="366"/>
        <v>0.05</v>
      </c>
      <c r="K1462" s="14">
        <f t="shared" si="366"/>
        <v>-0.8</v>
      </c>
      <c r="L1462" s="14">
        <f t="shared" si="366"/>
        <v>39.089999999999996</v>
      </c>
      <c r="M1462" s="10">
        <v>2474</v>
      </c>
      <c r="N1462" s="69"/>
      <c r="O1462" s="11">
        <f>O1454+1</f>
        <v>356</v>
      </c>
    </row>
    <row r="1463" spans="1:15" x14ac:dyDescent="0.25">
      <c r="A1463" s="10"/>
      <c r="G1463" s="21"/>
      <c r="H1463" s="21"/>
      <c r="I1463" s="21"/>
      <c r="J1463" s="21"/>
      <c r="K1463" s="21"/>
      <c r="L1463" s="21"/>
      <c r="M1463" s="10"/>
      <c r="O1463" s="11"/>
    </row>
    <row r="1464" spans="1:15" s="4" customFormat="1" x14ac:dyDescent="0.25">
      <c r="A1464" s="6">
        <v>724</v>
      </c>
      <c r="B1464" s="5" t="s">
        <v>555</v>
      </c>
      <c r="C1464" s="5" t="s">
        <v>17</v>
      </c>
      <c r="D1464" s="5" t="s">
        <v>200</v>
      </c>
      <c r="E1464" s="5" t="s">
        <v>201</v>
      </c>
      <c r="F1464" s="5" t="s">
        <v>556</v>
      </c>
      <c r="G1464" s="22">
        <v>684.61</v>
      </c>
      <c r="H1464" s="22">
        <v>0</v>
      </c>
      <c r="I1464" s="22">
        <v>0</v>
      </c>
      <c r="J1464" s="22">
        <v>0</v>
      </c>
      <c r="K1464" s="22">
        <v>-13.69</v>
      </c>
      <c r="L1464" s="22">
        <v>670.92</v>
      </c>
      <c r="M1464" s="10"/>
      <c r="N1464" s="67"/>
      <c r="O1464" s="11"/>
    </row>
    <row r="1465" spans="1:15" x14ac:dyDescent="0.25">
      <c r="A1465" s="6">
        <v>725</v>
      </c>
      <c r="B1465" s="5" t="s">
        <v>555</v>
      </c>
      <c r="C1465" s="5" t="s">
        <v>13</v>
      </c>
      <c r="D1465" s="5" t="s">
        <v>200</v>
      </c>
      <c r="E1465" s="5" t="s">
        <v>201</v>
      </c>
      <c r="F1465" s="5" t="s">
        <v>556</v>
      </c>
      <c r="G1465" s="22">
        <v>0</v>
      </c>
      <c r="H1465" s="22">
        <v>0</v>
      </c>
      <c r="I1465" s="22">
        <v>0</v>
      </c>
      <c r="J1465" s="22">
        <v>82.15</v>
      </c>
      <c r="K1465" s="22">
        <v>0</v>
      </c>
      <c r="L1465" s="22">
        <v>82.15</v>
      </c>
      <c r="M1465" s="10"/>
      <c r="O1465" s="11"/>
    </row>
    <row r="1466" spans="1:15" x14ac:dyDescent="0.25">
      <c r="A1466" s="6"/>
      <c r="B1466" s="5"/>
      <c r="C1466" s="5"/>
      <c r="D1466" s="5" t="s">
        <v>200</v>
      </c>
      <c r="E1466" s="5" t="s">
        <v>201</v>
      </c>
      <c r="F1466" s="5" t="s">
        <v>556</v>
      </c>
      <c r="G1466" s="14">
        <f t="shared" ref="G1466:L1466" si="367">SUBTOTAL(9,G1464:G1465)</f>
        <v>684.61</v>
      </c>
      <c r="H1466" s="14">
        <f t="shared" si="367"/>
        <v>0</v>
      </c>
      <c r="I1466" s="14">
        <f t="shared" si="367"/>
        <v>0</v>
      </c>
      <c r="J1466" s="14">
        <f t="shared" si="367"/>
        <v>82.15</v>
      </c>
      <c r="K1466" s="14">
        <f t="shared" si="367"/>
        <v>-13.69</v>
      </c>
      <c r="L1466" s="14">
        <f t="shared" si="367"/>
        <v>753.06999999999994</v>
      </c>
      <c r="M1466" s="10">
        <v>2475</v>
      </c>
      <c r="N1466" s="69"/>
      <c r="O1466" s="11">
        <f>O1462+1</f>
        <v>357</v>
      </c>
    </row>
    <row r="1467" spans="1:15" s="4" customFormat="1" x14ac:dyDescent="0.25">
      <c r="A1467" s="10"/>
      <c r="B1467"/>
      <c r="C1467"/>
      <c r="D1467"/>
      <c r="E1467"/>
      <c r="F1467"/>
      <c r="G1467" s="21"/>
      <c r="H1467" s="21"/>
      <c r="I1467" s="21"/>
      <c r="J1467" s="21"/>
      <c r="K1467" s="21"/>
      <c r="L1467" s="21"/>
      <c r="M1467" s="10"/>
      <c r="N1467" s="67"/>
      <c r="O1467" s="11"/>
    </row>
    <row r="1468" spans="1:15" x14ac:dyDescent="0.25">
      <c r="A1468" s="6">
        <v>726</v>
      </c>
      <c r="B1468" s="5" t="s">
        <v>557</v>
      </c>
      <c r="C1468" s="5" t="s">
        <v>17</v>
      </c>
      <c r="D1468" s="5" t="s">
        <v>200</v>
      </c>
      <c r="E1468" s="5" t="s">
        <v>201</v>
      </c>
      <c r="F1468" s="5" t="s">
        <v>558</v>
      </c>
      <c r="G1468" s="22">
        <v>479.12</v>
      </c>
      <c r="H1468" s="22">
        <v>0</v>
      </c>
      <c r="I1468" s="22">
        <v>0</v>
      </c>
      <c r="J1468" s="22">
        <v>0</v>
      </c>
      <c r="K1468" s="22">
        <v>-9.58</v>
      </c>
      <c r="L1468" s="22">
        <v>469.54</v>
      </c>
      <c r="M1468" s="10"/>
      <c r="O1468" s="11"/>
    </row>
    <row r="1469" spans="1:15" x14ac:dyDescent="0.25">
      <c r="A1469" s="6">
        <v>727</v>
      </c>
      <c r="B1469" s="5" t="s">
        <v>557</v>
      </c>
      <c r="C1469" s="5" t="s">
        <v>13</v>
      </c>
      <c r="D1469" s="5" t="s">
        <v>200</v>
      </c>
      <c r="E1469" s="5" t="s">
        <v>201</v>
      </c>
      <c r="F1469" s="5" t="s">
        <v>558</v>
      </c>
      <c r="G1469" s="22">
        <v>0</v>
      </c>
      <c r="H1469" s="22">
        <v>0</v>
      </c>
      <c r="I1469" s="22">
        <v>0</v>
      </c>
      <c r="J1469" s="22">
        <v>57.49</v>
      </c>
      <c r="K1469" s="22">
        <v>0</v>
      </c>
      <c r="L1469" s="22">
        <v>57.49</v>
      </c>
      <c r="M1469" s="10"/>
      <c r="O1469" s="11"/>
    </row>
    <row r="1470" spans="1:15" s="4" customFormat="1" x14ac:dyDescent="0.25">
      <c r="A1470" s="6"/>
      <c r="B1470" s="5"/>
      <c r="C1470" s="5"/>
      <c r="D1470" s="5" t="s">
        <v>200</v>
      </c>
      <c r="E1470" s="5" t="s">
        <v>201</v>
      </c>
      <c r="F1470" s="5" t="s">
        <v>558</v>
      </c>
      <c r="G1470" s="14">
        <f t="shared" ref="G1470:L1470" si="368">SUBTOTAL(9,G1468:G1469)</f>
        <v>479.12</v>
      </c>
      <c r="H1470" s="14">
        <f t="shared" si="368"/>
        <v>0</v>
      </c>
      <c r="I1470" s="14">
        <f t="shared" si="368"/>
        <v>0</v>
      </c>
      <c r="J1470" s="14">
        <f t="shared" si="368"/>
        <v>57.49</v>
      </c>
      <c r="K1470" s="14">
        <f t="shared" si="368"/>
        <v>-9.58</v>
      </c>
      <c r="L1470" s="14">
        <f t="shared" si="368"/>
        <v>527.03</v>
      </c>
      <c r="M1470" s="10">
        <v>2476</v>
      </c>
      <c r="N1470" s="69"/>
      <c r="O1470" s="11">
        <f>O1466+1</f>
        <v>358</v>
      </c>
    </row>
    <row r="1471" spans="1:15" s="4" customFormat="1" x14ac:dyDescent="0.25">
      <c r="A1471" s="10"/>
      <c r="B1471"/>
      <c r="C1471"/>
      <c r="D1471"/>
      <c r="E1471"/>
      <c r="F1471"/>
      <c r="G1471" s="21"/>
      <c r="H1471" s="21"/>
      <c r="I1471" s="21"/>
      <c r="J1471" s="21"/>
      <c r="K1471" s="21"/>
      <c r="L1471" s="21"/>
      <c r="M1471" s="10"/>
      <c r="N1471" s="67"/>
      <c r="O1471" s="11"/>
    </row>
    <row r="1472" spans="1:15" x14ac:dyDescent="0.25">
      <c r="A1472" s="6">
        <v>728</v>
      </c>
      <c r="B1472" s="5" t="s">
        <v>18</v>
      </c>
      <c r="C1472" s="5" t="s">
        <v>17</v>
      </c>
      <c r="D1472" s="5" t="s">
        <v>200</v>
      </c>
      <c r="E1472" s="5" t="s">
        <v>201</v>
      </c>
      <c r="F1472" s="5" t="s">
        <v>19</v>
      </c>
      <c r="G1472" s="22">
        <v>11.92</v>
      </c>
      <c r="H1472" s="22">
        <v>0</v>
      </c>
      <c r="I1472" s="22">
        <v>0</v>
      </c>
      <c r="J1472" s="22">
        <v>0</v>
      </c>
      <c r="K1472" s="22">
        <v>-10.58</v>
      </c>
      <c r="L1472" s="22">
        <v>1.34</v>
      </c>
      <c r="M1472" s="10"/>
      <c r="O1472" s="11"/>
    </row>
    <row r="1473" spans="1:15" x14ac:dyDescent="0.25">
      <c r="A1473" s="6"/>
      <c r="B1473" s="5"/>
      <c r="C1473" s="5"/>
      <c r="D1473" s="5" t="s">
        <v>200</v>
      </c>
      <c r="E1473" s="5" t="s">
        <v>201</v>
      </c>
      <c r="F1473" s="5" t="s">
        <v>19</v>
      </c>
      <c r="G1473" s="14">
        <f t="shared" ref="G1473:L1473" si="369">SUBTOTAL(9,G1472:G1472)</f>
        <v>11.92</v>
      </c>
      <c r="H1473" s="14">
        <f t="shared" si="369"/>
        <v>0</v>
      </c>
      <c r="I1473" s="14">
        <f t="shared" si="369"/>
        <v>0</v>
      </c>
      <c r="J1473" s="14">
        <f t="shared" si="369"/>
        <v>0</v>
      </c>
      <c r="K1473" s="14">
        <f t="shared" si="369"/>
        <v>-10.58</v>
      </c>
      <c r="L1473" s="14">
        <f t="shared" si="369"/>
        <v>1.34</v>
      </c>
      <c r="M1473" s="10">
        <v>2477</v>
      </c>
      <c r="N1473" s="69"/>
      <c r="O1473" s="11">
        <f>O1470+1</f>
        <v>359</v>
      </c>
    </row>
    <row r="1474" spans="1:15" s="4" customFormat="1" x14ac:dyDescent="0.25">
      <c r="A1474" s="10"/>
      <c r="B1474"/>
      <c r="C1474"/>
      <c r="D1474"/>
      <c r="E1474"/>
      <c r="F1474"/>
      <c r="G1474" s="21"/>
      <c r="H1474" s="21"/>
      <c r="I1474" s="21"/>
      <c r="J1474" s="21"/>
      <c r="K1474" s="21"/>
      <c r="L1474" s="21"/>
      <c r="M1474" s="10"/>
      <c r="N1474" s="67"/>
      <c r="O1474" s="11"/>
    </row>
    <row r="1475" spans="1:15" s="4" customFormat="1" x14ac:dyDescent="0.25">
      <c r="A1475" s="6">
        <v>729</v>
      </c>
      <c r="B1475" s="5" t="s">
        <v>550</v>
      </c>
      <c r="C1475" s="5" t="s">
        <v>17</v>
      </c>
      <c r="D1475" s="5" t="s">
        <v>200</v>
      </c>
      <c r="E1475" s="5" t="s">
        <v>201</v>
      </c>
      <c r="F1475" s="5" t="s">
        <v>551</v>
      </c>
      <c r="G1475" s="22">
        <v>36303.089999999997</v>
      </c>
      <c r="H1475" s="22">
        <v>0</v>
      </c>
      <c r="I1475" s="22">
        <v>0</v>
      </c>
      <c r="J1475" s="22">
        <v>0</v>
      </c>
      <c r="K1475" s="22">
        <v>-726.06</v>
      </c>
      <c r="L1475" s="22">
        <v>35577.03</v>
      </c>
      <c r="M1475" s="10"/>
      <c r="N1475" s="67"/>
      <c r="O1475" s="11"/>
    </row>
    <row r="1476" spans="1:15" x14ac:dyDescent="0.25">
      <c r="A1476" s="6">
        <v>730</v>
      </c>
      <c r="B1476" s="5" t="s">
        <v>550</v>
      </c>
      <c r="C1476" s="5" t="s">
        <v>13</v>
      </c>
      <c r="D1476" s="5" t="s">
        <v>200</v>
      </c>
      <c r="E1476" s="5" t="s">
        <v>201</v>
      </c>
      <c r="F1476" s="5" t="s">
        <v>551</v>
      </c>
      <c r="G1476" s="22">
        <v>0</v>
      </c>
      <c r="H1476" s="22">
        <v>0</v>
      </c>
      <c r="I1476" s="22">
        <v>0</v>
      </c>
      <c r="J1476" s="22">
        <v>4356.37</v>
      </c>
      <c r="K1476" s="22">
        <v>0</v>
      </c>
      <c r="L1476" s="22">
        <v>4356.37</v>
      </c>
      <c r="M1476" s="10"/>
      <c r="O1476" s="11"/>
    </row>
    <row r="1477" spans="1:15" x14ac:dyDescent="0.25">
      <c r="A1477" s="6"/>
      <c r="B1477" s="5"/>
      <c r="C1477" s="5"/>
      <c r="D1477" s="5" t="s">
        <v>200</v>
      </c>
      <c r="E1477" s="5" t="s">
        <v>201</v>
      </c>
      <c r="F1477" s="5" t="s">
        <v>551</v>
      </c>
      <c r="G1477" s="14">
        <f t="shared" ref="G1477:L1477" si="370">SUBTOTAL(9,G1475:G1476)</f>
        <v>36303.089999999997</v>
      </c>
      <c r="H1477" s="14">
        <f t="shared" si="370"/>
        <v>0</v>
      </c>
      <c r="I1477" s="14">
        <f t="shared" si="370"/>
        <v>0</v>
      </c>
      <c r="J1477" s="14">
        <f t="shared" si="370"/>
        <v>4356.37</v>
      </c>
      <c r="K1477" s="14">
        <f t="shared" si="370"/>
        <v>-726.06</v>
      </c>
      <c r="L1477" s="14">
        <f t="shared" si="370"/>
        <v>39933.4</v>
      </c>
      <c r="M1477" s="10">
        <v>2478</v>
      </c>
      <c r="N1477" s="69"/>
      <c r="O1477" s="11">
        <f>O1473+1</f>
        <v>360</v>
      </c>
    </row>
    <row r="1478" spans="1:15" s="4" customFormat="1" x14ac:dyDescent="0.25">
      <c r="A1478" s="10"/>
      <c r="B1478"/>
      <c r="C1478"/>
      <c r="D1478"/>
      <c r="E1478"/>
      <c r="F1478"/>
      <c r="G1478" s="21"/>
      <c r="H1478" s="21"/>
      <c r="I1478" s="21"/>
      <c r="J1478" s="21"/>
      <c r="K1478" s="21"/>
      <c r="L1478" s="21"/>
      <c r="M1478" s="10"/>
      <c r="N1478" s="67"/>
      <c r="O1478" s="11"/>
    </row>
    <row r="1479" spans="1:15" s="4" customFormat="1" x14ac:dyDescent="0.25">
      <c r="A1479" s="6">
        <v>731</v>
      </c>
      <c r="B1479" s="5" t="s">
        <v>550</v>
      </c>
      <c r="C1479" s="5" t="s">
        <v>17</v>
      </c>
      <c r="D1479" s="5" t="s">
        <v>200</v>
      </c>
      <c r="E1479" s="5" t="s">
        <v>201</v>
      </c>
      <c r="F1479" s="5" t="s">
        <v>552</v>
      </c>
      <c r="G1479" s="22">
        <v>2.61</v>
      </c>
      <c r="H1479" s="22">
        <v>0</v>
      </c>
      <c r="I1479" s="22">
        <v>0</v>
      </c>
      <c r="J1479" s="22">
        <v>0</v>
      </c>
      <c r="K1479" s="22">
        <v>-0.05</v>
      </c>
      <c r="L1479" s="22">
        <v>2.56</v>
      </c>
      <c r="M1479" s="10"/>
      <c r="N1479" s="67"/>
      <c r="O1479" s="11"/>
    </row>
    <row r="1480" spans="1:15" x14ac:dyDescent="0.25">
      <c r="A1480" s="6">
        <v>732</v>
      </c>
      <c r="B1480" s="5" t="s">
        <v>550</v>
      </c>
      <c r="C1480" s="5" t="s">
        <v>13</v>
      </c>
      <c r="D1480" s="5" t="s">
        <v>200</v>
      </c>
      <c r="E1480" s="5" t="s">
        <v>201</v>
      </c>
      <c r="F1480" s="5" t="s">
        <v>552</v>
      </c>
      <c r="G1480" s="22">
        <v>0</v>
      </c>
      <c r="H1480" s="22">
        <v>0</v>
      </c>
      <c r="I1480" s="22">
        <v>0</v>
      </c>
      <c r="J1480" s="22">
        <v>0.31</v>
      </c>
      <c r="K1480" s="22">
        <v>0</v>
      </c>
      <c r="L1480" s="22">
        <v>0.31</v>
      </c>
      <c r="M1480" s="10"/>
      <c r="O1480" s="11"/>
    </row>
    <row r="1481" spans="1:15" x14ac:dyDescent="0.25">
      <c r="A1481" s="6"/>
      <c r="B1481" s="5"/>
      <c r="C1481" s="5"/>
      <c r="D1481" s="5" t="s">
        <v>200</v>
      </c>
      <c r="E1481" s="5" t="s">
        <v>201</v>
      </c>
      <c r="F1481" s="5" t="s">
        <v>552</v>
      </c>
      <c r="G1481" s="14">
        <f t="shared" ref="G1481:L1481" si="371">SUBTOTAL(9,G1479:G1480)</f>
        <v>2.61</v>
      </c>
      <c r="H1481" s="14">
        <f t="shared" si="371"/>
        <v>0</v>
      </c>
      <c r="I1481" s="14">
        <f t="shared" si="371"/>
        <v>0</v>
      </c>
      <c r="J1481" s="14">
        <f t="shared" si="371"/>
        <v>0.31</v>
      </c>
      <c r="K1481" s="14">
        <f t="shared" si="371"/>
        <v>-0.05</v>
      </c>
      <c r="L1481" s="14">
        <f t="shared" si="371"/>
        <v>2.87</v>
      </c>
      <c r="M1481" s="10">
        <v>2479</v>
      </c>
      <c r="N1481" s="69"/>
      <c r="O1481" s="11">
        <f>O1477+1</f>
        <v>361</v>
      </c>
    </row>
    <row r="1482" spans="1:15" s="4" customFormat="1" x14ac:dyDescent="0.25">
      <c r="A1482" s="10"/>
      <c r="B1482"/>
      <c r="C1482"/>
      <c r="D1482"/>
      <c r="E1482"/>
      <c r="F1482"/>
      <c r="G1482" s="21"/>
      <c r="H1482" s="21"/>
      <c r="I1482" s="21"/>
      <c r="J1482" s="21"/>
      <c r="K1482" s="21"/>
      <c r="L1482" s="21"/>
      <c r="M1482" s="10"/>
      <c r="N1482" s="67"/>
      <c r="O1482" s="11"/>
    </row>
    <row r="1483" spans="1:15" x14ac:dyDescent="0.25">
      <c r="A1483" s="6">
        <v>733</v>
      </c>
      <c r="B1483" s="5" t="s">
        <v>550</v>
      </c>
      <c r="C1483" s="5" t="s">
        <v>17</v>
      </c>
      <c r="D1483" s="5" t="s">
        <v>600</v>
      </c>
      <c r="E1483" s="5" t="s">
        <v>601</v>
      </c>
      <c r="F1483" s="5" t="s">
        <v>551</v>
      </c>
      <c r="G1483" s="22">
        <v>0</v>
      </c>
      <c r="H1483" s="22">
        <v>0</v>
      </c>
      <c r="I1483" s="22">
        <v>15.13</v>
      </c>
      <c r="J1483" s="22">
        <v>0</v>
      </c>
      <c r="K1483" s="22">
        <v>-0.3</v>
      </c>
      <c r="L1483" s="22">
        <v>14.83</v>
      </c>
      <c r="M1483" s="10"/>
      <c r="O1483" s="11"/>
    </row>
    <row r="1484" spans="1:15" x14ac:dyDescent="0.25">
      <c r="A1484" s="6"/>
      <c r="B1484" s="5"/>
      <c r="C1484" s="5"/>
      <c r="D1484" s="5" t="s">
        <v>202</v>
      </c>
      <c r="E1484" s="5" t="s">
        <v>601</v>
      </c>
      <c r="F1484" s="5" t="s">
        <v>551</v>
      </c>
      <c r="G1484" s="14">
        <f t="shared" ref="G1484:L1484" si="372">SUBTOTAL(9,G1483:G1483)</f>
        <v>0</v>
      </c>
      <c r="H1484" s="14">
        <f t="shared" si="372"/>
        <v>0</v>
      </c>
      <c r="I1484" s="14">
        <f t="shared" si="372"/>
        <v>15.13</v>
      </c>
      <c r="J1484" s="14">
        <f t="shared" si="372"/>
        <v>0</v>
      </c>
      <c r="K1484" s="14">
        <f t="shared" si="372"/>
        <v>-0.3</v>
      </c>
      <c r="L1484" s="14">
        <f t="shared" si="372"/>
        <v>14.83</v>
      </c>
      <c r="M1484" s="10">
        <v>2480</v>
      </c>
      <c r="N1484" s="69"/>
      <c r="O1484" s="11">
        <f>O1481+1</f>
        <v>362</v>
      </c>
    </row>
    <row r="1485" spans="1:15" s="4" customFormat="1" x14ac:dyDescent="0.25">
      <c r="A1485" s="10"/>
      <c r="B1485"/>
      <c r="C1485"/>
      <c r="D1485"/>
      <c r="E1485"/>
      <c r="F1485"/>
      <c r="G1485" s="21"/>
      <c r="H1485" s="21"/>
      <c r="I1485" s="21"/>
      <c r="J1485" s="21"/>
      <c r="K1485" s="21"/>
      <c r="L1485" s="21"/>
      <c r="M1485" s="10"/>
      <c r="N1485" s="67"/>
      <c r="O1485" s="11"/>
    </row>
    <row r="1486" spans="1:15" x14ac:dyDescent="0.25">
      <c r="A1486" s="6">
        <v>734</v>
      </c>
      <c r="B1486" s="5" t="s">
        <v>18</v>
      </c>
      <c r="C1486" s="5" t="s">
        <v>17</v>
      </c>
      <c r="D1486" s="5" t="s">
        <v>203</v>
      </c>
      <c r="E1486" s="5" t="s">
        <v>204</v>
      </c>
      <c r="F1486" s="5" t="s">
        <v>19</v>
      </c>
      <c r="G1486" s="22">
        <v>0</v>
      </c>
      <c r="H1486" s="22">
        <v>0</v>
      </c>
      <c r="I1486" s="22">
        <v>0.25</v>
      </c>
      <c r="J1486" s="22">
        <v>0</v>
      </c>
      <c r="K1486" s="22">
        <v>-0.03</v>
      </c>
      <c r="L1486" s="22">
        <v>0.22</v>
      </c>
      <c r="M1486" s="10"/>
      <c r="O1486" s="11"/>
    </row>
    <row r="1487" spans="1:15" x14ac:dyDescent="0.25">
      <c r="A1487" s="6">
        <v>735</v>
      </c>
      <c r="B1487" s="5" t="s">
        <v>18</v>
      </c>
      <c r="C1487" s="5" t="s">
        <v>17</v>
      </c>
      <c r="D1487" s="5" t="s">
        <v>203</v>
      </c>
      <c r="E1487" s="5" t="s">
        <v>204</v>
      </c>
      <c r="F1487" s="5" t="s">
        <v>19</v>
      </c>
      <c r="G1487" s="22">
        <v>0</v>
      </c>
      <c r="H1487" s="22">
        <v>0</v>
      </c>
      <c r="I1487" s="22">
        <v>0.02</v>
      </c>
      <c r="J1487" s="22">
        <v>0</v>
      </c>
      <c r="K1487" s="22">
        <v>0</v>
      </c>
      <c r="L1487" s="22">
        <v>0.02</v>
      </c>
      <c r="M1487" s="10"/>
      <c r="O1487" s="11"/>
    </row>
    <row r="1488" spans="1:15" s="4" customFormat="1" x14ac:dyDescent="0.25">
      <c r="A1488" s="6">
        <v>736</v>
      </c>
      <c r="B1488" s="5" t="s">
        <v>18</v>
      </c>
      <c r="C1488" s="5" t="s">
        <v>17</v>
      </c>
      <c r="D1488" s="5" t="s">
        <v>203</v>
      </c>
      <c r="E1488" s="5" t="s">
        <v>204</v>
      </c>
      <c r="F1488" s="5" t="s">
        <v>19</v>
      </c>
      <c r="G1488" s="22">
        <v>0</v>
      </c>
      <c r="H1488" s="22">
        <v>0</v>
      </c>
      <c r="I1488" s="22">
        <v>0.06</v>
      </c>
      <c r="J1488" s="22">
        <v>0</v>
      </c>
      <c r="K1488" s="22">
        <v>0</v>
      </c>
      <c r="L1488" s="22">
        <v>0.06</v>
      </c>
      <c r="M1488" s="10"/>
      <c r="N1488" s="67"/>
      <c r="O1488" s="11"/>
    </row>
    <row r="1489" spans="1:15" s="4" customFormat="1" x14ac:dyDescent="0.25">
      <c r="A1489" s="6"/>
      <c r="B1489" s="5"/>
      <c r="C1489" s="5"/>
      <c r="D1489" s="5" t="s">
        <v>203</v>
      </c>
      <c r="E1489" s="5" t="s">
        <v>204</v>
      </c>
      <c r="F1489" s="5" t="s">
        <v>19</v>
      </c>
      <c r="G1489" s="14">
        <f t="shared" ref="G1489:L1489" si="373">SUBTOTAL(9,G1486:G1488)</f>
        <v>0</v>
      </c>
      <c r="H1489" s="14">
        <f t="shared" si="373"/>
        <v>0</v>
      </c>
      <c r="I1489" s="14">
        <f t="shared" si="373"/>
        <v>0.33</v>
      </c>
      <c r="J1489" s="14">
        <f t="shared" si="373"/>
        <v>0</v>
      </c>
      <c r="K1489" s="14">
        <f t="shared" si="373"/>
        <v>-0.03</v>
      </c>
      <c r="L1489" s="14">
        <f t="shared" si="373"/>
        <v>0.3</v>
      </c>
      <c r="M1489" s="10">
        <v>2481</v>
      </c>
      <c r="N1489" s="69"/>
      <c r="O1489" s="11">
        <f>O1484+1</f>
        <v>363</v>
      </c>
    </row>
    <row r="1490" spans="1:15" x14ac:dyDescent="0.25">
      <c r="A1490" s="10"/>
      <c r="G1490" s="21"/>
      <c r="H1490" s="21"/>
      <c r="I1490" s="21"/>
      <c r="J1490" s="21"/>
      <c r="K1490" s="21"/>
      <c r="L1490" s="21"/>
      <c r="M1490" s="10"/>
      <c r="O1490" s="11"/>
    </row>
    <row r="1491" spans="1:15" x14ac:dyDescent="0.25">
      <c r="A1491" s="6">
        <v>737</v>
      </c>
      <c r="B1491" s="5" t="s">
        <v>20</v>
      </c>
      <c r="C1491" s="5" t="s">
        <v>17</v>
      </c>
      <c r="D1491" s="5" t="s">
        <v>203</v>
      </c>
      <c r="E1491" s="5" t="s">
        <v>204</v>
      </c>
      <c r="F1491" s="5" t="s">
        <v>21</v>
      </c>
      <c r="G1491" s="22">
        <v>0</v>
      </c>
      <c r="H1491" s="22">
        <v>0</v>
      </c>
      <c r="I1491" s="22">
        <v>0</v>
      </c>
      <c r="J1491" s="22">
        <v>0</v>
      </c>
      <c r="K1491" s="22">
        <v>0</v>
      </c>
      <c r="L1491" s="22">
        <v>0</v>
      </c>
      <c r="M1491" s="10"/>
      <c r="O1491" s="11"/>
    </row>
    <row r="1492" spans="1:15" s="4" customFormat="1" x14ac:dyDescent="0.25">
      <c r="A1492" s="28"/>
      <c r="B1492" s="29"/>
      <c r="C1492" s="29"/>
      <c r="D1492" s="29"/>
      <c r="E1492" s="29"/>
      <c r="F1492" s="29" t="s">
        <v>662</v>
      </c>
      <c r="G1492" s="31">
        <f t="shared" ref="G1492:L1492" si="374">SUBTOTAL(9,G1491:G1491)</f>
        <v>0</v>
      </c>
      <c r="H1492" s="31">
        <f t="shared" si="374"/>
        <v>0</v>
      </c>
      <c r="I1492" s="31">
        <f t="shared" si="374"/>
        <v>0</v>
      </c>
      <c r="J1492" s="31">
        <f t="shared" si="374"/>
        <v>0</v>
      </c>
      <c r="K1492" s="31">
        <f t="shared" si="374"/>
        <v>0</v>
      </c>
      <c r="L1492" s="31">
        <f t="shared" si="374"/>
        <v>0</v>
      </c>
      <c r="M1492" s="15"/>
      <c r="N1492" s="67"/>
      <c r="O1492" s="11"/>
    </row>
    <row r="1493" spans="1:15" s="4" customFormat="1" x14ac:dyDescent="0.25">
      <c r="A1493" s="10"/>
      <c r="B1493"/>
      <c r="C1493"/>
      <c r="D1493"/>
      <c r="E1493"/>
      <c r="F1493"/>
      <c r="G1493" s="21"/>
      <c r="H1493" s="21"/>
      <c r="I1493" s="21"/>
      <c r="J1493" s="21"/>
      <c r="K1493" s="21"/>
      <c r="L1493" s="21"/>
      <c r="M1493" s="10"/>
      <c r="N1493" s="67"/>
      <c r="O1493" s="11"/>
    </row>
    <row r="1494" spans="1:15" x14ac:dyDescent="0.25">
      <c r="A1494" s="6">
        <v>738</v>
      </c>
      <c r="B1494" s="5" t="s">
        <v>550</v>
      </c>
      <c r="C1494" s="5" t="s">
        <v>17</v>
      </c>
      <c r="D1494" s="5" t="s">
        <v>602</v>
      </c>
      <c r="E1494" s="5" t="s">
        <v>204</v>
      </c>
      <c r="F1494" s="5" t="s">
        <v>551</v>
      </c>
      <c r="G1494" s="22">
        <v>0</v>
      </c>
      <c r="H1494" s="22">
        <v>0</v>
      </c>
      <c r="I1494" s="22">
        <v>47.71</v>
      </c>
      <c r="J1494" s="22">
        <v>0</v>
      </c>
      <c r="K1494" s="22">
        <v>-0.95</v>
      </c>
      <c r="L1494" s="22">
        <v>46.76</v>
      </c>
      <c r="M1494" s="10"/>
      <c r="O1494" s="11"/>
    </row>
    <row r="1495" spans="1:15" x14ac:dyDescent="0.25">
      <c r="A1495" s="6">
        <v>739</v>
      </c>
      <c r="B1495" s="5" t="s">
        <v>550</v>
      </c>
      <c r="C1495" s="5" t="s">
        <v>17</v>
      </c>
      <c r="D1495" s="5" t="s">
        <v>602</v>
      </c>
      <c r="E1495" s="5" t="s">
        <v>204</v>
      </c>
      <c r="F1495" s="5" t="s">
        <v>551</v>
      </c>
      <c r="G1495" s="22">
        <v>0</v>
      </c>
      <c r="H1495" s="22">
        <v>0</v>
      </c>
      <c r="I1495" s="22">
        <v>189.52</v>
      </c>
      <c r="J1495" s="22">
        <v>0</v>
      </c>
      <c r="K1495" s="22">
        <v>-3.79</v>
      </c>
      <c r="L1495" s="22">
        <v>185.73</v>
      </c>
      <c r="M1495" s="10"/>
      <c r="O1495" s="11"/>
    </row>
    <row r="1496" spans="1:15" s="4" customFormat="1" x14ac:dyDescent="0.25">
      <c r="A1496" s="6"/>
      <c r="B1496" s="5"/>
      <c r="C1496" s="5"/>
      <c r="D1496" s="5" t="s">
        <v>203</v>
      </c>
      <c r="E1496" s="5" t="s">
        <v>204</v>
      </c>
      <c r="F1496" s="5" t="s">
        <v>551</v>
      </c>
      <c r="G1496" s="14">
        <f t="shared" ref="G1496:L1496" si="375">SUBTOTAL(9,G1494:G1495)</f>
        <v>0</v>
      </c>
      <c r="H1496" s="14">
        <f t="shared" si="375"/>
        <v>0</v>
      </c>
      <c r="I1496" s="14">
        <f t="shared" si="375"/>
        <v>237.23000000000002</v>
      </c>
      <c r="J1496" s="14">
        <f t="shared" si="375"/>
        <v>0</v>
      </c>
      <c r="K1496" s="14">
        <f t="shared" si="375"/>
        <v>-4.74</v>
      </c>
      <c r="L1496" s="14">
        <f t="shared" si="375"/>
        <v>232.48999999999998</v>
      </c>
      <c r="M1496" s="10">
        <v>2482</v>
      </c>
      <c r="N1496" s="69"/>
      <c r="O1496" s="11">
        <f>O1489+1</f>
        <v>364</v>
      </c>
    </row>
    <row r="1497" spans="1:15" x14ac:dyDescent="0.25">
      <c r="A1497" s="10"/>
      <c r="G1497" s="21"/>
      <c r="H1497" s="21"/>
      <c r="I1497" s="21"/>
      <c r="J1497" s="21"/>
      <c r="K1497" s="21"/>
      <c r="L1497" s="21"/>
      <c r="M1497" s="10"/>
      <c r="O1497" s="11"/>
    </row>
    <row r="1498" spans="1:15" x14ac:dyDescent="0.25">
      <c r="A1498" s="6">
        <v>740</v>
      </c>
      <c r="B1498" s="5" t="s">
        <v>550</v>
      </c>
      <c r="C1498" s="5" t="s">
        <v>17</v>
      </c>
      <c r="D1498" s="5" t="s">
        <v>602</v>
      </c>
      <c r="E1498" s="5" t="s">
        <v>204</v>
      </c>
      <c r="F1498" s="5" t="s">
        <v>552</v>
      </c>
      <c r="G1498" s="22">
        <v>0</v>
      </c>
      <c r="H1498" s="22">
        <v>0</v>
      </c>
      <c r="I1498" s="22">
        <v>0.01</v>
      </c>
      <c r="J1498" s="22">
        <v>0</v>
      </c>
      <c r="K1498" s="22">
        <v>0</v>
      </c>
      <c r="L1498" s="22">
        <v>0.01</v>
      </c>
      <c r="M1498" s="10"/>
      <c r="O1498" s="11"/>
    </row>
    <row r="1499" spans="1:15" s="4" customFormat="1" x14ac:dyDescent="0.25">
      <c r="A1499" s="6"/>
      <c r="B1499" s="5"/>
      <c r="C1499" s="5"/>
      <c r="D1499" s="5" t="s">
        <v>203</v>
      </c>
      <c r="E1499" s="5" t="s">
        <v>204</v>
      </c>
      <c r="F1499" s="5" t="s">
        <v>552</v>
      </c>
      <c r="G1499" s="14">
        <f t="shared" ref="G1499:L1499" si="376">SUBTOTAL(9,G1498:G1498)</f>
        <v>0</v>
      </c>
      <c r="H1499" s="14">
        <f t="shared" si="376"/>
        <v>0</v>
      </c>
      <c r="I1499" s="14">
        <f t="shared" si="376"/>
        <v>0.01</v>
      </c>
      <c r="J1499" s="14">
        <f t="shared" si="376"/>
        <v>0</v>
      </c>
      <c r="K1499" s="14">
        <f t="shared" si="376"/>
        <v>0</v>
      </c>
      <c r="L1499" s="14">
        <f t="shared" si="376"/>
        <v>0.01</v>
      </c>
      <c r="M1499" s="10">
        <v>2483</v>
      </c>
      <c r="N1499" s="69"/>
      <c r="O1499" s="11">
        <f>O1496+1</f>
        <v>365</v>
      </c>
    </row>
    <row r="1500" spans="1:15" x14ac:dyDescent="0.25">
      <c r="A1500" s="10"/>
      <c r="G1500" s="21"/>
      <c r="H1500" s="21"/>
      <c r="I1500" s="21"/>
      <c r="J1500" s="21"/>
      <c r="K1500" s="21"/>
      <c r="L1500" s="21"/>
      <c r="M1500" s="10"/>
      <c r="O1500" s="11"/>
    </row>
    <row r="1501" spans="1:15" x14ac:dyDescent="0.25">
      <c r="A1501" s="6">
        <v>741</v>
      </c>
      <c r="B1501" s="5" t="s">
        <v>18</v>
      </c>
      <c r="C1501" s="5" t="s">
        <v>17</v>
      </c>
      <c r="D1501" s="5" t="s">
        <v>205</v>
      </c>
      <c r="E1501" s="5" t="s">
        <v>206</v>
      </c>
      <c r="F1501" s="5" t="s">
        <v>19</v>
      </c>
      <c r="G1501" s="22">
        <v>0</v>
      </c>
      <c r="H1501" s="22">
        <v>0</v>
      </c>
      <c r="I1501" s="22">
        <v>0.13</v>
      </c>
      <c r="J1501" s="22">
        <v>0</v>
      </c>
      <c r="K1501" s="22">
        <v>-0.01</v>
      </c>
      <c r="L1501" s="22">
        <v>0.12</v>
      </c>
      <c r="M1501" s="10"/>
      <c r="O1501" s="11"/>
    </row>
    <row r="1502" spans="1:15" s="4" customFormat="1" x14ac:dyDescent="0.25">
      <c r="A1502" s="6"/>
      <c r="B1502" s="5"/>
      <c r="C1502" s="5"/>
      <c r="D1502" s="5" t="s">
        <v>205</v>
      </c>
      <c r="E1502" s="5" t="s">
        <v>206</v>
      </c>
      <c r="F1502" s="5" t="s">
        <v>19</v>
      </c>
      <c r="G1502" s="14">
        <f t="shared" ref="G1502:L1502" si="377">SUBTOTAL(9,G1501:G1501)</f>
        <v>0</v>
      </c>
      <c r="H1502" s="14">
        <f t="shared" si="377"/>
        <v>0</v>
      </c>
      <c r="I1502" s="14">
        <f t="shared" si="377"/>
        <v>0.13</v>
      </c>
      <c r="J1502" s="14">
        <f t="shared" si="377"/>
        <v>0</v>
      </c>
      <c r="K1502" s="14">
        <f t="shared" si="377"/>
        <v>-0.01</v>
      </c>
      <c r="L1502" s="14">
        <f t="shared" si="377"/>
        <v>0.12</v>
      </c>
      <c r="M1502" s="10">
        <v>2484</v>
      </c>
      <c r="N1502" s="69"/>
      <c r="O1502" s="11">
        <f>O1499+1</f>
        <v>366</v>
      </c>
    </row>
    <row r="1503" spans="1:15" s="4" customFormat="1" x14ac:dyDescent="0.25">
      <c r="A1503" s="10"/>
      <c r="B1503"/>
      <c r="C1503"/>
      <c r="D1503"/>
      <c r="E1503"/>
      <c r="F1503"/>
      <c r="G1503" s="21"/>
      <c r="H1503" s="21"/>
      <c r="I1503" s="21"/>
      <c r="J1503" s="21"/>
      <c r="K1503" s="21"/>
      <c r="L1503" s="21"/>
      <c r="M1503" s="10"/>
      <c r="N1503" s="67"/>
      <c r="O1503" s="11"/>
    </row>
    <row r="1504" spans="1:15" x14ac:dyDescent="0.25">
      <c r="A1504" s="6">
        <v>742</v>
      </c>
      <c r="B1504" s="5" t="s">
        <v>20</v>
      </c>
      <c r="C1504" s="5" t="s">
        <v>17</v>
      </c>
      <c r="D1504" s="5" t="s">
        <v>205</v>
      </c>
      <c r="E1504" s="5" t="s">
        <v>206</v>
      </c>
      <c r="F1504" s="5" t="s">
        <v>21</v>
      </c>
      <c r="G1504" s="22">
        <v>0</v>
      </c>
      <c r="H1504" s="22">
        <v>0</v>
      </c>
      <c r="I1504" s="22">
        <v>0</v>
      </c>
      <c r="J1504" s="22">
        <v>0</v>
      </c>
      <c r="K1504" s="22">
        <v>0</v>
      </c>
      <c r="L1504" s="22">
        <v>0</v>
      </c>
      <c r="M1504" s="10"/>
      <c r="O1504" s="11"/>
    </row>
    <row r="1505" spans="1:15" x14ac:dyDescent="0.25">
      <c r="A1505" s="28"/>
      <c r="B1505" s="29"/>
      <c r="C1505" s="29"/>
      <c r="D1505" s="29"/>
      <c r="E1505" s="29"/>
      <c r="F1505" s="29" t="s">
        <v>662</v>
      </c>
      <c r="G1505" s="31">
        <f t="shared" ref="G1505:L1505" si="378">SUBTOTAL(9,G1504:G1504)</f>
        <v>0</v>
      </c>
      <c r="H1505" s="31">
        <f t="shared" si="378"/>
        <v>0</v>
      </c>
      <c r="I1505" s="31">
        <f t="shared" si="378"/>
        <v>0</v>
      </c>
      <c r="J1505" s="31">
        <f t="shared" si="378"/>
        <v>0</v>
      </c>
      <c r="K1505" s="31">
        <f t="shared" si="378"/>
        <v>0</v>
      </c>
      <c r="L1505" s="31">
        <f t="shared" si="378"/>
        <v>0</v>
      </c>
      <c r="M1505" s="15"/>
      <c r="O1505" s="11"/>
    </row>
    <row r="1506" spans="1:15" s="4" customFormat="1" x14ac:dyDescent="0.25">
      <c r="A1506" s="10"/>
      <c r="B1506"/>
      <c r="C1506"/>
      <c r="D1506"/>
      <c r="E1506"/>
      <c r="F1506"/>
      <c r="G1506" s="21"/>
      <c r="H1506" s="21"/>
      <c r="I1506" s="21"/>
      <c r="J1506" s="21"/>
      <c r="K1506" s="21"/>
      <c r="L1506" s="21"/>
      <c r="M1506" s="10"/>
      <c r="N1506" s="67"/>
      <c r="O1506" s="11"/>
    </row>
    <row r="1507" spans="1:15" x14ac:dyDescent="0.25">
      <c r="A1507" s="6">
        <v>743</v>
      </c>
      <c r="B1507" s="5" t="s">
        <v>559</v>
      </c>
      <c r="C1507" s="5" t="s">
        <v>17</v>
      </c>
      <c r="D1507" s="5" t="s">
        <v>603</v>
      </c>
      <c r="E1507" s="5" t="s">
        <v>604</v>
      </c>
      <c r="F1507" s="5" t="s">
        <v>560</v>
      </c>
      <c r="G1507" s="22">
        <v>0</v>
      </c>
      <c r="H1507" s="22">
        <v>0</v>
      </c>
      <c r="I1507" s="22">
        <v>0.01</v>
      </c>
      <c r="J1507" s="22">
        <v>0</v>
      </c>
      <c r="K1507" s="22">
        <v>0</v>
      </c>
      <c r="L1507" s="22">
        <v>0.01</v>
      </c>
      <c r="M1507" s="10"/>
      <c r="O1507" s="11"/>
    </row>
    <row r="1508" spans="1:15" x14ac:dyDescent="0.25">
      <c r="A1508" s="6"/>
      <c r="B1508" s="5"/>
      <c r="C1508" s="5"/>
      <c r="D1508" s="5" t="s">
        <v>205</v>
      </c>
      <c r="E1508" s="5" t="s">
        <v>604</v>
      </c>
      <c r="F1508" s="5" t="s">
        <v>560</v>
      </c>
      <c r="G1508" s="14">
        <f t="shared" ref="G1508:L1508" si="379">SUBTOTAL(9,G1507:G1507)</f>
        <v>0</v>
      </c>
      <c r="H1508" s="14">
        <f t="shared" si="379"/>
        <v>0</v>
      </c>
      <c r="I1508" s="14">
        <f t="shared" si="379"/>
        <v>0.01</v>
      </c>
      <c r="J1508" s="14">
        <f t="shared" si="379"/>
        <v>0</v>
      </c>
      <c r="K1508" s="14">
        <f t="shared" si="379"/>
        <v>0</v>
      </c>
      <c r="L1508" s="14">
        <f t="shared" si="379"/>
        <v>0.01</v>
      </c>
      <c r="M1508" s="10">
        <v>2485</v>
      </c>
      <c r="N1508" s="69"/>
      <c r="O1508" s="11">
        <f>O1502+1</f>
        <v>367</v>
      </c>
    </row>
    <row r="1509" spans="1:15" s="4" customFormat="1" x14ac:dyDescent="0.25">
      <c r="A1509" s="10"/>
      <c r="B1509"/>
      <c r="C1509"/>
      <c r="D1509"/>
      <c r="E1509"/>
      <c r="F1509"/>
      <c r="G1509" s="21"/>
      <c r="H1509" s="21"/>
      <c r="I1509" s="21"/>
      <c r="J1509" s="21"/>
      <c r="K1509" s="21"/>
      <c r="L1509" s="21"/>
      <c r="M1509" s="10"/>
      <c r="N1509" s="67"/>
      <c r="O1509" s="11"/>
    </row>
    <row r="1510" spans="1:15" x14ac:dyDescent="0.25">
      <c r="A1510" s="6">
        <v>744</v>
      </c>
      <c r="B1510" s="5" t="s">
        <v>550</v>
      </c>
      <c r="C1510" s="5" t="s">
        <v>17</v>
      </c>
      <c r="D1510" s="5" t="s">
        <v>603</v>
      </c>
      <c r="E1510" s="5" t="s">
        <v>604</v>
      </c>
      <c r="F1510" s="5" t="s">
        <v>551</v>
      </c>
      <c r="G1510" s="22">
        <v>0</v>
      </c>
      <c r="H1510" s="22">
        <v>0</v>
      </c>
      <c r="I1510" s="22">
        <v>23.85</v>
      </c>
      <c r="J1510" s="22">
        <v>0</v>
      </c>
      <c r="K1510" s="22">
        <v>-0.48</v>
      </c>
      <c r="L1510" s="22">
        <v>23.37</v>
      </c>
      <c r="M1510" s="10"/>
      <c r="O1510" s="11"/>
    </row>
    <row r="1511" spans="1:15" x14ac:dyDescent="0.25">
      <c r="A1511" s="6">
        <v>745</v>
      </c>
      <c r="B1511" s="5" t="s">
        <v>550</v>
      </c>
      <c r="C1511" s="5" t="s">
        <v>17</v>
      </c>
      <c r="D1511" s="5" t="s">
        <v>603</v>
      </c>
      <c r="E1511" s="5" t="s">
        <v>604</v>
      </c>
      <c r="F1511" s="5" t="s">
        <v>551</v>
      </c>
      <c r="G1511" s="22">
        <v>0</v>
      </c>
      <c r="H1511" s="22">
        <v>0</v>
      </c>
      <c r="I1511" s="22">
        <v>53.84</v>
      </c>
      <c r="J1511" s="22">
        <v>0</v>
      </c>
      <c r="K1511" s="22">
        <v>-1.08</v>
      </c>
      <c r="L1511" s="22">
        <v>52.76</v>
      </c>
      <c r="M1511" s="10"/>
      <c r="O1511" s="11"/>
    </row>
    <row r="1512" spans="1:15" s="4" customFormat="1" x14ac:dyDescent="0.25">
      <c r="A1512" s="6"/>
      <c r="B1512" s="5"/>
      <c r="C1512" s="5"/>
      <c r="D1512" s="5" t="s">
        <v>603</v>
      </c>
      <c r="E1512" s="5" t="s">
        <v>604</v>
      </c>
      <c r="F1512" s="5" t="s">
        <v>551</v>
      </c>
      <c r="G1512" s="14">
        <f t="shared" ref="G1512:L1512" si="380">SUBTOTAL(9,G1510:G1511)</f>
        <v>0</v>
      </c>
      <c r="H1512" s="14">
        <f t="shared" si="380"/>
        <v>0</v>
      </c>
      <c r="I1512" s="14">
        <f t="shared" si="380"/>
        <v>77.69</v>
      </c>
      <c r="J1512" s="14">
        <f t="shared" si="380"/>
        <v>0</v>
      </c>
      <c r="K1512" s="14">
        <f t="shared" si="380"/>
        <v>-1.56</v>
      </c>
      <c r="L1512" s="14">
        <f t="shared" si="380"/>
        <v>76.13</v>
      </c>
      <c r="M1512" s="10">
        <v>2486</v>
      </c>
      <c r="N1512" s="69"/>
      <c r="O1512" s="11">
        <f>O1508+1</f>
        <v>368</v>
      </c>
    </row>
    <row r="1513" spans="1:15" x14ac:dyDescent="0.25">
      <c r="A1513" s="10"/>
      <c r="G1513" s="21"/>
      <c r="H1513" s="21"/>
      <c r="I1513" s="21"/>
      <c r="J1513" s="21"/>
      <c r="K1513" s="21"/>
      <c r="L1513" s="21"/>
      <c r="M1513" s="10"/>
      <c r="O1513" s="11"/>
    </row>
    <row r="1514" spans="1:15" x14ac:dyDescent="0.25">
      <c r="A1514" s="6">
        <v>746</v>
      </c>
      <c r="B1514" s="5" t="s">
        <v>18</v>
      </c>
      <c r="C1514" s="5" t="s">
        <v>17</v>
      </c>
      <c r="D1514" s="5" t="s">
        <v>207</v>
      </c>
      <c r="E1514" s="5" t="s">
        <v>208</v>
      </c>
      <c r="F1514" s="5" t="s">
        <v>19</v>
      </c>
      <c r="G1514" s="22">
        <v>0</v>
      </c>
      <c r="H1514" s="22">
        <v>0</v>
      </c>
      <c r="I1514" s="22">
        <v>2.76</v>
      </c>
      <c r="J1514" s="22">
        <v>0</v>
      </c>
      <c r="K1514" s="22">
        <v>-0.32</v>
      </c>
      <c r="L1514" s="22">
        <v>2.44</v>
      </c>
      <c r="M1514" s="10"/>
      <c r="O1514" s="11"/>
    </row>
    <row r="1515" spans="1:15" s="4" customFormat="1" x14ac:dyDescent="0.25">
      <c r="A1515" s="6"/>
      <c r="B1515" s="5"/>
      <c r="C1515" s="5"/>
      <c r="D1515" s="5" t="s">
        <v>207</v>
      </c>
      <c r="E1515" s="5" t="s">
        <v>208</v>
      </c>
      <c r="F1515" s="5" t="s">
        <v>19</v>
      </c>
      <c r="G1515" s="14">
        <f t="shared" ref="G1515:L1515" si="381">SUBTOTAL(9,G1514:G1514)</f>
        <v>0</v>
      </c>
      <c r="H1515" s="14">
        <f t="shared" si="381"/>
        <v>0</v>
      </c>
      <c r="I1515" s="14">
        <f t="shared" si="381"/>
        <v>2.76</v>
      </c>
      <c r="J1515" s="14">
        <f t="shared" si="381"/>
        <v>0</v>
      </c>
      <c r="K1515" s="14">
        <f t="shared" si="381"/>
        <v>-0.32</v>
      </c>
      <c r="L1515" s="14">
        <f t="shared" si="381"/>
        <v>2.44</v>
      </c>
      <c r="M1515" s="10">
        <v>2487</v>
      </c>
      <c r="N1515" s="69"/>
      <c r="O1515" s="11">
        <f>O1512+1</f>
        <v>369</v>
      </c>
    </row>
    <row r="1516" spans="1:15" x14ac:dyDescent="0.25">
      <c r="A1516" s="10"/>
      <c r="G1516" s="21"/>
      <c r="H1516" s="21"/>
      <c r="I1516" s="21"/>
      <c r="J1516" s="21"/>
      <c r="K1516" s="21"/>
      <c r="L1516" s="21"/>
      <c r="M1516" s="10"/>
      <c r="O1516" s="11"/>
    </row>
    <row r="1517" spans="1:15" x14ac:dyDescent="0.25">
      <c r="A1517" s="6">
        <v>747</v>
      </c>
      <c r="B1517" s="5" t="s">
        <v>20</v>
      </c>
      <c r="C1517" s="5" t="s">
        <v>17</v>
      </c>
      <c r="D1517" s="5" t="s">
        <v>207</v>
      </c>
      <c r="E1517" s="5" t="s">
        <v>208</v>
      </c>
      <c r="F1517" s="5" t="s">
        <v>21</v>
      </c>
      <c r="G1517" s="22">
        <v>0</v>
      </c>
      <c r="H1517" s="22">
        <v>0</v>
      </c>
      <c r="I1517" s="22">
        <v>1647.19</v>
      </c>
      <c r="J1517" s="22">
        <v>0</v>
      </c>
      <c r="K1517" s="22">
        <v>-32.94</v>
      </c>
      <c r="L1517" s="22">
        <v>1614.25</v>
      </c>
      <c r="M1517" s="10"/>
      <c r="O1517" s="11"/>
    </row>
    <row r="1518" spans="1:15" s="4" customFormat="1" x14ac:dyDescent="0.25">
      <c r="A1518" s="6">
        <v>748</v>
      </c>
      <c r="B1518" s="5" t="s">
        <v>20</v>
      </c>
      <c r="C1518" s="5" t="s">
        <v>49</v>
      </c>
      <c r="D1518" s="5" t="s">
        <v>207</v>
      </c>
      <c r="E1518" s="5" t="s">
        <v>208</v>
      </c>
      <c r="F1518" s="5" t="s">
        <v>21</v>
      </c>
      <c r="G1518" s="22">
        <v>0</v>
      </c>
      <c r="H1518" s="22">
        <v>0</v>
      </c>
      <c r="I1518" s="22">
        <v>7.4</v>
      </c>
      <c r="J1518" s="22">
        <v>0</v>
      </c>
      <c r="K1518" s="22">
        <v>0</v>
      </c>
      <c r="L1518" s="22">
        <v>7.4</v>
      </c>
      <c r="M1518" s="10"/>
      <c r="N1518" s="70">
        <v>7.4</v>
      </c>
      <c r="O1518" s="11"/>
    </row>
    <row r="1519" spans="1:15" s="4" customFormat="1" x14ac:dyDescent="0.25">
      <c r="A1519" s="6">
        <v>749</v>
      </c>
      <c r="B1519" s="5" t="s">
        <v>20</v>
      </c>
      <c r="C1519" s="5" t="s">
        <v>17</v>
      </c>
      <c r="D1519" s="5" t="s">
        <v>207</v>
      </c>
      <c r="E1519" s="5" t="s">
        <v>208</v>
      </c>
      <c r="F1519" s="5" t="s">
        <v>21</v>
      </c>
      <c r="G1519" s="22">
        <v>0</v>
      </c>
      <c r="H1519" s="22">
        <v>0</v>
      </c>
      <c r="I1519" s="22">
        <v>0.09</v>
      </c>
      <c r="J1519" s="22">
        <v>0</v>
      </c>
      <c r="K1519" s="22">
        <v>0</v>
      </c>
      <c r="L1519" s="22">
        <v>0.09</v>
      </c>
      <c r="M1519" s="10"/>
      <c r="N1519" s="67"/>
      <c r="O1519" s="11"/>
    </row>
    <row r="1520" spans="1:15" x14ac:dyDescent="0.25">
      <c r="A1520" s="6">
        <v>750</v>
      </c>
      <c r="B1520" s="5" t="s">
        <v>20</v>
      </c>
      <c r="C1520" s="5" t="s">
        <v>17</v>
      </c>
      <c r="D1520" s="5" t="s">
        <v>207</v>
      </c>
      <c r="E1520" s="5" t="s">
        <v>208</v>
      </c>
      <c r="F1520" s="5" t="s">
        <v>21</v>
      </c>
      <c r="G1520" s="22">
        <v>0</v>
      </c>
      <c r="H1520" s="22">
        <v>0</v>
      </c>
      <c r="I1520" s="22">
        <v>36.6</v>
      </c>
      <c r="J1520" s="22">
        <v>0</v>
      </c>
      <c r="K1520" s="22">
        <v>-0.73</v>
      </c>
      <c r="L1520" s="22">
        <v>35.869999999999997</v>
      </c>
      <c r="M1520" s="10"/>
      <c r="O1520" s="11"/>
    </row>
    <row r="1521" spans="1:15" x14ac:dyDescent="0.25">
      <c r="A1521" s="6"/>
      <c r="B1521" s="5"/>
      <c r="C1521" s="5"/>
      <c r="D1521" s="5" t="s">
        <v>207</v>
      </c>
      <c r="E1521" s="5" t="s">
        <v>208</v>
      </c>
      <c r="F1521" s="5" t="s">
        <v>21</v>
      </c>
      <c r="G1521" s="14">
        <f t="shared" ref="G1521:L1521" si="382">SUBTOTAL(9,G1517:G1520)</f>
        <v>0</v>
      </c>
      <c r="H1521" s="14">
        <f t="shared" si="382"/>
        <v>0</v>
      </c>
      <c r="I1521" s="14">
        <f t="shared" si="382"/>
        <v>1691.28</v>
      </c>
      <c r="J1521" s="14">
        <f t="shared" si="382"/>
        <v>0</v>
      </c>
      <c r="K1521" s="14">
        <f t="shared" si="382"/>
        <v>-33.669999999999995</v>
      </c>
      <c r="L1521" s="14">
        <f t="shared" si="382"/>
        <v>1657.61</v>
      </c>
      <c r="M1521" s="10">
        <v>2488</v>
      </c>
      <c r="N1521" s="71">
        <f>SUBTOTAL(9,N1517:N1520)</f>
        <v>7.4</v>
      </c>
      <c r="O1521" s="11">
        <f>O1515+1</f>
        <v>370</v>
      </c>
    </row>
    <row r="1522" spans="1:15" s="4" customFormat="1" x14ac:dyDescent="0.25">
      <c r="A1522" s="10"/>
      <c r="B1522"/>
      <c r="C1522"/>
      <c r="D1522"/>
      <c r="E1522"/>
      <c r="F1522"/>
      <c r="G1522" s="21"/>
      <c r="H1522" s="21"/>
      <c r="I1522" s="21"/>
      <c r="J1522" s="21"/>
      <c r="K1522" s="21"/>
      <c r="L1522" s="21"/>
      <c r="M1522" s="10"/>
      <c r="N1522" s="67"/>
      <c r="O1522" s="11"/>
    </row>
    <row r="1523" spans="1:15" s="4" customFormat="1" x14ac:dyDescent="0.25">
      <c r="A1523" s="6">
        <v>751</v>
      </c>
      <c r="B1523" s="5" t="s">
        <v>550</v>
      </c>
      <c r="C1523" s="5" t="s">
        <v>17</v>
      </c>
      <c r="D1523" s="5" t="s">
        <v>207</v>
      </c>
      <c r="E1523" s="5" t="s">
        <v>208</v>
      </c>
      <c r="F1523" s="5" t="s">
        <v>551</v>
      </c>
      <c r="G1523" s="22">
        <v>12299.13</v>
      </c>
      <c r="H1523" s="22">
        <v>0</v>
      </c>
      <c r="I1523" s="22">
        <v>0</v>
      </c>
      <c r="J1523" s="22">
        <v>0</v>
      </c>
      <c r="K1523" s="22">
        <v>0</v>
      </c>
      <c r="L1523" s="22">
        <v>12299.13</v>
      </c>
      <c r="M1523" s="10"/>
      <c r="N1523" s="67"/>
      <c r="O1523" s="11"/>
    </row>
    <row r="1524" spans="1:15" x14ac:dyDescent="0.25">
      <c r="A1524" s="6">
        <v>752</v>
      </c>
      <c r="B1524" s="5" t="s">
        <v>550</v>
      </c>
      <c r="C1524" s="5" t="s">
        <v>13</v>
      </c>
      <c r="D1524" s="5" t="s">
        <v>207</v>
      </c>
      <c r="E1524" s="5" t="s">
        <v>208</v>
      </c>
      <c r="F1524" s="5" t="s">
        <v>551</v>
      </c>
      <c r="G1524" s="22">
        <v>0</v>
      </c>
      <c r="H1524" s="22">
        <v>0</v>
      </c>
      <c r="I1524" s="22">
        <v>0</v>
      </c>
      <c r="J1524" s="22">
        <v>1475.9</v>
      </c>
      <c r="K1524" s="22">
        <v>0</v>
      </c>
      <c r="L1524" s="22">
        <v>1475.9</v>
      </c>
      <c r="M1524" s="10"/>
      <c r="O1524" s="11"/>
    </row>
    <row r="1525" spans="1:15" x14ac:dyDescent="0.25">
      <c r="A1525" s="6"/>
      <c r="B1525" s="5"/>
      <c r="C1525" s="5"/>
      <c r="D1525" s="5" t="s">
        <v>207</v>
      </c>
      <c r="E1525" s="5" t="s">
        <v>208</v>
      </c>
      <c r="F1525" s="5" t="s">
        <v>551</v>
      </c>
      <c r="G1525" s="14">
        <f t="shared" ref="G1525:L1525" si="383">SUBTOTAL(9,G1523:G1524)</f>
        <v>12299.13</v>
      </c>
      <c r="H1525" s="14">
        <f t="shared" si="383"/>
        <v>0</v>
      </c>
      <c r="I1525" s="14">
        <f t="shared" si="383"/>
        <v>0</v>
      </c>
      <c r="J1525" s="14">
        <f t="shared" si="383"/>
        <v>1475.9</v>
      </c>
      <c r="K1525" s="14">
        <f t="shared" si="383"/>
        <v>0</v>
      </c>
      <c r="L1525" s="14">
        <f t="shared" si="383"/>
        <v>13775.029999999999</v>
      </c>
      <c r="M1525" s="10">
        <v>2489</v>
      </c>
      <c r="N1525" s="69"/>
      <c r="O1525" s="11">
        <f>O1521+1</f>
        <v>371</v>
      </c>
    </row>
    <row r="1526" spans="1:15" s="4" customFormat="1" x14ac:dyDescent="0.25">
      <c r="A1526" s="10"/>
      <c r="B1526"/>
      <c r="C1526"/>
      <c r="D1526"/>
      <c r="E1526"/>
      <c r="F1526"/>
      <c r="G1526" s="21"/>
      <c r="H1526" s="21"/>
      <c r="I1526" s="21"/>
      <c r="J1526" s="21"/>
      <c r="K1526" s="21"/>
      <c r="L1526" s="21"/>
      <c r="M1526" s="10"/>
      <c r="N1526" s="67"/>
      <c r="O1526" s="11"/>
    </row>
    <row r="1527" spans="1:15" x14ac:dyDescent="0.25">
      <c r="A1527" s="6">
        <v>753</v>
      </c>
      <c r="B1527" s="5" t="s">
        <v>550</v>
      </c>
      <c r="C1527" s="5" t="s">
        <v>17</v>
      </c>
      <c r="D1527" s="5" t="s">
        <v>207</v>
      </c>
      <c r="E1527" s="5" t="s">
        <v>208</v>
      </c>
      <c r="F1527" s="5" t="s">
        <v>552</v>
      </c>
      <c r="G1527" s="22">
        <v>0.88</v>
      </c>
      <c r="H1527" s="22">
        <v>0</v>
      </c>
      <c r="I1527" s="22">
        <v>0</v>
      </c>
      <c r="J1527" s="22">
        <v>0</v>
      </c>
      <c r="K1527" s="22">
        <v>0</v>
      </c>
      <c r="L1527" s="22">
        <v>0.88</v>
      </c>
      <c r="M1527" s="10"/>
      <c r="O1527" s="11"/>
    </row>
    <row r="1528" spans="1:15" x14ac:dyDescent="0.25">
      <c r="A1528" s="6">
        <v>754</v>
      </c>
      <c r="B1528" s="5" t="s">
        <v>550</v>
      </c>
      <c r="C1528" s="5" t="s">
        <v>13</v>
      </c>
      <c r="D1528" s="5" t="s">
        <v>207</v>
      </c>
      <c r="E1528" s="5" t="s">
        <v>208</v>
      </c>
      <c r="F1528" s="5" t="s">
        <v>552</v>
      </c>
      <c r="G1528" s="22">
        <v>0</v>
      </c>
      <c r="H1528" s="22">
        <v>0</v>
      </c>
      <c r="I1528" s="22">
        <v>0</v>
      </c>
      <c r="J1528" s="22">
        <v>0.11</v>
      </c>
      <c r="K1528" s="22">
        <v>0</v>
      </c>
      <c r="L1528" s="22">
        <v>0.11</v>
      </c>
      <c r="M1528" s="10"/>
      <c r="O1528" s="11"/>
    </row>
    <row r="1529" spans="1:15" s="4" customFormat="1" x14ac:dyDescent="0.25">
      <c r="A1529" s="6"/>
      <c r="B1529" s="5"/>
      <c r="C1529" s="5"/>
      <c r="D1529" s="5" t="s">
        <v>207</v>
      </c>
      <c r="E1529" s="5" t="s">
        <v>208</v>
      </c>
      <c r="F1529" s="5" t="s">
        <v>552</v>
      </c>
      <c r="G1529" s="14">
        <f t="shared" ref="G1529:L1529" si="384">SUBTOTAL(9,G1527:G1528)</f>
        <v>0.88</v>
      </c>
      <c r="H1529" s="14">
        <f t="shared" si="384"/>
        <v>0</v>
      </c>
      <c r="I1529" s="14">
        <f t="shared" si="384"/>
        <v>0</v>
      </c>
      <c r="J1529" s="14">
        <f t="shared" si="384"/>
        <v>0.11</v>
      </c>
      <c r="K1529" s="14">
        <f t="shared" si="384"/>
        <v>0</v>
      </c>
      <c r="L1529" s="14">
        <f t="shared" si="384"/>
        <v>0.99</v>
      </c>
      <c r="M1529" s="10">
        <v>2490</v>
      </c>
      <c r="N1529" s="69"/>
      <c r="O1529" s="11">
        <f>O1525+1</f>
        <v>372</v>
      </c>
    </row>
    <row r="1530" spans="1:15" x14ac:dyDescent="0.25">
      <c r="A1530" s="10"/>
      <c r="G1530" s="21"/>
      <c r="H1530" s="21"/>
      <c r="I1530" s="21"/>
      <c r="J1530" s="21"/>
      <c r="K1530" s="21"/>
      <c r="L1530" s="21"/>
      <c r="M1530" s="10"/>
      <c r="O1530" s="11"/>
    </row>
    <row r="1531" spans="1:15" x14ac:dyDescent="0.25">
      <c r="A1531" s="6">
        <v>755</v>
      </c>
      <c r="B1531" s="5" t="s">
        <v>18</v>
      </c>
      <c r="C1531" s="5" t="s">
        <v>17</v>
      </c>
      <c r="D1531" s="5" t="s">
        <v>209</v>
      </c>
      <c r="E1531" s="5" t="s">
        <v>210</v>
      </c>
      <c r="F1531" s="5" t="s">
        <v>19</v>
      </c>
      <c r="G1531" s="22">
        <v>0</v>
      </c>
      <c r="H1531" s="22">
        <v>0</v>
      </c>
      <c r="I1531" s="22">
        <v>0.21</v>
      </c>
      <c r="J1531" s="22">
        <v>0</v>
      </c>
      <c r="K1531" s="22">
        <v>-0.02</v>
      </c>
      <c r="L1531" s="22">
        <v>0.19</v>
      </c>
      <c r="M1531" s="10"/>
      <c r="O1531" s="11"/>
    </row>
    <row r="1532" spans="1:15" s="4" customFormat="1" x14ac:dyDescent="0.25">
      <c r="A1532" s="6"/>
      <c r="B1532" s="5"/>
      <c r="C1532" s="5"/>
      <c r="D1532" s="5" t="s">
        <v>209</v>
      </c>
      <c r="E1532" s="5" t="s">
        <v>210</v>
      </c>
      <c r="F1532" s="5" t="s">
        <v>19</v>
      </c>
      <c r="G1532" s="14">
        <f t="shared" ref="G1532:L1532" si="385">SUBTOTAL(9,G1531:G1531)</f>
        <v>0</v>
      </c>
      <c r="H1532" s="14">
        <f t="shared" si="385"/>
        <v>0</v>
      </c>
      <c r="I1532" s="14">
        <f t="shared" si="385"/>
        <v>0.21</v>
      </c>
      <c r="J1532" s="14">
        <f t="shared" si="385"/>
        <v>0</v>
      </c>
      <c r="K1532" s="14">
        <f t="shared" si="385"/>
        <v>-0.02</v>
      </c>
      <c r="L1532" s="14">
        <f t="shared" si="385"/>
        <v>0.19</v>
      </c>
      <c r="M1532" s="10">
        <v>2491</v>
      </c>
      <c r="N1532" s="69"/>
      <c r="O1532" s="11">
        <f>O1529+1</f>
        <v>373</v>
      </c>
    </row>
    <row r="1533" spans="1:15" x14ac:dyDescent="0.25">
      <c r="A1533" s="10"/>
      <c r="G1533" s="21"/>
      <c r="H1533" s="21"/>
      <c r="I1533" s="21"/>
      <c r="J1533" s="21"/>
      <c r="K1533" s="21"/>
      <c r="L1533" s="21"/>
      <c r="M1533" s="10"/>
      <c r="O1533" s="11"/>
    </row>
    <row r="1534" spans="1:15" x14ac:dyDescent="0.25">
      <c r="A1534" s="6">
        <v>756</v>
      </c>
      <c r="B1534" s="5" t="s">
        <v>20</v>
      </c>
      <c r="C1534" s="5" t="s">
        <v>17</v>
      </c>
      <c r="D1534" s="5" t="s">
        <v>209</v>
      </c>
      <c r="E1534" s="5" t="s">
        <v>210</v>
      </c>
      <c r="F1534" s="5" t="s">
        <v>21</v>
      </c>
      <c r="G1534" s="22">
        <v>0</v>
      </c>
      <c r="H1534" s="22">
        <v>0</v>
      </c>
      <c r="I1534" s="22">
        <v>0.1</v>
      </c>
      <c r="J1534" s="22">
        <v>0</v>
      </c>
      <c r="K1534" s="22">
        <v>0</v>
      </c>
      <c r="L1534" s="22">
        <v>0.1</v>
      </c>
      <c r="M1534" s="10"/>
      <c r="O1534" s="11"/>
    </row>
    <row r="1535" spans="1:15" s="4" customFormat="1" x14ac:dyDescent="0.25">
      <c r="A1535" s="6">
        <v>757</v>
      </c>
      <c r="B1535" s="5" t="s">
        <v>20</v>
      </c>
      <c r="C1535" s="5" t="s">
        <v>17</v>
      </c>
      <c r="D1535" s="5" t="s">
        <v>209</v>
      </c>
      <c r="E1535" s="5" t="s">
        <v>210</v>
      </c>
      <c r="F1535" s="5" t="s">
        <v>21</v>
      </c>
      <c r="G1535" s="22">
        <v>0</v>
      </c>
      <c r="H1535" s="22">
        <v>0</v>
      </c>
      <c r="I1535" s="22">
        <v>0</v>
      </c>
      <c r="J1535" s="22">
        <v>0</v>
      </c>
      <c r="K1535" s="22">
        <v>0</v>
      </c>
      <c r="L1535" s="22">
        <v>0</v>
      </c>
      <c r="M1535" s="10"/>
      <c r="N1535" s="67"/>
      <c r="O1535" s="11"/>
    </row>
    <row r="1536" spans="1:15" x14ac:dyDescent="0.25">
      <c r="A1536" s="6"/>
      <c r="B1536" s="5"/>
      <c r="C1536" s="5"/>
      <c r="D1536" s="5" t="s">
        <v>209</v>
      </c>
      <c r="E1536" s="5" t="s">
        <v>210</v>
      </c>
      <c r="F1536" s="5" t="s">
        <v>21</v>
      </c>
      <c r="G1536" s="14">
        <f t="shared" ref="G1536:L1536" si="386">SUBTOTAL(9,G1534:G1535)</f>
        <v>0</v>
      </c>
      <c r="H1536" s="14">
        <f t="shared" si="386"/>
        <v>0</v>
      </c>
      <c r="I1536" s="14">
        <f t="shared" si="386"/>
        <v>0.1</v>
      </c>
      <c r="J1536" s="14">
        <f t="shared" si="386"/>
        <v>0</v>
      </c>
      <c r="K1536" s="14">
        <f t="shared" si="386"/>
        <v>0</v>
      </c>
      <c r="L1536" s="14">
        <f t="shared" si="386"/>
        <v>0.1</v>
      </c>
      <c r="M1536" s="10">
        <v>2492</v>
      </c>
      <c r="N1536" s="69"/>
      <c r="O1536" s="11">
        <f>O1532+1</f>
        <v>374</v>
      </c>
    </row>
    <row r="1537" spans="1:15" x14ac:dyDescent="0.25">
      <c r="A1537" s="10"/>
      <c r="G1537" s="21"/>
      <c r="H1537" s="21"/>
      <c r="I1537" s="21"/>
      <c r="J1537" s="21"/>
      <c r="K1537" s="21"/>
      <c r="L1537" s="21"/>
      <c r="M1537" s="10"/>
      <c r="O1537" s="11"/>
    </row>
    <row r="1538" spans="1:15" s="4" customFormat="1" x14ac:dyDescent="0.25">
      <c r="A1538" s="6">
        <v>758</v>
      </c>
      <c r="B1538" s="5" t="s">
        <v>550</v>
      </c>
      <c r="C1538" s="5" t="s">
        <v>17</v>
      </c>
      <c r="D1538" s="5" t="s">
        <v>209</v>
      </c>
      <c r="E1538" s="5" t="s">
        <v>210</v>
      </c>
      <c r="F1538" s="5" t="s">
        <v>551</v>
      </c>
      <c r="G1538" s="22">
        <v>0</v>
      </c>
      <c r="H1538" s="22">
        <v>0</v>
      </c>
      <c r="I1538" s="22">
        <v>46.85</v>
      </c>
      <c r="J1538" s="22">
        <v>0</v>
      </c>
      <c r="K1538" s="22">
        <v>0</v>
      </c>
      <c r="L1538" s="22">
        <v>46.85</v>
      </c>
      <c r="M1538" s="10"/>
      <c r="N1538" s="67"/>
      <c r="O1538" s="11"/>
    </row>
    <row r="1539" spans="1:15" s="4" customFormat="1" x14ac:dyDescent="0.25">
      <c r="A1539" s="6">
        <v>759</v>
      </c>
      <c r="B1539" s="5" t="s">
        <v>550</v>
      </c>
      <c r="C1539" s="5" t="s">
        <v>17</v>
      </c>
      <c r="D1539" s="5" t="s">
        <v>209</v>
      </c>
      <c r="E1539" s="5" t="s">
        <v>210</v>
      </c>
      <c r="F1539" s="5" t="s">
        <v>551</v>
      </c>
      <c r="G1539" s="22">
        <v>0</v>
      </c>
      <c r="H1539" s="22">
        <v>0</v>
      </c>
      <c r="I1539" s="22">
        <v>420.47</v>
      </c>
      <c r="J1539" s="22">
        <v>0</v>
      </c>
      <c r="K1539" s="22">
        <v>0</v>
      </c>
      <c r="L1539" s="22">
        <v>420.47</v>
      </c>
      <c r="M1539" s="10"/>
      <c r="N1539" s="67"/>
      <c r="O1539" s="11"/>
    </row>
    <row r="1540" spans="1:15" x14ac:dyDescent="0.25">
      <c r="A1540" s="6"/>
      <c r="B1540" s="5"/>
      <c r="C1540" s="5"/>
      <c r="D1540" s="5" t="s">
        <v>209</v>
      </c>
      <c r="E1540" s="5" t="s">
        <v>210</v>
      </c>
      <c r="F1540" s="5" t="s">
        <v>551</v>
      </c>
      <c r="G1540" s="14">
        <f t="shared" ref="G1540:L1540" si="387">SUBTOTAL(9,G1538:G1539)</f>
        <v>0</v>
      </c>
      <c r="H1540" s="14">
        <f t="shared" si="387"/>
        <v>0</v>
      </c>
      <c r="I1540" s="14">
        <f t="shared" si="387"/>
        <v>467.32000000000005</v>
      </c>
      <c r="J1540" s="14">
        <f t="shared" si="387"/>
        <v>0</v>
      </c>
      <c r="K1540" s="14">
        <f t="shared" si="387"/>
        <v>0</v>
      </c>
      <c r="L1540" s="14">
        <f t="shared" si="387"/>
        <v>467.32000000000005</v>
      </c>
      <c r="M1540" s="10">
        <v>2493</v>
      </c>
      <c r="N1540" s="69"/>
      <c r="O1540" s="11">
        <f>O1536+1</f>
        <v>375</v>
      </c>
    </row>
    <row r="1541" spans="1:15" x14ac:dyDescent="0.25">
      <c r="A1541" s="10"/>
      <c r="G1541" s="21"/>
      <c r="H1541" s="21"/>
      <c r="I1541" s="21"/>
      <c r="J1541" s="21"/>
      <c r="K1541" s="21"/>
      <c r="L1541" s="21"/>
      <c r="M1541" s="10"/>
      <c r="O1541" s="11"/>
    </row>
    <row r="1542" spans="1:15" s="4" customFormat="1" x14ac:dyDescent="0.25">
      <c r="A1542" s="6">
        <v>760</v>
      </c>
      <c r="B1542" s="5" t="s">
        <v>550</v>
      </c>
      <c r="C1542" s="5" t="s">
        <v>17</v>
      </c>
      <c r="D1542" s="5" t="s">
        <v>209</v>
      </c>
      <c r="E1542" s="5" t="s">
        <v>210</v>
      </c>
      <c r="F1542" s="5" t="s">
        <v>552</v>
      </c>
      <c r="G1542" s="22">
        <v>0</v>
      </c>
      <c r="H1542" s="22">
        <v>0</v>
      </c>
      <c r="I1542" s="22">
        <v>0.03</v>
      </c>
      <c r="J1542" s="22">
        <v>0</v>
      </c>
      <c r="K1542" s="22">
        <v>0</v>
      </c>
      <c r="L1542" s="22">
        <v>0.03</v>
      </c>
      <c r="M1542" s="10"/>
      <c r="N1542" s="67"/>
      <c r="O1542" s="11"/>
    </row>
    <row r="1543" spans="1:15" x14ac:dyDescent="0.25">
      <c r="A1543" s="6"/>
      <c r="B1543" s="5"/>
      <c r="C1543" s="5"/>
      <c r="D1543" s="5" t="s">
        <v>209</v>
      </c>
      <c r="E1543" s="5" t="s">
        <v>210</v>
      </c>
      <c r="F1543" s="5" t="s">
        <v>552</v>
      </c>
      <c r="G1543" s="14">
        <f t="shared" ref="G1543:L1543" si="388">SUBTOTAL(9,G1542:G1542)</f>
        <v>0</v>
      </c>
      <c r="H1543" s="14">
        <f t="shared" si="388"/>
        <v>0</v>
      </c>
      <c r="I1543" s="14">
        <f t="shared" si="388"/>
        <v>0.03</v>
      </c>
      <c r="J1543" s="14">
        <f t="shared" si="388"/>
        <v>0</v>
      </c>
      <c r="K1543" s="14">
        <f t="shared" si="388"/>
        <v>0</v>
      </c>
      <c r="L1543" s="14">
        <f t="shared" si="388"/>
        <v>0.03</v>
      </c>
      <c r="M1543" s="10">
        <v>2494</v>
      </c>
      <c r="N1543" s="69"/>
      <c r="O1543" s="11">
        <f>O1540+1</f>
        <v>376</v>
      </c>
    </row>
    <row r="1544" spans="1:15" x14ac:dyDescent="0.25">
      <c r="A1544" s="10"/>
      <c r="G1544" s="21"/>
      <c r="H1544" s="21"/>
      <c r="I1544" s="21"/>
      <c r="J1544" s="21"/>
      <c r="K1544" s="21"/>
      <c r="L1544" s="21"/>
      <c r="M1544" s="10"/>
      <c r="O1544" s="11"/>
    </row>
    <row r="1545" spans="1:15" s="4" customFormat="1" x14ac:dyDescent="0.25">
      <c r="A1545" s="6">
        <v>761</v>
      </c>
      <c r="B1545" s="5" t="s">
        <v>18</v>
      </c>
      <c r="C1545" s="5" t="s">
        <v>17</v>
      </c>
      <c r="D1545" s="5" t="s">
        <v>211</v>
      </c>
      <c r="E1545" s="5" t="s">
        <v>212</v>
      </c>
      <c r="F1545" s="5" t="s">
        <v>19</v>
      </c>
      <c r="G1545" s="22">
        <v>36.68</v>
      </c>
      <c r="H1545" s="22">
        <v>0</v>
      </c>
      <c r="I1545" s="22">
        <v>0</v>
      </c>
      <c r="J1545" s="22">
        <v>0</v>
      </c>
      <c r="K1545" s="22">
        <v>-32.54</v>
      </c>
      <c r="L1545" s="22">
        <v>4.1399999999999997</v>
      </c>
      <c r="M1545" s="10"/>
      <c r="N1545" s="67"/>
      <c r="O1545" s="11"/>
    </row>
    <row r="1546" spans="1:15" s="4" customFormat="1" x14ac:dyDescent="0.25">
      <c r="A1546" s="6"/>
      <c r="B1546" s="5"/>
      <c r="C1546" s="5"/>
      <c r="D1546" s="5" t="s">
        <v>211</v>
      </c>
      <c r="E1546" s="5" t="s">
        <v>212</v>
      </c>
      <c r="F1546" s="5" t="s">
        <v>19</v>
      </c>
      <c r="G1546" s="14">
        <f t="shared" ref="G1546:L1546" si="389">SUBTOTAL(9,G1545:G1545)</f>
        <v>36.68</v>
      </c>
      <c r="H1546" s="14">
        <f t="shared" si="389"/>
        <v>0</v>
      </c>
      <c r="I1546" s="14">
        <f t="shared" si="389"/>
        <v>0</v>
      </c>
      <c r="J1546" s="14">
        <f t="shared" si="389"/>
        <v>0</v>
      </c>
      <c r="K1546" s="14">
        <f t="shared" si="389"/>
        <v>-32.54</v>
      </c>
      <c r="L1546" s="14">
        <f t="shared" si="389"/>
        <v>4.1399999999999997</v>
      </c>
      <c r="M1546" s="10">
        <v>2495</v>
      </c>
      <c r="N1546" s="69"/>
      <c r="O1546" s="11">
        <f>O1543+1</f>
        <v>377</v>
      </c>
    </row>
    <row r="1547" spans="1:15" x14ac:dyDescent="0.25">
      <c r="A1547" s="10"/>
      <c r="G1547" s="21"/>
      <c r="H1547" s="21"/>
      <c r="I1547" s="21"/>
      <c r="J1547" s="21"/>
      <c r="K1547" s="21"/>
      <c r="L1547" s="21"/>
      <c r="M1547" s="10"/>
      <c r="O1547" s="11"/>
    </row>
    <row r="1548" spans="1:15" x14ac:dyDescent="0.25">
      <c r="A1548" s="6">
        <v>762</v>
      </c>
      <c r="B1548" s="5" t="s">
        <v>550</v>
      </c>
      <c r="C1548" s="5" t="s">
        <v>17</v>
      </c>
      <c r="D1548" s="5" t="s">
        <v>211</v>
      </c>
      <c r="E1548" s="5" t="s">
        <v>212</v>
      </c>
      <c r="F1548" s="5" t="s">
        <v>551</v>
      </c>
      <c r="G1548" s="22">
        <v>1567.18</v>
      </c>
      <c r="H1548" s="22">
        <v>0</v>
      </c>
      <c r="I1548" s="22">
        <v>0</v>
      </c>
      <c r="J1548" s="22">
        <v>0</v>
      </c>
      <c r="K1548" s="22">
        <v>-31.34</v>
      </c>
      <c r="L1548" s="22">
        <v>1535.84</v>
      </c>
      <c r="M1548" s="10"/>
      <c r="O1548" s="11"/>
    </row>
    <row r="1549" spans="1:15" s="4" customFormat="1" x14ac:dyDescent="0.25">
      <c r="A1549" s="6">
        <v>763</v>
      </c>
      <c r="B1549" s="5" t="s">
        <v>550</v>
      </c>
      <c r="C1549" s="5" t="s">
        <v>13</v>
      </c>
      <c r="D1549" s="5" t="s">
        <v>211</v>
      </c>
      <c r="E1549" s="5" t="s">
        <v>212</v>
      </c>
      <c r="F1549" s="5" t="s">
        <v>551</v>
      </c>
      <c r="G1549" s="22">
        <v>0</v>
      </c>
      <c r="H1549" s="22">
        <v>0</v>
      </c>
      <c r="I1549" s="22">
        <v>0</v>
      </c>
      <c r="J1549" s="22">
        <v>188.06</v>
      </c>
      <c r="K1549" s="22">
        <v>0</v>
      </c>
      <c r="L1549" s="22">
        <v>188.06</v>
      </c>
      <c r="M1549" s="10"/>
      <c r="N1549" s="67"/>
      <c r="O1549" s="11"/>
    </row>
    <row r="1550" spans="1:15" s="4" customFormat="1" x14ac:dyDescent="0.25">
      <c r="A1550" s="6"/>
      <c r="B1550" s="5"/>
      <c r="C1550" s="5"/>
      <c r="D1550" s="5" t="s">
        <v>211</v>
      </c>
      <c r="E1550" s="5" t="s">
        <v>212</v>
      </c>
      <c r="F1550" s="5" t="s">
        <v>551</v>
      </c>
      <c r="G1550" s="14">
        <f t="shared" ref="G1550:L1550" si="390">SUBTOTAL(9,G1548:G1549)</f>
        <v>1567.18</v>
      </c>
      <c r="H1550" s="14">
        <f t="shared" si="390"/>
        <v>0</v>
      </c>
      <c r="I1550" s="14">
        <f t="shared" si="390"/>
        <v>0</v>
      </c>
      <c r="J1550" s="14">
        <f t="shared" si="390"/>
        <v>188.06</v>
      </c>
      <c r="K1550" s="14">
        <f t="shared" si="390"/>
        <v>-31.34</v>
      </c>
      <c r="L1550" s="14">
        <f t="shared" si="390"/>
        <v>1723.8999999999999</v>
      </c>
      <c r="M1550" s="10">
        <v>2496</v>
      </c>
      <c r="N1550" s="69"/>
      <c r="O1550" s="11">
        <f>O1546+1</f>
        <v>378</v>
      </c>
    </row>
    <row r="1551" spans="1:15" x14ac:dyDescent="0.25">
      <c r="A1551" s="10"/>
      <c r="G1551" s="21"/>
      <c r="H1551" s="21"/>
      <c r="I1551" s="21"/>
      <c r="J1551" s="21"/>
      <c r="K1551" s="21"/>
      <c r="L1551" s="21"/>
      <c r="M1551" s="10"/>
      <c r="O1551" s="11"/>
    </row>
    <row r="1552" spans="1:15" x14ac:dyDescent="0.25">
      <c r="A1552" s="6">
        <v>764</v>
      </c>
      <c r="B1552" s="5" t="s">
        <v>550</v>
      </c>
      <c r="C1552" s="5" t="s">
        <v>17</v>
      </c>
      <c r="D1552" s="5" t="s">
        <v>211</v>
      </c>
      <c r="E1552" s="5" t="s">
        <v>212</v>
      </c>
      <c r="F1552" s="5" t="s">
        <v>552</v>
      </c>
      <c r="G1552" s="22">
        <v>0.11</v>
      </c>
      <c r="H1552" s="22">
        <v>0</v>
      </c>
      <c r="I1552" s="22">
        <v>0</v>
      </c>
      <c r="J1552" s="22">
        <v>0</v>
      </c>
      <c r="K1552" s="22">
        <v>0</v>
      </c>
      <c r="L1552" s="22">
        <v>0.11</v>
      </c>
      <c r="M1552" s="10"/>
      <c r="O1552" s="11"/>
    </row>
    <row r="1553" spans="1:15" s="4" customFormat="1" x14ac:dyDescent="0.25">
      <c r="A1553" s="6">
        <v>765</v>
      </c>
      <c r="B1553" s="5" t="s">
        <v>550</v>
      </c>
      <c r="C1553" s="5" t="s">
        <v>13</v>
      </c>
      <c r="D1553" s="5" t="s">
        <v>211</v>
      </c>
      <c r="E1553" s="5" t="s">
        <v>212</v>
      </c>
      <c r="F1553" s="5" t="s">
        <v>552</v>
      </c>
      <c r="G1553" s="22">
        <v>0</v>
      </c>
      <c r="H1553" s="22">
        <v>0</v>
      </c>
      <c r="I1553" s="22">
        <v>0</v>
      </c>
      <c r="J1553" s="22">
        <v>0.01</v>
      </c>
      <c r="K1553" s="22">
        <v>0</v>
      </c>
      <c r="L1553" s="22">
        <v>0.01</v>
      </c>
      <c r="M1553" s="10"/>
      <c r="N1553" s="67"/>
      <c r="O1553" s="11"/>
    </row>
    <row r="1554" spans="1:15" s="4" customFormat="1" x14ac:dyDescent="0.25">
      <c r="A1554" s="6"/>
      <c r="B1554" s="5"/>
      <c r="C1554" s="5"/>
      <c r="D1554" s="5" t="s">
        <v>211</v>
      </c>
      <c r="E1554" s="5" t="s">
        <v>212</v>
      </c>
      <c r="F1554" s="5" t="s">
        <v>552</v>
      </c>
      <c r="G1554" s="14">
        <f t="shared" ref="G1554:L1554" si="391">SUBTOTAL(9,G1552:G1553)</f>
        <v>0.11</v>
      </c>
      <c r="H1554" s="14">
        <f t="shared" si="391"/>
        <v>0</v>
      </c>
      <c r="I1554" s="14">
        <f t="shared" si="391"/>
        <v>0</v>
      </c>
      <c r="J1554" s="14">
        <f t="shared" si="391"/>
        <v>0.01</v>
      </c>
      <c r="K1554" s="14">
        <f t="shared" si="391"/>
        <v>0</v>
      </c>
      <c r="L1554" s="14">
        <f t="shared" si="391"/>
        <v>0.12</v>
      </c>
      <c r="M1554" s="10">
        <v>2497</v>
      </c>
      <c r="N1554" s="69"/>
      <c r="O1554" s="11">
        <f>O1550+1</f>
        <v>379</v>
      </c>
    </row>
    <row r="1555" spans="1:15" x14ac:dyDescent="0.25">
      <c r="A1555" s="10"/>
      <c r="G1555" s="21"/>
      <c r="H1555" s="21"/>
      <c r="I1555" s="21"/>
      <c r="J1555" s="21"/>
      <c r="K1555" s="21"/>
      <c r="L1555" s="21"/>
      <c r="M1555" s="10"/>
      <c r="O1555" s="11"/>
    </row>
    <row r="1556" spans="1:15" x14ac:dyDescent="0.25">
      <c r="A1556" s="6">
        <v>766</v>
      </c>
      <c r="B1556" s="5" t="s">
        <v>18</v>
      </c>
      <c r="C1556" s="5" t="s">
        <v>17</v>
      </c>
      <c r="D1556" s="5" t="s">
        <v>213</v>
      </c>
      <c r="E1556" s="5" t="s">
        <v>214</v>
      </c>
      <c r="F1556" s="5" t="s">
        <v>19</v>
      </c>
      <c r="G1556" s="22">
        <v>70.41</v>
      </c>
      <c r="H1556" s="22">
        <v>0</v>
      </c>
      <c r="I1556" s="22">
        <v>0</v>
      </c>
      <c r="J1556" s="22">
        <v>0</v>
      </c>
      <c r="K1556" s="22">
        <v>-62.47</v>
      </c>
      <c r="L1556" s="22">
        <v>7.94</v>
      </c>
      <c r="M1556" s="10"/>
      <c r="O1556" s="11"/>
    </row>
    <row r="1557" spans="1:15" s="4" customFormat="1" x14ac:dyDescent="0.25">
      <c r="A1557" s="6">
        <v>767</v>
      </c>
      <c r="B1557" s="5" t="s">
        <v>18</v>
      </c>
      <c r="C1557" s="5" t="s">
        <v>17</v>
      </c>
      <c r="D1557" s="5" t="s">
        <v>213</v>
      </c>
      <c r="E1557" s="5" t="s">
        <v>214</v>
      </c>
      <c r="F1557" s="5" t="s">
        <v>19</v>
      </c>
      <c r="G1557" s="22">
        <v>3.82</v>
      </c>
      <c r="H1557" s="22">
        <v>0</v>
      </c>
      <c r="I1557" s="22">
        <v>0</v>
      </c>
      <c r="J1557" s="22">
        <v>0</v>
      </c>
      <c r="K1557" s="22">
        <v>-3.39</v>
      </c>
      <c r="L1557" s="22">
        <v>0.43</v>
      </c>
      <c r="M1557" s="10"/>
      <c r="N1557" s="67"/>
      <c r="O1557" s="11"/>
    </row>
    <row r="1558" spans="1:15" x14ac:dyDescent="0.25">
      <c r="A1558" s="6"/>
      <c r="B1558" s="5"/>
      <c r="C1558" s="5"/>
      <c r="D1558" s="5" t="s">
        <v>213</v>
      </c>
      <c r="E1558" s="5" t="s">
        <v>214</v>
      </c>
      <c r="F1558" s="5" t="s">
        <v>19</v>
      </c>
      <c r="G1558" s="14">
        <f t="shared" ref="G1558:L1558" si="392">SUBTOTAL(9,G1556:G1557)</f>
        <v>74.22999999999999</v>
      </c>
      <c r="H1558" s="14">
        <f t="shared" si="392"/>
        <v>0</v>
      </c>
      <c r="I1558" s="14">
        <f t="shared" si="392"/>
        <v>0</v>
      </c>
      <c r="J1558" s="14">
        <f t="shared" si="392"/>
        <v>0</v>
      </c>
      <c r="K1558" s="14">
        <f t="shared" si="392"/>
        <v>-65.86</v>
      </c>
      <c r="L1558" s="14">
        <f t="shared" si="392"/>
        <v>8.370000000000001</v>
      </c>
      <c r="M1558" s="10">
        <v>2498</v>
      </c>
      <c r="N1558" s="69"/>
      <c r="O1558" s="11">
        <f>O1554+1</f>
        <v>380</v>
      </c>
    </row>
    <row r="1559" spans="1:15" x14ac:dyDescent="0.25">
      <c r="A1559" s="10"/>
      <c r="G1559" s="21"/>
      <c r="H1559" s="21"/>
      <c r="I1559" s="21"/>
      <c r="J1559" s="21"/>
      <c r="K1559" s="21"/>
      <c r="L1559" s="21"/>
      <c r="M1559" s="10"/>
      <c r="O1559" s="11"/>
    </row>
    <row r="1560" spans="1:15" s="4" customFormat="1" x14ac:dyDescent="0.25">
      <c r="A1560" s="6">
        <v>768</v>
      </c>
      <c r="B1560" s="5" t="s">
        <v>550</v>
      </c>
      <c r="C1560" s="5" t="s">
        <v>17</v>
      </c>
      <c r="D1560" s="5" t="s">
        <v>213</v>
      </c>
      <c r="E1560" s="5" t="s">
        <v>214</v>
      </c>
      <c r="F1560" s="5" t="s">
        <v>551</v>
      </c>
      <c r="G1560" s="22">
        <v>852726.85</v>
      </c>
      <c r="H1560" s="22">
        <v>0</v>
      </c>
      <c r="I1560" s="22">
        <v>0</v>
      </c>
      <c r="J1560" s="22">
        <v>0</v>
      </c>
      <c r="K1560" s="22">
        <v>-17054.54</v>
      </c>
      <c r="L1560" s="22">
        <v>835672.31</v>
      </c>
      <c r="M1560" s="10"/>
      <c r="N1560" s="67"/>
      <c r="O1560" s="11"/>
    </row>
    <row r="1561" spans="1:15" x14ac:dyDescent="0.25">
      <c r="A1561" s="6">
        <v>769</v>
      </c>
      <c r="B1561" s="5" t="s">
        <v>550</v>
      </c>
      <c r="C1561" s="5" t="s">
        <v>17</v>
      </c>
      <c r="D1561" s="5" t="s">
        <v>213</v>
      </c>
      <c r="E1561" s="5" t="s">
        <v>214</v>
      </c>
      <c r="F1561" s="5" t="s">
        <v>551</v>
      </c>
      <c r="G1561" s="22">
        <v>90378.51</v>
      </c>
      <c r="H1561" s="22">
        <v>0</v>
      </c>
      <c r="I1561" s="22">
        <v>0</v>
      </c>
      <c r="J1561" s="22">
        <v>0</v>
      </c>
      <c r="K1561" s="22">
        <v>-1807.57</v>
      </c>
      <c r="L1561" s="22">
        <v>88570.94</v>
      </c>
      <c r="M1561" s="10"/>
      <c r="O1561" s="11"/>
    </row>
    <row r="1562" spans="1:15" x14ac:dyDescent="0.25">
      <c r="A1562" s="6">
        <v>770</v>
      </c>
      <c r="B1562" s="5" t="s">
        <v>550</v>
      </c>
      <c r="C1562" s="5" t="s">
        <v>13</v>
      </c>
      <c r="D1562" s="5" t="s">
        <v>213</v>
      </c>
      <c r="E1562" s="5" t="s">
        <v>214</v>
      </c>
      <c r="F1562" s="5" t="s">
        <v>551</v>
      </c>
      <c r="G1562" s="22">
        <v>0</v>
      </c>
      <c r="H1562" s="22">
        <v>0</v>
      </c>
      <c r="I1562" s="22">
        <v>0</v>
      </c>
      <c r="J1562" s="22">
        <v>102327.22</v>
      </c>
      <c r="K1562" s="22">
        <v>0</v>
      </c>
      <c r="L1562" s="22">
        <v>102327.22</v>
      </c>
      <c r="M1562" s="10"/>
      <c r="O1562" s="11"/>
    </row>
    <row r="1563" spans="1:15" s="4" customFormat="1" x14ac:dyDescent="0.25">
      <c r="A1563" s="6">
        <v>771</v>
      </c>
      <c r="B1563" s="5" t="s">
        <v>550</v>
      </c>
      <c r="C1563" s="5" t="s">
        <v>13</v>
      </c>
      <c r="D1563" s="5" t="s">
        <v>213</v>
      </c>
      <c r="E1563" s="5" t="s">
        <v>214</v>
      </c>
      <c r="F1563" s="5" t="s">
        <v>551</v>
      </c>
      <c r="G1563" s="22">
        <v>0</v>
      </c>
      <c r="H1563" s="22">
        <v>0</v>
      </c>
      <c r="I1563" s="22">
        <v>0</v>
      </c>
      <c r="J1563" s="22">
        <v>10845.42</v>
      </c>
      <c r="K1563" s="22">
        <v>0</v>
      </c>
      <c r="L1563" s="22">
        <v>10845.42</v>
      </c>
      <c r="M1563" s="10"/>
      <c r="N1563" s="67"/>
      <c r="O1563" s="11"/>
    </row>
    <row r="1564" spans="1:15" s="4" customFormat="1" x14ac:dyDescent="0.25">
      <c r="A1564" s="6"/>
      <c r="B1564" s="5"/>
      <c r="C1564" s="5"/>
      <c r="D1564" s="5" t="s">
        <v>213</v>
      </c>
      <c r="E1564" s="5" t="s">
        <v>214</v>
      </c>
      <c r="F1564" s="5" t="s">
        <v>551</v>
      </c>
      <c r="G1564" s="14">
        <f t="shared" ref="G1564:L1564" si="393">SUBTOTAL(9,G1560:G1563)</f>
        <v>943105.36</v>
      </c>
      <c r="H1564" s="14">
        <f t="shared" si="393"/>
        <v>0</v>
      </c>
      <c r="I1564" s="14">
        <f t="shared" si="393"/>
        <v>0</v>
      </c>
      <c r="J1564" s="14">
        <f t="shared" si="393"/>
        <v>113172.64</v>
      </c>
      <c r="K1564" s="14">
        <f t="shared" si="393"/>
        <v>-18862.11</v>
      </c>
      <c r="L1564" s="14">
        <f t="shared" si="393"/>
        <v>1037415.89</v>
      </c>
      <c r="M1564" s="10">
        <v>2499</v>
      </c>
      <c r="N1564" s="69"/>
      <c r="O1564" s="11">
        <f>O1558+1</f>
        <v>381</v>
      </c>
    </row>
    <row r="1565" spans="1:15" x14ac:dyDescent="0.25">
      <c r="A1565" s="10"/>
      <c r="G1565" s="21"/>
      <c r="H1565" s="21"/>
      <c r="I1565" s="21"/>
      <c r="J1565" s="21"/>
      <c r="K1565" s="21"/>
      <c r="L1565" s="21"/>
      <c r="M1565" s="10"/>
      <c r="O1565" s="11"/>
    </row>
    <row r="1566" spans="1:15" x14ac:dyDescent="0.25">
      <c r="A1566" s="6">
        <v>772</v>
      </c>
      <c r="B1566" s="5" t="s">
        <v>550</v>
      </c>
      <c r="C1566" s="5" t="s">
        <v>17</v>
      </c>
      <c r="D1566" s="5" t="s">
        <v>213</v>
      </c>
      <c r="E1566" s="5" t="s">
        <v>214</v>
      </c>
      <c r="F1566" s="5" t="s">
        <v>552</v>
      </c>
      <c r="G1566" s="22">
        <v>61.33</v>
      </c>
      <c r="H1566" s="22">
        <v>0</v>
      </c>
      <c r="I1566" s="22">
        <v>0</v>
      </c>
      <c r="J1566" s="22">
        <v>0</v>
      </c>
      <c r="K1566" s="22">
        <v>-1.23</v>
      </c>
      <c r="L1566" s="22">
        <v>60.1</v>
      </c>
      <c r="M1566" s="10"/>
      <c r="O1566" s="11"/>
    </row>
    <row r="1567" spans="1:15" s="4" customFormat="1" x14ac:dyDescent="0.25">
      <c r="A1567" s="6">
        <v>773</v>
      </c>
      <c r="B1567" s="5" t="s">
        <v>550</v>
      </c>
      <c r="C1567" s="5" t="s">
        <v>17</v>
      </c>
      <c r="D1567" s="5" t="s">
        <v>213</v>
      </c>
      <c r="E1567" s="5" t="s">
        <v>214</v>
      </c>
      <c r="F1567" s="5" t="s">
        <v>552</v>
      </c>
      <c r="G1567" s="22">
        <v>6.5</v>
      </c>
      <c r="H1567" s="22">
        <v>0</v>
      </c>
      <c r="I1567" s="22">
        <v>0</v>
      </c>
      <c r="J1567" s="22">
        <v>0</v>
      </c>
      <c r="K1567" s="22">
        <v>-0.13</v>
      </c>
      <c r="L1567" s="22">
        <v>6.37</v>
      </c>
      <c r="M1567" s="10"/>
      <c r="N1567" s="67"/>
      <c r="O1567" s="11"/>
    </row>
    <row r="1568" spans="1:15" s="4" customFormat="1" x14ac:dyDescent="0.25">
      <c r="A1568" s="6">
        <v>774</v>
      </c>
      <c r="B1568" s="5" t="s">
        <v>550</v>
      </c>
      <c r="C1568" s="5" t="s">
        <v>13</v>
      </c>
      <c r="D1568" s="5" t="s">
        <v>213</v>
      </c>
      <c r="E1568" s="5" t="s">
        <v>214</v>
      </c>
      <c r="F1568" s="5" t="s">
        <v>552</v>
      </c>
      <c r="G1568" s="22">
        <v>0</v>
      </c>
      <c r="H1568" s="22">
        <v>0</v>
      </c>
      <c r="I1568" s="22">
        <v>0</v>
      </c>
      <c r="J1568" s="22">
        <v>7.36</v>
      </c>
      <c r="K1568" s="22">
        <v>0</v>
      </c>
      <c r="L1568" s="22">
        <v>7.36</v>
      </c>
      <c r="M1568" s="10"/>
      <c r="N1568" s="67"/>
      <c r="O1568" s="11"/>
    </row>
    <row r="1569" spans="1:15" x14ac:dyDescent="0.25">
      <c r="A1569" s="6">
        <v>775</v>
      </c>
      <c r="B1569" s="5" t="s">
        <v>550</v>
      </c>
      <c r="C1569" s="5" t="s">
        <v>13</v>
      </c>
      <c r="D1569" s="5" t="s">
        <v>213</v>
      </c>
      <c r="E1569" s="5" t="s">
        <v>214</v>
      </c>
      <c r="F1569" s="5" t="s">
        <v>552</v>
      </c>
      <c r="G1569" s="22">
        <v>0</v>
      </c>
      <c r="H1569" s="22">
        <v>0</v>
      </c>
      <c r="I1569" s="22">
        <v>0</v>
      </c>
      <c r="J1569" s="22">
        <v>0.78</v>
      </c>
      <c r="K1569" s="22">
        <v>0</v>
      </c>
      <c r="L1569" s="22">
        <v>0.78</v>
      </c>
      <c r="M1569" s="10"/>
      <c r="O1569" s="11"/>
    </row>
    <row r="1570" spans="1:15" x14ac:dyDescent="0.25">
      <c r="A1570" s="6"/>
      <c r="B1570" s="5"/>
      <c r="C1570" s="5"/>
      <c r="D1570" s="5" t="s">
        <v>213</v>
      </c>
      <c r="E1570" s="5" t="s">
        <v>214</v>
      </c>
      <c r="F1570" s="5" t="s">
        <v>552</v>
      </c>
      <c r="G1570" s="14">
        <f t="shared" ref="G1570:L1570" si="394">SUBTOTAL(9,G1566:G1569)</f>
        <v>67.83</v>
      </c>
      <c r="H1570" s="14">
        <f t="shared" si="394"/>
        <v>0</v>
      </c>
      <c r="I1570" s="14">
        <f t="shared" si="394"/>
        <v>0</v>
      </c>
      <c r="J1570" s="14">
        <f t="shared" si="394"/>
        <v>8.14</v>
      </c>
      <c r="K1570" s="14">
        <f t="shared" si="394"/>
        <v>-1.3599999999999999</v>
      </c>
      <c r="L1570" s="14">
        <f t="shared" si="394"/>
        <v>74.61</v>
      </c>
      <c r="M1570" s="10">
        <v>2500</v>
      </c>
      <c r="N1570" s="69"/>
      <c r="O1570" s="11">
        <f>O1564+1</f>
        <v>382</v>
      </c>
    </row>
    <row r="1571" spans="1:15" s="4" customFormat="1" x14ac:dyDescent="0.25">
      <c r="A1571" s="10"/>
      <c r="B1571"/>
      <c r="C1571"/>
      <c r="D1571"/>
      <c r="E1571"/>
      <c r="F1571"/>
      <c r="G1571" s="21"/>
      <c r="H1571" s="21"/>
      <c r="I1571" s="21"/>
      <c r="J1571" s="21"/>
      <c r="K1571" s="21"/>
      <c r="L1571" s="21"/>
      <c r="M1571" s="10"/>
      <c r="N1571" s="67"/>
      <c r="O1571" s="11"/>
    </row>
    <row r="1572" spans="1:15" s="4" customFormat="1" x14ac:dyDescent="0.25">
      <c r="A1572" s="6">
        <v>776</v>
      </c>
      <c r="B1572" s="5" t="s">
        <v>550</v>
      </c>
      <c r="C1572" s="5" t="s">
        <v>13</v>
      </c>
      <c r="D1572" s="5" t="s">
        <v>215</v>
      </c>
      <c r="E1572" s="5" t="s">
        <v>216</v>
      </c>
      <c r="F1572" s="5" t="s">
        <v>551</v>
      </c>
      <c r="G1572" s="22">
        <v>0</v>
      </c>
      <c r="H1572" s="22">
        <v>0</v>
      </c>
      <c r="I1572" s="22">
        <v>0</v>
      </c>
      <c r="J1572" s="22">
        <v>402.55</v>
      </c>
      <c r="K1572" s="22">
        <v>0</v>
      </c>
      <c r="L1572" s="22">
        <v>402.55</v>
      </c>
      <c r="M1572" s="10"/>
      <c r="N1572" s="67"/>
      <c r="O1572" s="11"/>
    </row>
    <row r="1573" spans="1:15" x14ac:dyDescent="0.25">
      <c r="A1573" s="6">
        <v>777</v>
      </c>
      <c r="B1573" s="5" t="s">
        <v>550</v>
      </c>
      <c r="C1573" s="5" t="s">
        <v>17</v>
      </c>
      <c r="D1573" s="5" t="s">
        <v>215</v>
      </c>
      <c r="E1573" s="5" t="s">
        <v>216</v>
      </c>
      <c r="F1573" s="5" t="s">
        <v>551</v>
      </c>
      <c r="G1573" s="22">
        <v>3354.55</v>
      </c>
      <c r="H1573" s="22">
        <v>0</v>
      </c>
      <c r="I1573" s="22">
        <v>0</v>
      </c>
      <c r="J1573" s="22">
        <v>0</v>
      </c>
      <c r="K1573" s="22">
        <v>-67.09</v>
      </c>
      <c r="L1573" s="22">
        <v>3287.46</v>
      </c>
      <c r="M1573" s="10"/>
      <c r="O1573" s="11"/>
    </row>
    <row r="1574" spans="1:15" x14ac:dyDescent="0.25">
      <c r="A1574" s="6"/>
      <c r="B1574" s="5"/>
      <c r="C1574" s="5"/>
      <c r="D1574" s="5" t="s">
        <v>215</v>
      </c>
      <c r="E1574" s="5" t="s">
        <v>216</v>
      </c>
      <c r="F1574" s="5" t="s">
        <v>551</v>
      </c>
      <c r="G1574" s="14">
        <f t="shared" ref="G1574:L1574" si="395">SUBTOTAL(9,G1572:G1573)</f>
        <v>3354.55</v>
      </c>
      <c r="H1574" s="14">
        <f t="shared" si="395"/>
        <v>0</v>
      </c>
      <c r="I1574" s="14">
        <f t="shared" si="395"/>
        <v>0</v>
      </c>
      <c r="J1574" s="14">
        <f t="shared" si="395"/>
        <v>402.55</v>
      </c>
      <c r="K1574" s="14">
        <f t="shared" si="395"/>
        <v>-67.09</v>
      </c>
      <c r="L1574" s="14">
        <f t="shared" si="395"/>
        <v>3690.01</v>
      </c>
      <c r="M1574" s="10">
        <v>2501</v>
      </c>
      <c r="N1574" s="69"/>
      <c r="O1574" s="11">
        <f>O1570+1</f>
        <v>383</v>
      </c>
    </row>
    <row r="1575" spans="1:15" s="4" customFormat="1" x14ac:dyDescent="0.25">
      <c r="A1575" s="10"/>
      <c r="B1575"/>
      <c r="C1575"/>
      <c r="D1575"/>
      <c r="E1575"/>
      <c r="F1575"/>
      <c r="G1575" s="21"/>
      <c r="H1575" s="21"/>
      <c r="I1575" s="21"/>
      <c r="J1575" s="21"/>
      <c r="K1575" s="21"/>
      <c r="L1575" s="21"/>
      <c r="M1575" s="10"/>
      <c r="N1575" s="67"/>
      <c r="O1575" s="11"/>
    </row>
    <row r="1576" spans="1:15" s="4" customFormat="1" x14ac:dyDescent="0.25">
      <c r="A1576" s="6">
        <v>778</v>
      </c>
      <c r="B1576" s="5" t="s">
        <v>550</v>
      </c>
      <c r="C1576" s="5" t="s">
        <v>13</v>
      </c>
      <c r="D1576" s="5" t="s">
        <v>215</v>
      </c>
      <c r="E1576" s="5" t="s">
        <v>216</v>
      </c>
      <c r="F1576" s="5" t="s">
        <v>552</v>
      </c>
      <c r="G1576" s="22">
        <v>0</v>
      </c>
      <c r="H1576" s="22">
        <v>0</v>
      </c>
      <c r="I1576" s="22">
        <v>0</v>
      </c>
      <c r="J1576" s="22">
        <v>0.03</v>
      </c>
      <c r="K1576" s="22">
        <v>0</v>
      </c>
      <c r="L1576" s="22">
        <v>0.03</v>
      </c>
      <c r="M1576" s="10"/>
      <c r="N1576" s="67"/>
      <c r="O1576" s="11"/>
    </row>
    <row r="1577" spans="1:15" x14ac:dyDescent="0.25">
      <c r="A1577" s="6">
        <v>779</v>
      </c>
      <c r="B1577" s="5" t="s">
        <v>550</v>
      </c>
      <c r="C1577" s="5" t="s">
        <v>17</v>
      </c>
      <c r="D1577" s="5" t="s">
        <v>215</v>
      </c>
      <c r="E1577" s="5" t="s">
        <v>216</v>
      </c>
      <c r="F1577" s="5" t="s">
        <v>552</v>
      </c>
      <c r="G1577" s="22">
        <v>0.24</v>
      </c>
      <c r="H1577" s="22">
        <v>0</v>
      </c>
      <c r="I1577" s="22">
        <v>0</v>
      </c>
      <c r="J1577" s="22">
        <v>0</v>
      </c>
      <c r="K1577" s="22">
        <v>0</v>
      </c>
      <c r="L1577" s="22">
        <v>0.24</v>
      </c>
      <c r="M1577" s="10"/>
      <c r="O1577" s="11"/>
    </row>
    <row r="1578" spans="1:15" x14ac:dyDescent="0.25">
      <c r="A1578" s="6"/>
      <c r="B1578" s="5"/>
      <c r="C1578" s="5"/>
      <c r="D1578" s="5" t="s">
        <v>215</v>
      </c>
      <c r="E1578" s="5" t="s">
        <v>216</v>
      </c>
      <c r="F1578" s="5" t="s">
        <v>552</v>
      </c>
      <c r="G1578" s="14">
        <f t="shared" ref="G1578:L1578" si="396">SUBTOTAL(9,G1576:G1577)</f>
        <v>0.24</v>
      </c>
      <c r="H1578" s="14">
        <f t="shared" si="396"/>
        <v>0</v>
      </c>
      <c r="I1578" s="14">
        <f t="shared" si="396"/>
        <v>0</v>
      </c>
      <c r="J1578" s="14">
        <f t="shared" si="396"/>
        <v>0.03</v>
      </c>
      <c r="K1578" s="14">
        <f t="shared" si="396"/>
        <v>0</v>
      </c>
      <c r="L1578" s="14">
        <f t="shared" si="396"/>
        <v>0.27</v>
      </c>
      <c r="M1578" s="10">
        <v>2502</v>
      </c>
      <c r="N1578" s="69"/>
      <c r="O1578" s="11">
        <f>O1574+1</f>
        <v>384</v>
      </c>
    </row>
    <row r="1579" spans="1:15" s="4" customFormat="1" x14ac:dyDescent="0.25">
      <c r="A1579" s="10"/>
      <c r="B1579"/>
      <c r="C1579"/>
      <c r="D1579"/>
      <c r="E1579"/>
      <c r="F1579"/>
      <c r="G1579" s="21"/>
      <c r="H1579" s="21"/>
      <c r="I1579" s="21"/>
      <c r="J1579" s="21"/>
      <c r="K1579" s="21"/>
      <c r="L1579" s="21"/>
      <c r="M1579" s="10"/>
      <c r="N1579" s="67"/>
      <c r="O1579" s="11"/>
    </row>
    <row r="1580" spans="1:15" s="4" customFormat="1" x14ac:dyDescent="0.25">
      <c r="A1580" s="6">
        <v>780</v>
      </c>
      <c r="B1580" s="5" t="s">
        <v>20</v>
      </c>
      <c r="C1580" s="5" t="s">
        <v>13</v>
      </c>
      <c r="D1580" s="5" t="s">
        <v>217</v>
      </c>
      <c r="E1580" s="5" t="s">
        <v>218</v>
      </c>
      <c r="F1580" s="5" t="s">
        <v>21</v>
      </c>
      <c r="G1580" s="22">
        <v>0</v>
      </c>
      <c r="H1580" s="22">
        <v>0</v>
      </c>
      <c r="I1580" s="22">
        <v>0</v>
      </c>
      <c r="J1580" s="22">
        <v>1.74</v>
      </c>
      <c r="K1580" s="22">
        <v>0</v>
      </c>
      <c r="L1580" s="22">
        <v>1.74</v>
      </c>
      <c r="M1580" s="10"/>
      <c r="N1580" s="67"/>
      <c r="O1580" s="11"/>
    </row>
    <row r="1581" spans="1:15" x14ac:dyDescent="0.25">
      <c r="A1581" s="6"/>
      <c r="B1581" s="5"/>
      <c r="C1581" s="5"/>
      <c r="D1581" s="5" t="s">
        <v>217</v>
      </c>
      <c r="E1581" s="5" t="s">
        <v>218</v>
      </c>
      <c r="F1581" s="5" t="s">
        <v>21</v>
      </c>
      <c r="G1581" s="14">
        <f t="shared" ref="G1581:L1581" si="397">SUBTOTAL(9,G1580:G1580)</f>
        <v>0</v>
      </c>
      <c r="H1581" s="14">
        <f t="shared" si="397"/>
        <v>0</v>
      </c>
      <c r="I1581" s="14">
        <f t="shared" si="397"/>
        <v>0</v>
      </c>
      <c r="J1581" s="14">
        <f t="shared" si="397"/>
        <v>1.74</v>
      </c>
      <c r="K1581" s="14">
        <f t="shared" si="397"/>
        <v>0</v>
      </c>
      <c r="L1581" s="14">
        <f t="shared" si="397"/>
        <v>1.74</v>
      </c>
      <c r="M1581" s="10">
        <v>2503</v>
      </c>
      <c r="N1581" s="69"/>
      <c r="O1581" s="11">
        <f>O1578+1</f>
        <v>385</v>
      </c>
    </row>
    <row r="1582" spans="1:15" x14ac:dyDescent="0.25">
      <c r="A1582" s="10"/>
      <c r="G1582" s="21"/>
      <c r="H1582" s="21"/>
      <c r="I1582" s="21"/>
      <c r="J1582" s="21"/>
      <c r="K1582" s="21"/>
      <c r="L1582" s="21"/>
      <c r="M1582" s="10"/>
      <c r="O1582" s="11"/>
    </row>
    <row r="1583" spans="1:15" s="4" customFormat="1" x14ac:dyDescent="0.25">
      <c r="A1583" s="6">
        <v>781</v>
      </c>
      <c r="B1583" s="5" t="s">
        <v>22</v>
      </c>
      <c r="C1583" s="5" t="s">
        <v>17</v>
      </c>
      <c r="D1583" s="5" t="s">
        <v>217</v>
      </c>
      <c r="E1583" s="5" t="s">
        <v>218</v>
      </c>
      <c r="F1583" s="5" t="s">
        <v>23</v>
      </c>
      <c r="G1583" s="22">
        <v>31.78</v>
      </c>
      <c r="H1583" s="22">
        <v>0</v>
      </c>
      <c r="I1583" s="22">
        <v>0</v>
      </c>
      <c r="J1583" s="22">
        <v>0</v>
      </c>
      <c r="K1583" s="22">
        <v>-0.64</v>
      </c>
      <c r="L1583" s="22">
        <v>31.14</v>
      </c>
      <c r="M1583" s="10"/>
      <c r="N1583" s="67"/>
      <c r="O1583" s="11"/>
    </row>
    <row r="1584" spans="1:15" s="4" customFormat="1" x14ac:dyDescent="0.25">
      <c r="A1584" s="6">
        <v>782</v>
      </c>
      <c r="B1584" s="5" t="s">
        <v>22</v>
      </c>
      <c r="C1584" s="5" t="s">
        <v>49</v>
      </c>
      <c r="D1584" s="5" t="s">
        <v>217</v>
      </c>
      <c r="E1584" s="5" t="s">
        <v>218</v>
      </c>
      <c r="F1584" s="5" t="s">
        <v>23</v>
      </c>
      <c r="G1584" s="22">
        <v>0.05</v>
      </c>
      <c r="H1584" s="22">
        <v>0</v>
      </c>
      <c r="I1584" s="22">
        <v>0</v>
      </c>
      <c r="J1584" s="22">
        <v>0</v>
      </c>
      <c r="K1584" s="22">
        <v>0</v>
      </c>
      <c r="L1584" s="22">
        <v>0.05</v>
      </c>
      <c r="M1584" s="10"/>
      <c r="N1584" s="70">
        <v>0.05</v>
      </c>
      <c r="O1584" s="11"/>
    </row>
    <row r="1585" spans="1:15" x14ac:dyDescent="0.25">
      <c r="A1585" s="6">
        <v>783</v>
      </c>
      <c r="B1585" s="5" t="s">
        <v>22</v>
      </c>
      <c r="C1585" s="5" t="s">
        <v>13</v>
      </c>
      <c r="D1585" s="5" t="s">
        <v>217</v>
      </c>
      <c r="E1585" s="5" t="s">
        <v>218</v>
      </c>
      <c r="F1585" s="5" t="s">
        <v>23</v>
      </c>
      <c r="G1585" s="22">
        <v>0</v>
      </c>
      <c r="H1585" s="22">
        <v>0</v>
      </c>
      <c r="I1585" s="22">
        <v>0</v>
      </c>
      <c r="J1585" s="22">
        <v>0.1</v>
      </c>
      <c r="K1585" s="22">
        <v>0</v>
      </c>
      <c r="L1585" s="22">
        <v>0.1</v>
      </c>
      <c r="M1585" s="10"/>
      <c r="O1585" s="11"/>
    </row>
    <row r="1586" spans="1:15" x14ac:dyDescent="0.25">
      <c r="A1586" s="6">
        <v>784</v>
      </c>
      <c r="B1586" s="5" t="s">
        <v>22</v>
      </c>
      <c r="C1586" s="5" t="s">
        <v>13</v>
      </c>
      <c r="D1586" s="5" t="s">
        <v>217</v>
      </c>
      <c r="E1586" s="5" t="s">
        <v>218</v>
      </c>
      <c r="F1586" s="5" t="s">
        <v>23</v>
      </c>
      <c r="G1586" s="22">
        <v>0</v>
      </c>
      <c r="H1586" s="22">
        <v>0</v>
      </c>
      <c r="I1586" s="22">
        <v>0</v>
      </c>
      <c r="J1586" s="22">
        <v>8.31</v>
      </c>
      <c r="K1586" s="22">
        <v>0</v>
      </c>
      <c r="L1586" s="22">
        <v>8.31</v>
      </c>
      <c r="M1586" s="10"/>
      <c r="O1586" s="11"/>
    </row>
    <row r="1587" spans="1:15" s="4" customFormat="1" x14ac:dyDescent="0.25">
      <c r="A1587" s="6"/>
      <c r="B1587" s="5"/>
      <c r="C1587" s="5"/>
      <c r="D1587" s="5" t="s">
        <v>217</v>
      </c>
      <c r="E1587" s="5" t="s">
        <v>218</v>
      </c>
      <c r="F1587" s="5" t="s">
        <v>23</v>
      </c>
      <c r="G1587" s="14">
        <f t="shared" ref="G1587:L1587" si="398">SUBTOTAL(9,G1583:G1586)</f>
        <v>31.830000000000002</v>
      </c>
      <c r="H1587" s="14">
        <f t="shared" si="398"/>
        <v>0</v>
      </c>
      <c r="I1587" s="14">
        <f t="shared" si="398"/>
        <v>0</v>
      </c>
      <c r="J1587" s="14">
        <f t="shared" si="398"/>
        <v>8.41</v>
      </c>
      <c r="K1587" s="14">
        <f t="shared" si="398"/>
        <v>-0.64</v>
      </c>
      <c r="L1587" s="14">
        <f t="shared" si="398"/>
        <v>39.6</v>
      </c>
      <c r="M1587" s="10">
        <v>2504</v>
      </c>
      <c r="N1587" s="71">
        <f>SUBTOTAL(9,N1583:N1586)</f>
        <v>0.05</v>
      </c>
      <c r="O1587" s="11">
        <f>O1581+1</f>
        <v>386</v>
      </c>
    </row>
    <row r="1588" spans="1:15" x14ac:dyDescent="0.25">
      <c r="A1588" s="10"/>
      <c r="G1588" s="21"/>
      <c r="H1588" s="21"/>
      <c r="I1588" s="21"/>
      <c r="J1588" s="21"/>
      <c r="K1588" s="21"/>
      <c r="L1588" s="21"/>
      <c r="M1588" s="10"/>
      <c r="O1588" s="11"/>
    </row>
    <row r="1589" spans="1:15" x14ac:dyDescent="0.25">
      <c r="A1589" s="6">
        <v>785</v>
      </c>
      <c r="B1589" s="5" t="s">
        <v>22</v>
      </c>
      <c r="C1589" s="5" t="s">
        <v>17</v>
      </c>
      <c r="D1589" s="5" t="s">
        <v>217</v>
      </c>
      <c r="E1589" s="5" t="s">
        <v>218</v>
      </c>
      <c r="F1589" s="5" t="s">
        <v>24</v>
      </c>
      <c r="G1589" s="22">
        <v>0.06</v>
      </c>
      <c r="H1589" s="22">
        <v>0</v>
      </c>
      <c r="I1589" s="22">
        <v>0</v>
      </c>
      <c r="J1589" s="22">
        <v>0</v>
      </c>
      <c r="K1589" s="22">
        <v>0</v>
      </c>
      <c r="L1589" s="22">
        <v>0.06</v>
      </c>
      <c r="M1589" s="10"/>
      <c r="O1589" s="11"/>
    </row>
    <row r="1590" spans="1:15" s="4" customFormat="1" x14ac:dyDescent="0.25">
      <c r="A1590" s="6">
        <v>786</v>
      </c>
      <c r="B1590" s="5" t="s">
        <v>22</v>
      </c>
      <c r="C1590" s="5" t="s">
        <v>13</v>
      </c>
      <c r="D1590" s="5" t="s">
        <v>217</v>
      </c>
      <c r="E1590" s="5" t="s">
        <v>218</v>
      </c>
      <c r="F1590" s="5" t="s">
        <v>24</v>
      </c>
      <c r="G1590" s="22">
        <v>0</v>
      </c>
      <c r="H1590" s="22">
        <v>0</v>
      </c>
      <c r="I1590" s="22">
        <v>0</v>
      </c>
      <c r="J1590" s="22">
        <v>0.02</v>
      </c>
      <c r="K1590" s="22">
        <v>0</v>
      </c>
      <c r="L1590" s="22">
        <v>0.02</v>
      </c>
      <c r="M1590" s="10"/>
      <c r="N1590" s="67"/>
      <c r="O1590" s="11"/>
    </row>
    <row r="1591" spans="1:15" x14ac:dyDescent="0.25">
      <c r="A1591" s="6"/>
      <c r="B1591" s="5"/>
      <c r="C1591" s="5"/>
      <c r="D1591" s="5" t="s">
        <v>217</v>
      </c>
      <c r="E1591" s="5" t="s">
        <v>218</v>
      </c>
      <c r="F1591" s="5" t="s">
        <v>24</v>
      </c>
      <c r="G1591" s="14">
        <f t="shared" ref="G1591:L1591" si="399">SUBTOTAL(9,G1589:G1590)</f>
        <v>0.06</v>
      </c>
      <c r="H1591" s="14">
        <f t="shared" si="399"/>
        <v>0</v>
      </c>
      <c r="I1591" s="14">
        <f t="shared" si="399"/>
        <v>0</v>
      </c>
      <c r="J1591" s="14">
        <f t="shared" si="399"/>
        <v>0.02</v>
      </c>
      <c r="K1591" s="14">
        <f t="shared" si="399"/>
        <v>0</v>
      </c>
      <c r="L1591" s="14">
        <f t="shared" si="399"/>
        <v>0.08</v>
      </c>
      <c r="M1591" s="10">
        <v>2505</v>
      </c>
      <c r="N1591" s="69"/>
      <c r="O1591" s="11">
        <f>O1587+1</f>
        <v>387</v>
      </c>
    </row>
    <row r="1592" spans="1:15" x14ac:dyDescent="0.25">
      <c r="A1592" s="10"/>
      <c r="G1592" s="21"/>
      <c r="H1592" s="21"/>
      <c r="I1592" s="21"/>
      <c r="J1592" s="21"/>
      <c r="K1592" s="21"/>
      <c r="L1592" s="21"/>
      <c r="M1592" s="10"/>
      <c r="O1592" s="11"/>
    </row>
    <row r="1593" spans="1:15" s="4" customFormat="1" x14ac:dyDescent="0.25">
      <c r="A1593" s="6">
        <v>787</v>
      </c>
      <c r="B1593" s="5" t="s">
        <v>550</v>
      </c>
      <c r="C1593" s="5" t="s">
        <v>17</v>
      </c>
      <c r="D1593" s="5" t="s">
        <v>217</v>
      </c>
      <c r="E1593" s="5" t="s">
        <v>218</v>
      </c>
      <c r="F1593" s="5" t="s">
        <v>551</v>
      </c>
      <c r="G1593" s="22">
        <v>252.87</v>
      </c>
      <c r="H1593" s="22">
        <v>0</v>
      </c>
      <c r="I1593" s="22">
        <v>0</v>
      </c>
      <c r="J1593" s="22">
        <v>0</v>
      </c>
      <c r="K1593" s="22">
        <v>-5.0599999999999996</v>
      </c>
      <c r="L1593" s="22">
        <v>247.81</v>
      </c>
      <c r="M1593" s="10"/>
      <c r="N1593" s="67"/>
      <c r="O1593" s="11"/>
    </row>
    <row r="1594" spans="1:15" s="4" customFormat="1" x14ac:dyDescent="0.25">
      <c r="A1594" s="6">
        <v>788</v>
      </c>
      <c r="B1594" s="5" t="s">
        <v>550</v>
      </c>
      <c r="C1594" s="5" t="s">
        <v>49</v>
      </c>
      <c r="D1594" s="5" t="s">
        <v>217</v>
      </c>
      <c r="E1594" s="5" t="s">
        <v>218</v>
      </c>
      <c r="F1594" s="5" t="s">
        <v>551</v>
      </c>
      <c r="G1594" s="22">
        <v>0.08</v>
      </c>
      <c r="H1594" s="22">
        <v>0</v>
      </c>
      <c r="I1594" s="22">
        <v>0</v>
      </c>
      <c r="J1594" s="22">
        <v>0</v>
      </c>
      <c r="K1594" s="22">
        <v>0</v>
      </c>
      <c r="L1594" s="22">
        <v>0.08</v>
      </c>
      <c r="M1594" s="10"/>
      <c r="N1594" s="70">
        <v>0.08</v>
      </c>
      <c r="O1594" s="11"/>
    </row>
    <row r="1595" spans="1:15" x14ac:dyDescent="0.25">
      <c r="A1595" s="6">
        <v>789</v>
      </c>
      <c r="B1595" s="5" t="s">
        <v>550</v>
      </c>
      <c r="C1595" s="5" t="s">
        <v>13</v>
      </c>
      <c r="D1595" s="5" t="s">
        <v>217</v>
      </c>
      <c r="E1595" s="5" t="s">
        <v>218</v>
      </c>
      <c r="F1595" s="5" t="s">
        <v>551</v>
      </c>
      <c r="G1595" s="22">
        <v>0</v>
      </c>
      <c r="H1595" s="22">
        <v>0</v>
      </c>
      <c r="I1595" s="22">
        <v>0</v>
      </c>
      <c r="J1595" s="22">
        <v>6.1</v>
      </c>
      <c r="K1595" s="22">
        <v>0</v>
      </c>
      <c r="L1595" s="22">
        <v>6.1</v>
      </c>
      <c r="M1595" s="10"/>
      <c r="O1595" s="11"/>
    </row>
    <row r="1596" spans="1:15" x14ac:dyDescent="0.25">
      <c r="A1596" s="6">
        <v>790</v>
      </c>
      <c r="B1596" s="5" t="s">
        <v>550</v>
      </c>
      <c r="C1596" s="5" t="s">
        <v>13</v>
      </c>
      <c r="D1596" s="5" t="s">
        <v>217</v>
      </c>
      <c r="E1596" s="5" t="s">
        <v>218</v>
      </c>
      <c r="F1596" s="5" t="s">
        <v>551</v>
      </c>
      <c r="G1596" s="22">
        <v>0</v>
      </c>
      <c r="H1596" s="22">
        <v>0</v>
      </c>
      <c r="I1596" s="22">
        <v>0</v>
      </c>
      <c r="J1596" s="22">
        <v>41.15</v>
      </c>
      <c r="K1596" s="22">
        <v>0</v>
      </c>
      <c r="L1596" s="22">
        <v>41.15</v>
      </c>
      <c r="M1596" s="10"/>
      <c r="O1596" s="11"/>
    </row>
    <row r="1597" spans="1:15" s="4" customFormat="1" x14ac:dyDescent="0.25">
      <c r="A1597" s="6">
        <v>791</v>
      </c>
      <c r="B1597" s="5" t="s">
        <v>550</v>
      </c>
      <c r="C1597" s="5" t="s">
        <v>17</v>
      </c>
      <c r="D1597" s="5" t="s">
        <v>217</v>
      </c>
      <c r="E1597" s="5" t="s">
        <v>218</v>
      </c>
      <c r="F1597" s="5" t="s">
        <v>551</v>
      </c>
      <c r="G1597" s="22">
        <v>50.85</v>
      </c>
      <c r="H1597" s="22">
        <v>0</v>
      </c>
      <c r="I1597" s="22">
        <v>0</v>
      </c>
      <c r="J1597" s="22">
        <v>0</v>
      </c>
      <c r="K1597" s="22">
        <v>-1.02</v>
      </c>
      <c r="L1597" s="22">
        <v>49.83</v>
      </c>
      <c r="M1597" s="10"/>
      <c r="N1597" s="67"/>
      <c r="O1597" s="11"/>
    </row>
    <row r="1598" spans="1:15" s="4" customFormat="1" x14ac:dyDescent="0.25">
      <c r="A1598" s="6">
        <v>792</v>
      </c>
      <c r="B1598" s="5" t="s">
        <v>550</v>
      </c>
      <c r="C1598" s="5" t="s">
        <v>17</v>
      </c>
      <c r="D1598" s="5" t="s">
        <v>217</v>
      </c>
      <c r="E1598" s="5" t="s">
        <v>218</v>
      </c>
      <c r="F1598" s="5" t="s">
        <v>551</v>
      </c>
      <c r="G1598" s="22">
        <v>90.05</v>
      </c>
      <c r="H1598" s="22">
        <v>0</v>
      </c>
      <c r="I1598" s="22">
        <v>0</v>
      </c>
      <c r="J1598" s="22">
        <v>0</v>
      </c>
      <c r="K1598" s="22">
        <v>-1.8</v>
      </c>
      <c r="L1598" s="22">
        <v>88.25</v>
      </c>
      <c r="M1598" s="10"/>
      <c r="N1598" s="67"/>
      <c r="O1598" s="11"/>
    </row>
    <row r="1599" spans="1:15" x14ac:dyDescent="0.25">
      <c r="A1599" s="6"/>
      <c r="B1599" s="5"/>
      <c r="C1599" s="5"/>
      <c r="D1599" s="5" t="s">
        <v>217</v>
      </c>
      <c r="E1599" s="5" t="s">
        <v>218</v>
      </c>
      <c r="F1599" s="5" t="s">
        <v>551</v>
      </c>
      <c r="G1599" s="14">
        <f t="shared" ref="G1599:L1599" si="400">SUBTOTAL(9,G1593:G1598)</f>
        <v>393.85</v>
      </c>
      <c r="H1599" s="14">
        <f t="shared" si="400"/>
        <v>0</v>
      </c>
      <c r="I1599" s="14">
        <f t="shared" si="400"/>
        <v>0</v>
      </c>
      <c r="J1599" s="14">
        <f t="shared" si="400"/>
        <v>47.25</v>
      </c>
      <c r="K1599" s="14">
        <f t="shared" si="400"/>
        <v>-7.88</v>
      </c>
      <c r="L1599" s="14">
        <f t="shared" si="400"/>
        <v>433.21999999999997</v>
      </c>
      <c r="M1599" s="10">
        <v>2506</v>
      </c>
      <c r="N1599" s="71">
        <f>SUBTOTAL(9,N1593:N1598)</f>
        <v>0.08</v>
      </c>
      <c r="O1599" s="11">
        <f>O1591+1</f>
        <v>388</v>
      </c>
    </row>
    <row r="1600" spans="1:15" x14ac:dyDescent="0.25">
      <c r="A1600" s="10"/>
      <c r="G1600" s="21"/>
      <c r="H1600" s="21"/>
      <c r="I1600" s="21"/>
      <c r="J1600" s="21"/>
      <c r="K1600" s="21"/>
      <c r="L1600" s="21"/>
      <c r="M1600" s="10"/>
      <c r="O1600" s="11"/>
    </row>
    <row r="1601" spans="1:15" s="4" customFormat="1" x14ac:dyDescent="0.25">
      <c r="A1601" s="6">
        <v>793</v>
      </c>
      <c r="B1601" s="5" t="s">
        <v>550</v>
      </c>
      <c r="C1601" s="5" t="s">
        <v>17</v>
      </c>
      <c r="D1601" s="5" t="s">
        <v>217</v>
      </c>
      <c r="E1601" s="5" t="s">
        <v>218</v>
      </c>
      <c r="F1601" s="5" t="s">
        <v>552</v>
      </c>
      <c r="G1601" s="22">
        <v>0.01</v>
      </c>
      <c r="H1601" s="22">
        <v>0</v>
      </c>
      <c r="I1601" s="22">
        <v>0</v>
      </c>
      <c r="J1601" s="22">
        <v>0</v>
      </c>
      <c r="K1601" s="22">
        <v>0</v>
      </c>
      <c r="L1601" s="22">
        <v>0.01</v>
      </c>
      <c r="M1601" s="10"/>
      <c r="N1601" s="67"/>
      <c r="O1601" s="11"/>
    </row>
    <row r="1602" spans="1:15" s="4" customFormat="1" x14ac:dyDescent="0.25">
      <c r="A1602" s="6">
        <v>794</v>
      </c>
      <c r="B1602" s="5" t="s">
        <v>550</v>
      </c>
      <c r="C1602" s="5" t="s">
        <v>13</v>
      </c>
      <c r="D1602" s="5" t="s">
        <v>217</v>
      </c>
      <c r="E1602" s="5" t="s">
        <v>218</v>
      </c>
      <c r="F1602" s="5" t="s">
        <v>552</v>
      </c>
      <c r="G1602" s="22">
        <v>0</v>
      </c>
      <c r="H1602" s="22">
        <v>0</v>
      </c>
      <c r="I1602" s="22">
        <v>0</v>
      </c>
      <c r="J1602" s="22">
        <v>0</v>
      </c>
      <c r="K1602" s="22">
        <v>0</v>
      </c>
      <c r="L1602" s="22">
        <v>0</v>
      </c>
      <c r="M1602" s="10"/>
      <c r="N1602" s="67"/>
      <c r="O1602" s="11"/>
    </row>
    <row r="1603" spans="1:15" x14ac:dyDescent="0.25">
      <c r="A1603" s="6">
        <v>795</v>
      </c>
      <c r="B1603" s="5" t="s">
        <v>550</v>
      </c>
      <c r="C1603" s="5" t="s">
        <v>17</v>
      </c>
      <c r="D1603" s="5" t="s">
        <v>217</v>
      </c>
      <c r="E1603" s="5" t="s">
        <v>218</v>
      </c>
      <c r="F1603" s="5" t="s">
        <v>552</v>
      </c>
      <c r="G1603" s="22">
        <v>0.01</v>
      </c>
      <c r="H1603" s="22">
        <v>0</v>
      </c>
      <c r="I1603" s="22">
        <v>0</v>
      </c>
      <c r="J1603" s="22">
        <v>0</v>
      </c>
      <c r="K1603" s="22">
        <v>0</v>
      </c>
      <c r="L1603" s="22">
        <v>0.01</v>
      </c>
      <c r="M1603" s="10"/>
      <c r="O1603" s="11"/>
    </row>
    <row r="1604" spans="1:15" x14ac:dyDescent="0.25">
      <c r="A1604" s="6"/>
      <c r="B1604" s="5"/>
      <c r="C1604" s="5"/>
      <c r="D1604" s="5" t="s">
        <v>217</v>
      </c>
      <c r="E1604" s="5" t="s">
        <v>218</v>
      </c>
      <c r="F1604" s="5" t="s">
        <v>552</v>
      </c>
      <c r="G1604" s="14">
        <f t="shared" ref="G1604:L1604" si="401">SUBTOTAL(9,G1601:G1603)</f>
        <v>0.02</v>
      </c>
      <c r="H1604" s="14">
        <f t="shared" si="401"/>
        <v>0</v>
      </c>
      <c r="I1604" s="14">
        <f t="shared" si="401"/>
        <v>0</v>
      </c>
      <c r="J1604" s="14">
        <f t="shared" si="401"/>
        <v>0</v>
      </c>
      <c r="K1604" s="14">
        <f t="shared" si="401"/>
        <v>0</v>
      </c>
      <c r="L1604" s="14">
        <f t="shared" si="401"/>
        <v>0.02</v>
      </c>
      <c r="M1604" s="10">
        <v>2507</v>
      </c>
      <c r="N1604" s="69"/>
      <c r="O1604" s="11">
        <f>O1599+1</f>
        <v>389</v>
      </c>
    </row>
    <row r="1605" spans="1:15" s="4" customFormat="1" x14ac:dyDescent="0.25">
      <c r="A1605" s="10"/>
      <c r="B1605"/>
      <c r="C1605"/>
      <c r="D1605"/>
      <c r="E1605"/>
      <c r="F1605"/>
      <c r="G1605" s="21"/>
      <c r="H1605" s="21"/>
      <c r="I1605" s="21"/>
      <c r="J1605" s="21"/>
      <c r="K1605" s="21"/>
      <c r="L1605" s="21"/>
      <c r="M1605" s="10"/>
      <c r="N1605" s="67"/>
      <c r="O1605" s="11"/>
    </row>
    <row r="1606" spans="1:15" s="4" customFormat="1" x14ac:dyDescent="0.25">
      <c r="A1606" s="6">
        <v>796</v>
      </c>
      <c r="B1606" s="5" t="s">
        <v>555</v>
      </c>
      <c r="C1606" s="5" t="s">
        <v>17</v>
      </c>
      <c r="D1606" s="5" t="s">
        <v>219</v>
      </c>
      <c r="E1606" s="5" t="s">
        <v>220</v>
      </c>
      <c r="F1606" s="5" t="s">
        <v>556</v>
      </c>
      <c r="G1606" s="22">
        <v>274.63</v>
      </c>
      <c r="H1606" s="22">
        <v>0</v>
      </c>
      <c r="I1606" s="22">
        <v>0</v>
      </c>
      <c r="J1606" s="22">
        <v>0</v>
      </c>
      <c r="K1606" s="22">
        <v>-5.49</v>
      </c>
      <c r="L1606" s="22">
        <v>269.14</v>
      </c>
      <c r="M1606" s="10"/>
      <c r="N1606" s="67"/>
      <c r="O1606" s="11"/>
    </row>
    <row r="1607" spans="1:15" x14ac:dyDescent="0.25">
      <c r="A1607" s="6">
        <v>797</v>
      </c>
      <c r="B1607" s="5" t="s">
        <v>555</v>
      </c>
      <c r="C1607" s="5" t="s">
        <v>13</v>
      </c>
      <c r="D1607" s="5" t="s">
        <v>219</v>
      </c>
      <c r="E1607" s="5" t="s">
        <v>220</v>
      </c>
      <c r="F1607" s="5" t="s">
        <v>556</v>
      </c>
      <c r="G1607" s="22">
        <v>0</v>
      </c>
      <c r="H1607" s="22">
        <v>0</v>
      </c>
      <c r="I1607" s="22">
        <v>0</v>
      </c>
      <c r="J1607" s="22">
        <v>32.96</v>
      </c>
      <c r="K1607" s="22">
        <v>0</v>
      </c>
      <c r="L1607" s="22">
        <v>32.96</v>
      </c>
      <c r="M1607" s="10"/>
      <c r="O1607" s="11"/>
    </row>
    <row r="1608" spans="1:15" x14ac:dyDescent="0.25">
      <c r="A1608" s="6"/>
      <c r="B1608" s="5"/>
      <c r="C1608" s="5"/>
      <c r="D1608" s="5" t="s">
        <v>219</v>
      </c>
      <c r="E1608" s="5" t="s">
        <v>220</v>
      </c>
      <c r="F1608" s="5" t="s">
        <v>556</v>
      </c>
      <c r="G1608" s="14">
        <f t="shared" ref="G1608:L1608" si="402">SUBTOTAL(9,G1606:G1607)</f>
        <v>274.63</v>
      </c>
      <c r="H1608" s="14">
        <f t="shared" si="402"/>
        <v>0</v>
      </c>
      <c r="I1608" s="14">
        <f t="shared" si="402"/>
        <v>0</v>
      </c>
      <c r="J1608" s="14">
        <f t="shared" si="402"/>
        <v>32.96</v>
      </c>
      <c r="K1608" s="14">
        <f t="shared" si="402"/>
        <v>-5.49</v>
      </c>
      <c r="L1608" s="14">
        <f t="shared" si="402"/>
        <v>302.09999999999997</v>
      </c>
      <c r="M1608" s="10">
        <v>2508</v>
      </c>
      <c r="N1608" s="69"/>
      <c r="O1608" s="11">
        <f>O1604+1</f>
        <v>390</v>
      </c>
    </row>
    <row r="1609" spans="1:15" s="4" customFormat="1" x14ac:dyDescent="0.25">
      <c r="A1609" s="10"/>
      <c r="B1609"/>
      <c r="C1609"/>
      <c r="D1609"/>
      <c r="E1609"/>
      <c r="F1609"/>
      <c r="G1609" s="21"/>
      <c r="H1609" s="21"/>
      <c r="I1609" s="21"/>
      <c r="J1609" s="21"/>
      <c r="K1609" s="21"/>
      <c r="L1609" s="21"/>
      <c r="M1609" s="10"/>
      <c r="N1609" s="67"/>
      <c r="O1609" s="11"/>
    </row>
    <row r="1610" spans="1:15" x14ac:dyDescent="0.25">
      <c r="A1610" s="6">
        <v>798</v>
      </c>
      <c r="B1610" s="5" t="s">
        <v>557</v>
      </c>
      <c r="C1610" s="5" t="s">
        <v>17</v>
      </c>
      <c r="D1610" s="5" t="s">
        <v>219</v>
      </c>
      <c r="E1610" s="5" t="s">
        <v>220</v>
      </c>
      <c r="F1610" s="5" t="s">
        <v>558</v>
      </c>
      <c r="G1610" s="22">
        <v>202.33</v>
      </c>
      <c r="H1610" s="22">
        <v>0</v>
      </c>
      <c r="I1610" s="22">
        <v>0</v>
      </c>
      <c r="J1610" s="22">
        <v>0</v>
      </c>
      <c r="K1610" s="22">
        <v>-4.05</v>
      </c>
      <c r="L1610" s="22">
        <v>198.28</v>
      </c>
      <c r="M1610" s="10"/>
      <c r="O1610" s="11"/>
    </row>
    <row r="1611" spans="1:15" x14ac:dyDescent="0.25">
      <c r="A1611" s="6">
        <v>799</v>
      </c>
      <c r="B1611" s="5" t="s">
        <v>557</v>
      </c>
      <c r="C1611" s="5" t="s">
        <v>13</v>
      </c>
      <c r="D1611" s="5" t="s">
        <v>219</v>
      </c>
      <c r="E1611" s="5" t="s">
        <v>220</v>
      </c>
      <c r="F1611" s="5" t="s">
        <v>558</v>
      </c>
      <c r="G1611" s="22">
        <v>0</v>
      </c>
      <c r="H1611" s="22">
        <v>0</v>
      </c>
      <c r="I1611" s="22">
        <v>0</v>
      </c>
      <c r="J1611" s="22">
        <v>24.28</v>
      </c>
      <c r="K1611" s="22">
        <v>0</v>
      </c>
      <c r="L1611" s="22">
        <v>24.28</v>
      </c>
      <c r="M1611" s="10"/>
      <c r="O1611" s="11"/>
    </row>
    <row r="1612" spans="1:15" s="4" customFormat="1" x14ac:dyDescent="0.25">
      <c r="A1612" s="6"/>
      <c r="B1612" s="5"/>
      <c r="C1612" s="5"/>
      <c r="D1612" s="5" t="s">
        <v>219</v>
      </c>
      <c r="E1612" s="5" t="s">
        <v>220</v>
      </c>
      <c r="F1612" s="5" t="s">
        <v>558</v>
      </c>
      <c r="G1612" s="14">
        <f t="shared" ref="G1612:L1612" si="403">SUBTOTAL(9,G1610:G1611)</f>
        <v>202.33</v>
      </c>
      <c r="H1612" s="14">
        <f t="shared" si="403"/>
        <v>0</v>
      </c>
      <c r="I1612" s="14">
        <f t="shared" si="403"/>
        <v>0</v>
      </c>
      <c r="J1612" s="14">
        <f t="shared" si="403"/>
        <v>24.28</v>
      </c>
      <c r="K1612" s="14">
        <f t="shared" si="403"/>
        <v>-4.05</v>
      </c>
      <c r="L1612" s="14">
        <f t="shared" si="403"/>
        <v>222.56</v>
      </c>
      <c r="M1612" s="10">
        <v>2509</v>
      </c>
      <c r="N1612" s="69"/>
      <c r="O1612" s="11">
        <f>O1608+1</f>
        <v>391</v>
      </c>
    </row>
    <row r="1613" spans="1:15" x14ac:dyDescent="0.25">
      <c r="A1613" s="10"/>
      <c r="G1613" s="21"/>
      <c r="H1613" s="21"/>
      <c r="I1613" s="21"/>
      <c r="J1613" s="21"/>
      <c r="K1613" s="21"/>
      <c r="L1613" s="21"/>
      <c r="M1613" s="10"/>
      <c r="O1613" s="11"/>
    </row>
    <row r="1614" spans="1:15" x14ac:dyDescent="0.25">
      <c r="A1614" s="6">
        <v>800</v>
      </c>
      <c r="B1614" s="5" t="s">
        <v>18</v>
      </c>
      <c r="C1614" s="5" t="s">
        <v>17</v>
      </c>
      <c r="D1614" s="5" t="s">
        <v>219</v>
      </c>
      <c r="E1614" s="5" t="s">
        <v>220</v>
      </c>
      <c r="F1614" s="5" t="s">
        <v>19</v>
      </c>
      <c r="G1614" s="22">
        <v>0.15</v>
      </c>
      <c r="H1614" s="22">
        <v>0</v>
      </c>
      <c r="I1614" s="22">
        <v>0</v>
      </c>
      <c r="J1614" s="22">
        <v>0</v>
      </c>
      <c r="K1614" s="22">
        <v>-0.13</v>
      </c>
      <c r="L1614" s="22">
        <v>0.02</v>
      </c>
      <c r="M1614" s="10"/>
      <c r="O1614" s="11"/>
    </row>
    <row r="1615" spans="1:15" s="4" customFormat="1" x14ac:dyDescent="0.25">
      <c r="A1615" s="6"/>
      <c r="B1615" s="5"/>
      <c r="C1615" s="5"/>
      <c r="D1615" s="5" t="s">
        <v>219</v>
      </c>
      <c r="E1615" s="5" t="s">
        <v>220</v>
      </c>
      <c r="F1615" s="5" t="s">
        <v>19</v>
      </c>
      <c r="G1615" s="14">
        <f t="shared" ref="G1615:L1615" si="404">SUBTOTAL(9,G1614:G1614)</f>
        <v>0.15</v>
      </c>
      <c r="H1615" s="14">
        <f t="shared" si="404"/>
        <v>0</v>
      </c>
      <c r="I1615" s="14">
        <f t="shared" si="404"/>
        <v>0</v>
      </c>
      <c r="J1615" s="14">
        <f t="shared" si="404"/>
        <v>0</v>
      </c>
      <c r="K1615" s="14">
        <f t="shared" si="404"/>
        <v>-0.13</v>
      </c>
      <c r="L1615" s="14">
        <f t="shared" si="404"/>
        <v>0.02</v>
      </c>
      <c r="M1615" s="10">
        <v>2510</v>
      </c>
      <c r="N1615" s="69"/>
      <c r="O1615" s="11">
        <f>O1612+1</f>
        <v>392</v>
      </c>
    </row>
    <row r="1616" spans="1:15" s="4" customFormat="1" x14ac:dyDescent="0.25">
      <c r="A1616" s="10"/>
      <c r="B1616"/>
      <c r="C1616"/>
      <c r="D1616"/>
      <c r="E1616"/>
      <c r="F1616"/>
      <c r="G1616" s="21"/>
      <c r="H1616" s="21"/>
      <c r="I1616" s="21"/>
      <c r="J1616" s="21"/>
      <c r="K1616" s="21"/>
      <c r="L1616" s="21"/>
      <c r="M1616" s="10"/>
      <c r="N1616" s="67"/>
      <c r="O1616" s="11"/>
    </row>
    <row r="1617" spans="1:15" x14ac:dyDescent="0.25">
      <c r="A1617" s="6">
        <v>801</v>
      </c>
      <c r="B1617" s="5" t="s">
        <v>550</v>
      </c>
      <c r="C1617" s="5" t="s">
        <v>17</v>
      </c>
      <c r="D1617" s="5" t="s">
        <v>219</v>
      </c>
      <c r="E1617" s="5" t="s">
        <v>220</v>
      </c>
      <c r="F1617" s="5" t="s">
        <v>551</v>
      </c>
      <c r="G1617" s="22">
        <v>7081.59</v>
      </c>
      <c r="H1617" s="22">
        <v>0</v>
      </c>
      <c r="I1617" s="22">
        <v>0</v>
      </c>
      <c r="J1617" s="22">
        <v>0</v>
      </c>
      <c r="K1617" s="22">
        <v>-141.63</v>
      </c>
      <c r="L1617" s="22">
        <v>6939.96</v>
      </c>
      <c r="M1617" s="10"/>
      <c r="O1617" s="11"/>
    </row>
    <row r="1618" spans="1:15" x14ac:dyDescent="0.25">
      <c r="A1618" s="6">
        <v>802</v>
      </c>
      <c r="B1618" s="5" t="s">
        <v>550</v>
      </c>
      <c r="C1618" s="5" t="s">
        <v>13</v>
      </c>
      <c r="D1618" s="5" t="s">
        <v>219</v>
      </c>
      <c r="E1618" s="5" t="s">
        <v>220</v>
      </c>
      <c r="F1618" s="5" t="s">
        <v>551</v>
      </c>
      <c r="G1618" s="22">
        <v>0</v>
      </c>
      <c r="H1618" s="22">
        <v>0</v>
      </c>
      <c r="I1618" s="22">
        <v>0</v>
      </c>
      <c r="J1618" s="22">
        <v>849.79</v>
      </c>
      <c r="K1618" s="22">
        <v>0</v>
      </c>
      <c r="L1618" s="22">
        <v>849.79</v>
      </c>
      <c r="M1618" s="10"/>
      <c r="O1618" s="11"/>
    </row>
    <row r="1619" spans="1:15" s="4" customFormat="1" x14ac:dyDescent="0.25">
      <c r="A1619" s="6"/>
      <c r="B1619" s="5"/>
      <c r="C1619" s="5"/>
      <c r="D1619" s="5" t="s">
        <v>219</v>
      </c>
      <c r="E1619" s="5" t="s">
        <v>220</v>
      </c>
      <c r="F1619" s="5" t="s">
        <v>551</v>
      </c>
      <c r="G1619" s="14">
        <f t="shared" ref="G1619:L1619" si="405">SUBTOTAL(9,G1617:G1618)</f>
        <v>7081.59</v>
      </c>
      <c r="H1619" s="14">
        <f t="shared" si="405"/>
        <v>0</v>
      </c>
      <c r="I1619" s="14">
        <f t="shared" si="405"/>
        <v>0</v>
      </c>
      <c r="J1619" s="14">
        <f t="shared" si="405"/>
        <v>849.79</v>
      </c>
      <c r="K1619" s="14">
        <f t="shared" si="405"/>
        <v>-141.63</v>
      </c>
      <c r="L1619" s="14">
        <f t="shared" si="405"/>
        <v>7789.75</v>
      </c>
      <c r="M1619" s="10">
        <v>2511</v>
      </c>
      <c r="N1619" s="69"/>
      <c r="O1619" s="11">
        <f>O1615+1</f>
        <v>393</v>
      </c>
    </row>
    <row r="1620" spans="1:15" s="4" customFormat="1" x14ac:dyDescent="0.25">
      <c r="A1620" s="10"/>
      <c r="B1620"/>
      <c r="C1620"/>
      <c r="D1620"/>
      <c r="E1620"/>
      <c r="F1620"/>
      <c r="G1620" s="21"/>
      <c r="H1620" s="21"/>
      <c r="I1620" s="21"/>
      <c r="J1620" s="21"/>
      <c r="K1620" s="21"/>
      <c r="L1620" s="21"/>
      <c r="M1620" s="10"/>
      <c r="N1620" s="67"/>
      <c r="O1620" s="11"/>
    </row>
    <row r="1621" spans="1:15" x14ac:dyDescent="0.25">
      <c r="A1621" s="6">
        <v>803</v>
      </c>
      <c r="B1621" s="5" t="s">
        <v>550</v>
      </c>
      <c r="C1621" s="5" t="s">
        <v>17</v>
      </c>
      <c r="D1621" s="5" t="s">
        <v>219</v>
      </c>
      <c r="E1621" s="5" t="s">
        <v>220</v>
      </c>
      <c r="F1621" s="5" t="s">
        <v>552</v>
      </c>
      <c r="G1621" s="22">
        <v>0.51</v>
      </c>
      <c r="H1621" s="22">
        <v>0</v>
      </c>
      <c r="I1621" s="22">
        <v>0</v>
      </c>
      <c r="J1621" s="22">
        <v>0</v>
      </c>
      <c r="K1621" s="22">
        <v>-0.01</v>
      </c>
      <c r="L1621" s="22">
        <v>0.5</v>
      </c>
      <c r="M1621" s="10"/>
      <c r="O1621" s="11"/>
    </row>
    <row r="1622" spans="1:15" x14ac:dyDescent="0.25">
      <c r="A1622" s="6">
        <v>804</v>
      </c>
      <c r="B1622" s="5" t="s">
        <v>550</v>
      </c>
      <c r="C1622" s="5" t="s">
        <v>13</v>
      </c>
      <c r="D1622" s="5" t="s">
        <v>219</v>
      </c>
      <c r="E1622" s="5" t="s">
        <v>220</v>
      </c>
      <c r="F1622" s="5" t="s">
        <v>552</v>
      </c>
      <c r="G1622" s="22">
        <v>0</v>
      </c>
      <c r="H1622" s="22">
        <v>0</v>
      </c>
      <c r="I1622" s="22">
        <v>0</v>
      </c>
      <c r="J1622" s="22">
        <v>0.06</v>
      </c>
      <c r="K1622" s="22">
        <v>0</v>
      </c>
      <c r="L1622" s="22">
        <v>0.06</v>
      </c>
      <c r="M1622" s="10"/>
      <c r="O1622" s="11"/>
    </row>
    <row r="1623" spans="1:15" s="4" customFormat="1" x14ac:dyDescent="0.25">
      <c r="A1623" s="6"/>
      <c r="B1623" s="5"/>
      <c r="C1623" s="5"/>
      <c r="D1623" s="5" t="s">
        <v>219</v>
      </c>
      <c r="E1623" s="5" t="s">
        <v>220</v>
      </c>
      <c r="F1623" s="5" t="s">
        <v>552</v>
      </c>
      <c r="G1623" s="14">
        <f t="shared" ref="G1623:L1623" si="406">SUBTOTAL(9,G1621:G1622)</f>
        <v>0.51</v>
      </c>
      <c r="H1623" s="14">
        <f t="shared" si="406"/>
        <v>0</v>
      </c>
      <c r="I1623" s="14">
        <f t="shared" si="406"/>
        <v>0</v>
      </c>
      <c r="J1623" s="14">
        <f t="shared" si="406"/>
        <v>0.06</v>
      </c>
      <c r="K1623" s="14">
        <f t="shared" si="406"/>
        <v>-0.01</v>
      </c>
      <c r="L1623" s="14">
        <f t="shared" si="406"/>
        <v>0.56000000000000005</v>
      </c>
      <c r="M1623" s="10">
        <v>2512</v>
      </c>
      <c r="N1623" s="69"/>
      <c r="O1623" s="11">
        <f>O1619+1</f>
        <v>394</v>
      </c>
    </row>
    <row r="1624" spans="1:15" s="4" customFormat="1" x14ac:dyDescent="0.25">
      <c r="A1624" s="10"/>
      <c r="B1624"/>
      <c r="C1624"/>
      <c r="D1624"/>
      <c r="E1624"/>
      <c r="F1624"/>
      <c r="G1624" s="21"/>
      <c r="H1624" s="21"/>
      <c r="I1624" s="21"/>
      <c r="J1624" s="21"/>
      <c r="K1624" s="21"/>
      <c r="L1624" s="21"/>
      <c r="M1624" s="10"/>
      <c r="N1624" s="67"/>
      <c r="O1624" s="11"/>
    </row>
    <row r="1625" spans="1:15" x14ac:dyDescent="0.25">
      <c r="A1625" s="6">
        <v>805</v>
      </c>
      <c r="B1625" s="5" t="s">
        <v>18</v>
      </c>
      <c r="C1625" s="5" t="s">
        <v>17</v>
      </c>
      <c r="D1625" s="5" t="s">
        <v>221</v>
      </c>
      <c r="E1625" s="5" t="s">
        <v>222</v>
      </c>
      <c r="F1625" s="5" t="s">
        <v>19</v>
      </c>
      <c r="G1625" s="22">
        <v>0</v>
      </c>
      <c r="H1625" s="22">
        <v>0</v>
      </c>
      <c r="I1625" s="22">
        <v>0.03</v>
      </c>
      <c r="J1625" s="22">
        <v>0</v>
      </c>
      <c r="K1625" s="22">
        <v>0</v>
      </c>
      <c r="L1625" s="22">
        <v>0.03</v>
      </c>
      <c r="M1625" s="10"/>
      <c r="O1625" s="11"/>
    </row>
    <row r="1626" spans="1:15" x14ac:dyDescent="0.25">
      <c r="A1626" s="6">
        <v>806</v>
      </c>
      <c r="B1626" s="5" t="s">
        <v>18</v>
      </c>
      <c r="C1626" s="5" t="s">
        <v>17</v>
      </c>
      <c r="D1626" s="5" t="s">
        <v>221</v>
      </c>
      <c r="E1626" s="5" t="s">
        <v>222</v>
      </c>
      <c r="F1626" s="5" t="s">
        <v>19</v>
      </c>
      <c r="G1626" s="22">
        <v>0</v>
      </c>
      <c r="H1626" s="22">
        <v>0</v>
      </c>
      <c r="I1626" s="22">
        <v>0.1</v>
      </c>
      <c r="J1626" s="22">
        <v>0</v>
      </c>
      <c r="K1626" s="22">
        <v>-0.01</v>
      </c>
      <c r="L1626" s="22">
        <v>0.09</v>
      </c>
      <c r="M1626" s="10"/>
      <c r="O1626" s="11"/>
    </row>
    <row r="1627" spans="1:15" s="4" customFormat="1" x14ac:dyDescent="0.25">
      <c r="A1627" s="6">
        <v>807</v>
      </c>
      <c r="B1627" s="5" t="s">
        <v>18</v>
      </c>
      <c r="C1627" s="5" t="s">
        <v>17</v>
      </c>
      <c r="D1627" s="5" t="s">
        <v>221</v>
      </c>
      <c r="E1627" s="5" t="s">
        <v>222</v>
      </c>
      <c r="F1627" s="5" t="s">
        <v>19</v>
      </c>
      <c r="G1627" s="22">
        <v>0</v>
      </c>
      <c r="H1627" s="22">
        <v>0</v>
      </c>
      <c r="I1627" s="22">
        <v>1.43</v>
      </c>
      <c r="J1627" s="22">
        <v>0</v>
      </c>
      <c r="K1627" s="22">
        <v>-0.17</v>
      </c>
      <c r="L1627" s="22">
        <v>1.26</v>
      </c>
      <c r="M1627" s="10"/>
      <c r="N1627" s="67"/>
      <c r="O1627" s="11"/>
    </row>
    <row r="1628" spans="1:15" s="4" customFormat="1" x14ac:dyDescent="0.25">
      <c r="A1628" s="6">
        <v>808</v>
      </c>
      <c r="B1628" s="5" t="s">
        <v>18</v>
      </c>
      <c r="C1628" s="5" t="s">
        <v>17</v>
      </c>
      <c r="D1628" s="5" t="s">
        <v>221</v>
      </c>
      <c r="E1628" s="5" t="s">
        <v>222</v>
      </c>
      <c r="F1628" s="5" t="s">
        <v>19</v>
      </c>
      <c r="G1628" s="22">
        <v>0</v>
      </c>
      <c r="H1628" s="22">
        <v>0</v>
      </c>
      <c r="I1628" s="22">
        <v>0.09</v>
      </c>
      <c r="J1628" s="22">
        <v>0</v>
      </c>
      <c r="K1628" s="22">
        <v>-0.01</v>
      </c>
      <c r="L1628" s="22">
        <v>0.08</v>
      </c>
      <c r="M1628" s="10"/>
      <c r="N1628" s="67"/>
      <c r="O1628" s="11"/>
    </row>
    <row r="1629" spans="1:15" x14ac:dyDescent="0.25">
      <c r="A1629" s="6"/>
      <c r="B1629" s="5"/>
      <c r="C1629" s="5"/>
      <c r="D1629" s="5" t="s">
        <v>221</v>
      </c>
      <c r="E1629" s="5" t="s">
        <v>222</v>
      </c>
      <c r="F1629" s="5" t="s">
        <v>19</v>
      </c>
      <c r="G1629" s="14">
        <f t="shared" ref="G1629:L1629" si="407">SUBTOTAL(9,G1625:G1628)</f>
        <v>0</v>
      </c>
      <c r="H1629" s="14">
        <f t="shared" si="407"/>
        <v>0</v>
      </c>
      <c r="I1629" s="14">
        <f t="shared" si="407"/>
        <v>1.6500000000000001</v>
      </c>
      <c r="J1629" s="14">
        <f t="shared" si="407"/>
        <v>0</v>
      </c>
      <c r="K1629" s="14">
        <f t="shared" si="407"/>
        <v>-0.19000000000000003</v>
      </c>
      <c r="L1629" s="14">
        <f t="shared" si="407"/>
        <v>1.46</v>
      </c>
      <c r="M1629" s="10">
        <v>2513</v>
      </c>
      <c r="N1629" s="69"/>
      <c r="O1629" s="11">
        <f>O1623+1</f>
        <v>395</v>
      </c>
    </row>
    <row r="1630" spans="1:15" x14ac:dyDescent="0.25">
      <c r="A1630" s="10"/>
      <c r="G1630" s="21"/>
      <c r="H1630" s="21"/>
      <c r="I1630" s="21"/>
      <c r="J1630" s="21"/>
      <c r="K1630" s="21"/>
      <c r="L1630" s="21"/>
      <c r="M1630" s="10"/>
      <c r="O1630" s="11"/>
    </row>
    <row r="1631" spans="1:15" s="4" customFormat="1" x14ac:dyDescent="0.25">
      <c r="A1631" s="6">
        <v>809</v>
      </c>
      <c r="B1631" s="5" t="s">
        <v>550</v>
      </c>
      <c r="C1631" s="5" t="s">
        <v>17</v>
      </c>
      <c r="D1631" s="5" t="s">
        <v>221</v>
      </c>
      <c r="E1631" s="5" t="s">
        <v>222</v>
      </c>
      <c r="F1631" s="5" t="s">
        <v>551</v>
      </c>
      <c r="G1631" s="22">
        <v>0</v>
      </c>
      <c r="H1631" s="22">
        <v>0</v>
      </c>
      <c r="I1631" s="22">
        <v>24.55</v>
      </c>
      <c r="J1631" s="22">
        <v>0</v>
      </c>
      <c r="K1631" s="22">
        <v>-0.49</v>
      </c>
      <c r="L1631" s="22">
        <v>24.06</v>
      </c>
      <c r="M1631" s="10"/>
      <c r="N1631" s="67"/>
      <c r="O1631" s="11"/>
    </row>
    <row r="1632" spans="1:15" s="4" customFormat="1" x14ac:dyDescent="0.25">
      <c r="A1632" s="6">
        <v>810</v>
      </c>
      <c r="B1632" s="5" t="s">
        <v>550</v>
      </c>
      <c r="C1632" s="5" t="s">
        <v>17</v>
      </c>
      <c r="D1632" s="5" t="s">
        <v>221</v>
      </c>
      <c r="E1632" s="5" t="s">
        <v>222</v>
      </c>
      <c r="F1632" s="5" t="s">
        <v>551</v>
      </c>
      <c r="G1632" s="22">
        <v>0</v>
      </c>
      <c r="H1632" s="22">
        <v>0</v>
      </c>
      <c r="I1632" s="22">
        <v>54.92</v>
      </c>
      <c r="J1632" s="22">
        <v>0</v>
      </c>
      <c r="K1632" s="22">
        <v>-1.1000000000000001</v>
      </c>
      <c r="L1632" s="22">
        <v>53.82</v>
      </c>
      <c r="M1632" s="10"/>
      <c r="N1632" s="67"/>
      <c r="O1632" s="11"/>
    </row>
    <row r="1633" spans="1:15" x14ac:dyDescent="0.25">
      <c r="A1633" s="6">
        <v>811</v>
      </c>
      <c r="B1633" s="5" t="s">
        <v>550</v>
      </c>
      <c r="C1633" s="5" t="s">
        <v>17</v>
      </c>
      <c r="D1633" s="5" t="s">
        <v>223</v>
      </c>
      <c r="E1633" s="5" t="s">
        <v>224</v>
      </c>
      <c r="F1633" s="5" t="s">
        <v>551</v>
      </c>
      <c r="G1633" s="22">
        <v>0</v>
      </c>
      <c r="H1633" s="22">
        <v>0</v>
      </c>
      <c r="I1633" s="22">
        <v>292.86</v>
      </c>
      <c r="J1633" s="22">
        <v>0</v>
      </c>
      <c r="K1633" s="22">
        <v>-5.86</v>
      </c>
      <c r="L1633" s="22">
        <v>287</v>
      </c>
      <c r="M1633" s="10"/>
      <c r="O1633" s="11"/>
    </row>
    <row r="1634" spans="1:15" x14ac:dyDescent="0.25">
      <c r="A1634" s="6">
        <v>812</v>
      </c>
      <c r="B1634" s="5" t="s">
        <v>550</v>
      </c>
      <c r="C1634" s="5" t="s">
        <v>17</v>
      </c>
      <c r="D1634" s="5" t="s">
        <v>223</v>
      </c>
      <c r="E1634" s="5" t="s">
        <v>224</v>
      </c>
      <c r="F1634" s="5" t="s">
        <v>551</v>
      </c>
      <c r="G1634" s="22">
        <v>0</v>
      </c>
      <c r="H1634" s="22">
        <v>0</v>
      </c>
      <c r="I1634" s="22">
        <v>17.53</v>
      </c>
      <c r="J1634" s="22">
        <v>0</v>
      </c>
      <c r="K1634" s="22">
        <v>-0.35</v>
      </c>
      <c r="L1634" s="22">
        <v>17.18</v>
      </c>
      <c r="M1634" s="10"/>
      <c r="O1634" s="11"/>
    </row>
    <row r="1635" spans="1:15" s="4" customFormat="1" x14ac:dyDescent="0.25">
      <c r="A1635" s="6"/>
      <c r="B1635" s="5"/>
      <c r="C1635" s="5"/>
      <c r="D1635" s="5" t="s">
        <v>223</v>
      </c>
      <c r="E1635" s="5" t="s">
        <v>663</v>
      </c>
      <c r="F1635" s="5" t="s">
        <v>551</v>
      </c>
      <c r="G1635" s="14">
        <f t="shared" ref="G1635:L1635" si="408">SUBTOTAL(9,G1631:G1634)</f>
        <v>0</v>
      </c>
      <c r="H1635" s="14">
        <f t="shared" si="408"/>
        <v>0</v>
      </c>
      <c r="I1635" s="14">
        <f t="shared" si="408"/>
        <v>389.86</v>
      </c>
      <c r="J1635" s="14">
        <f t="shared" si="408"/>
        <v>0</v>
      </c>
      <c r="K1635" s="14">
        <f t="shared" si="408"/>
        <v>-7.8</v>
      </c>
      <c r="L1635" s="14">
        <f t="shared" si="408"/>
        <v>382.06</v>
      </c>
      <c r="M1635" s="10">
        <v>2514</v>
      </c>
      <c r="N1635" s="69"/>
      <c r="O1635" s="11">
        <f>O1629+1</f>
        <v>396</v>
      </c>
    </row>
    <row r="1636" spans="1:15" x14ac:dyDescent="0.25">
      <c r="A1636" s="10"/>
      <c r="G1636" s="21"/>
      <c r="H1636" s="21"/>
      <c r="I1636" s="21"/>
      <c r="J1636" s="21"/>
      <c r="K1636" s="21"/>
      <c r="L1636" s="21"/>
      <c r="M1636" s="10"/>
      <c r="O1636" s="11"/>
    </row>
    <row r="1637" spans="1:15" x14ac:dyDescent="0.25">
      <c r="A1637" s="6">
        <v>813</v>
      </c>
      <c r="B1637" s="5" t="s">
        <v>550</v>
      </c>
      <c r="C1637" s="5" t="s">
        <v>17</v>
      </c>
      <c r="D1637" s="5" t="s">
        <v>223</v>
      </c>
      <c r="E1637" s="5" t="s">
        <v>224</v>
      </c>
      <c r="F1637" s="5" t="s">
        <v>552</v>
      </c>
      <c r="G1637" s="22">
        <v>0</v>
      </c>
      <c r="H1637" s="22">
        <v>0</v>
      </c>
      <c r="I1637" s="22">
        <v>0.02</v>
      </c>
      <c r="J1637" s="22">
        <v>0</v>
      </c>
      <c r="K1637" s="22">
        <v>0</v>
      </c>
      <c r="L1637" s="22">
        <v>0.02</v>
      </c>
      <c r="M1637" s="10"/>
      <c r="O1637" s="11"/>
    </row>
    <row r="1638" spans="1:15" s="4" customFormat="1" x14ac:dyDescent="0.25">
      <c r="A1638" s="6"/>
      <c r="B1638" s="5"/>
      <c r="C1638" s="5"/>
      <c r="D1638" s="5" t="s">
        <v>223</v>
      </c>
      <c r="E1638" s="5" t="s">
        <v>663</v>
      </c>
      <c r="F1638" s="5" t="s">
        <v>552</v>
      </c>
      <c r="G1638" s="14">
        <f t="shared" ref="G1638:L1638" si="409">SUBTOTAL(9,G1637:G1637)</f>
        <v>0</v>
      </c>
      <c r="H1638" s="14">
        <f t="shared" si="409"/>
        <v>0</v>
      </c>
      <c r="I1638" s="14">
        <f t="shared" si="409"/>
        <v>0.02</v>
      </c>
      <c r="J1638" s="14">
        <f t="shared" si="409"/>
        <v>0</v>
      </c>
      <c r="K1638" s="14">
        <f t="shared" si="409"/>
        <v>0</v>
      </c>
      <c r="L1638" s="14">
        <f t="shared" si="409"/>
        <v>0.02</v>
      </c>
      <c r="M1638" s="10">
        <v>2515</v>
      </c>
      <c r="N1638" s="69"/>
      <c r="O1638" s="11">
        <f>O1635+1</f>
        <v>397</v>
      </c>
    </row>
    <row r="1639" spans="1:15" x14ac:dyDescent="0.25">
      <c r="A1639" s="10"/>
      <c r="G1639" s="21"/>
      <c r="H1639" s="21"/>
      <c r="I1639" s="21"/>
      <c r="J1639" s="21"/>
      <c r="K1639" s="21"/>
      <c r="L1639" s="21"/>
      <c r="M1639" s="10"/>
      <c r="O1639" s="11"/>
    </row>
    <row r="1640" spans="1:15" x14ac:dyDescent="0.25">
      <c r="A1640" s="6">
        <v>814</v>
      </c>
      <c r="B1640" s="5" t="s">
        <v>550</v>
      </c>
      <c r="C1640" s="5" t="s">
        <v>17</v>
      </c>
      <c r="D1640" s="5" t="s">
        <v>605</v>
      </c>
      <c r="E1640" s="5" t="s">
        <v>222</v>
      </c>
      <c r="F1640" s="5" t="s">
        <v>551</v>
      </c>
      <c r="G1640" s="22">
        <v>0</v>
      </c>
      <c r="H1640" s="22">
        <v>0</v>
      </c>
      <c r="I1640" s="22">
        <v>0.35</v>
      </c>
      <c r="J1640" s="22">
        <v>0</v>
      </c>
      <c r="K1640" s="22">
        <v>-0.01</v>
      </c>
      <c r="L1640" s="22">
        <v>0.34</v>
      </c>
      <c r="M1640" s="10"/>
      <c r="O1640" s="11"/>
    </row>
    <row r="1641" spans="1:15" s="4" customFormat="1" x14ac:dyDescent="0.25">
      <c r="A1641" s="6">
        <v>815</v>
      </c>
      <c r="B1641" s="5" t="s">
        <v>550</v>
      </c>
      <c r="C1641" s="5" t="s">
        <v>17</v>
      </c>
      <c r="D1641" s="5" t="s">
        <v>605</v>
      </c>
      <c r="E1641" s="5" t="s">
        <v>222</v>
      </c>
      <c r="F1641" s="5" t="s">
        <v>551</v>
      </c>
      <c r="G1641" s="22">
        <v>0</v>
      </c>
      <c r="H1641" s="22">
        <v>0</v>
      </c>
      <c r="I1641" s="22">
        <v>82.22</v>
      </c>
      <c r="J1641" s="22">
        <v>0</v>
      </c>
      <c r="K1641" s="22">
        <v>-1.64</v>
      </c>
      <c r="L1641" s="22">
        <v>80.58</v>
      </c>
      <c r="M1641" s="10"/>
      <c r="N1641" s="67"/>
      <c r="O1641" s="11"/>
    </row>
    <row r="1642" spans="1:15" s="4" customFormat="1" x14ac:dyDescent="0.25">
      <c r="A1642" s="6"/>
      <c r="B1642" s="5"/>
      <c r="C1642" s="5"/>
      <c r="D1642" s="5" t="s">
        <v>225</v>
      </c>
      <c r="E1642" s="5" t="s">
        <v>222</v>
      </c>
      <c r="F1642" s="5" t="s">
        <v>551</v>
      </c>
      <c r="G1642" s="14">
        <f t="shared" ref="G1642:L1642" si="410">SUBTOTAL(9,G1640:G1641)</f>
        <v>0</v>
      </c>
      <c r="H1642" s="14">
        <f t="shared" si="410"/>
        <v>0</v>
      </c>
      <c r="I1642" s="14">
        <f t="shared" si="410"/>
        <v>82.57</v>
      </c>
      <c r="J1642" s="14">
        <f t="shared" si="410"/>
        <v>0</v>
      </c>
      <c r="K1642" s="14">
        <f t="shared" si="410"/>
        <v>-1.65</v>
      </c>
      <c r="L1642" s="14">
        <f t="shared" si="410"/>
        <v>80.92</v>
      </c>
      <c r="M1642" s="10">
        <v>2516</v>
      </c>
      <c r="N1642" s="69"/>
      <c r="O1642" s="11">
        <f>O1638+1</f>
        <v>398</v>
      </c>
    </row>
    <row r="1643" spans="1:15" x14ac:dyDescent="0.25">
      <c r="A1643" s="10"/>
      <c r="G1643" s="21"/>
      <c r="H1643" s="21"/>
      <c r="I1643" s="21"/>
      <c r="J1643" s="21"/>
      <c r="K1643" s="21"/>
      <c r="L1643" s="21"/>
      <c r="M1643" s="10"/>
      <c r="O1643" s="11"/>
    </row>
    <row r="1644" spans="1:15" x14ac:dyDescent="0.25">
      <c r="A1644" s="6">
        <v>816</v>
      </c>
      <c r="B1644" s="5" t="s">
        <v>550</v>
      </c>
      <c r="C1644" s="5" t="s">
        <v>17</v>
      </c>
      <c r="D1644" s="5" t="s">
        <v>605</v>
      </c>
      <c r="E1644" s="5" t="s">
        <v>222</v>
      </c>
      <c r="F1644" s="5" t="s">
        <v>552</v>
      </c>
      <c r="G1644" s="22">
        <v>0</v>
      </c>
      <c r="H1644" s="22">
        <v>0</v>
      </c>
      <c r="I1644" s="22">
        <v>0.01</v>
      </c>
      <c r="J1644" s="22">
        <v>0</v>
      </c>
      <c r="K1644" s="22">
        <v>0</v>
      </c>
      <c r="L1644" s="22">
        <v>0.01</v>
      </c>
      <c r="M1644" s="10"/>
      <c r="O1644" s="11"/>
    </row>
    <row r="1645" spans="1:15" s="4" customFormat="1" x14ac:dyDescent="0.25">
      <c r="A1645" s="6"/>
      <c r="B1645" s="5"/>
      <c r="C1645" s="5"/>
      <c r="D1645" s="5" t="s">
        <v>225</v>
      </c>
      <c r="E1645" s="5" t="s">
        <v>222</v>
      </c>
      <c r="F1645" s="5" t="s">
        <v>552</v>
      </c>
      <c r="G1645" s="14">
        <f t="shared" ref="G1645:L1645" si="411">SUBTOTAL(9,G1644:G1644)</f>
        <v>0</v>
      </c>
      <c r="H1645" s="14">
        <f t="shared" si="411"/>
        <v>0</v>
      </c>
      <c r="I1645" s="14">
        <f t="shared" si="411"/>
        <v>0.01</v>
      </c>
      <c r="J1645" s="14">
        <f t="shared" si="411"/>
        <v>0</v>
      </c>
      <c r="K1645" s="14">
        <f t="shared" si="411"/>
        <v>0</v>
      </c>
      <c r="L1645" s="14">
        <f t="shared" si="411"/>
        <v>0.01</v>
      </c>
      <c r="M1645" s="10">
        <v>2517</v>
      </c>
      <c r="N1645" s="69"/>
      <c r="O1645" s="11">
        <f>O1642+1</f>
        <v>399</v>
      </c>
    </row>
    <row r="1646" spans="1:15" s="4" customFormat="1" x14ac:dyDescent="0.25">
      <c r="A1646" s="10"/>
      <c r="B1646"/>
      <c r="C1646"/>
      <c r="D1646"/>
      <c r="E1646"/>
      <c r="F1646"/>
      <c r="G1646" s="21"/>
      <c r="H1646" s="21"/>
      <c r="I1646" s="21"/>
      <c r="J1646" s="21"/>
      <c r="K1646" s="21"/>
      <c r="L1646" s="21"/>
      <c r="M1646" s="10"/>
      <c r="N1646" s="67"/>
      <c r="O1646" s="11"/>
    </row>
    <row r="1647" spans="1:15" x14ac:dyDescent="0.25">
      <c r="A1647" s="6">
        <v>817</v>
      </c>
      <c r="B1647" s="5" t="s">
        <v>550</v>
      </c>
      <c r="C1647" s="5" t="s">
        <v>17</v>
      </c>
      <c r="D1647" s="5" t="s">
        <v>606</v>
      </c>
      <c r="E1647" s="5" t="s">
        <v>607</v>
      </c>
      <c r="F1647" s="5" t="s">
        <v>551</v>
      </c>
      <c r="G1647" s="22">
        <v>0</v>
      </c>
      <c r="H1647" s="22">
        <v>0</v>
      </c>
      <c r="I1647" s="22">
        <v>183.05</v>
      </c>
      <c r="J1647" s="22">
        <v>0</v>
      </c>
      <c r="K1647" s="22">
        <v>-3.66</v>
      </c>
      <c r="L1647" s="22">
        <v>179.39</v>
      </c>
      <c r="M1647" s="10"/>
      <c r="O1647" s="11"/>
    </row>
    <row r="1648" spans="1:15" x14ac:dyDescent="0.25">
      <c r="A1648" s="6"/>
      <c r="B1648" s="5"/>
      <c r="C1648" s="5"/>
      <c r="D1648" s="5" t="s">
        <v>226</v>
      </c>
      <c r="E1648" s="5" t="s">
        <v>607</v>
      </c>
      <c r="F1648" s="5" t="s">
        <v>551</v>
      </c>
      <c r="G1648" s="14">
        <f t="shared" ref="G1648:L1648" si="412">SUBTOTAL(9,G1647:G1647)</f>
        <v>0</v>
      </c>
      <c r="H1648" s="14">
        <f t="shared" si="412"/>
        <v>0</v>
      </c>
      <c r="I1648" s="14">
        <f t="shared" si="412"/>
        <v>183.05</v>
      </c>
      <c r="J1648" s="14">
        <f t="shared" si="412"/>
        <v>0</v>
      </c>
      <c r="K1648" s="14">
        <f t="shared" si="412"/>
        <v>-3.66</v>
      </c>
      <c r="L1648" s="14">
        <f t="shared" si="412"/>
        <v>179.39</v>
      </c>
      <c r="M1648" s="10">
        <v>2518</v>
      </c>
      <c r="N1648" s="69"/>
      <c r="O1648" s="11">
        <f>O1645+1</f>
        <v>400</v>
      </c>
    </row>
    <row r="1649" spans="1:15" s="4" customFormat="1" x14ac:dyDescent="0.25">
      <c r="A1649" s="10"/>
      <c r="B1649"/>
      <c r="C1649"/>
      <c r="D1649"/>
      <c r="E1649"/>
      <c r="F1649"/>
      <c r="G1649" s="21"/>
      <c r="H1649" s="21"/>
      <c r="I1649" s="21"/>
      <c r="J1649" s="21"/>
      <c r="K1649" s="21"/>
      <c r="L1649" s="21"/>
      <c r="M1649" s="10"/>
      <c r="N1649" s="67"/>
      <c r="O1649" s="11"/>
    </row>
    <row r="1650" spans="1:15" s="4" customFormat="1" x14ac:dyDescent="0.25">
      <c r="A1650" s="6">
        <v>818</v>
      </c>
      <c r="B1650" s="5" t="s">
        <v>550</v>
      </c>
      <c r="C1650" s="5" t="s">
        <v>17</v>
      </c>
      <c r="D1650" s="5" t="s">
        <v>606</v>
      </c>
      <c r="E1650" s="5" t="s">
        <v>607</v>
      </c>
      <c r="F1650" s="5" t="s">
        <v>552</v>
      </c>
      <c r="G1650" s="22">
        <v>0</v>
      </c>
      <c r="H1650" s="22">
        <v>0</v>
      </c>
      <c r="I1650" s="22">
        <v>0.01</v>
      </c>
      <c r="J1650" s="22">
        <v>0</v>
      </c>
      <c r="K1650" s="22">
        <v>0</v>
      </c>
      <c r="L1650" s="22">
        <v>0.01</v>
      </c>
      <c r="M1650" s="10"/>
      <c r="N1650" s="67"/>
      <c r="O1650" s="11"/>
    </row>
    <row r="1651" spans="1:15" x14ac:dyDescent="0.25">
      <c r="A1651" s="6"/>
      <c r="B1651" s="5"/>
      <c r="C1651" s="5"/>
      <c r="D1651" s="5" t="s">
        <v>606</v>
      </c>
      <c r="E1651" s="5" t="s">
        <v>607</v>
      </c>
      <c r="F1651" s="5" t="s">
        <v>552</v>
      </c>
      <c r="G1651" s="14">
        <f t="shared" ref="G1651:L1651" si="413">SUBTOTAL(9,G1650:G1650)</f>
        <v>0</v>
      </c>
      <c r="H1651" s="14">
        <f t="shared" si="413"/>
        <v>0</v>
      </c>
      <c r="I1651" s="14">
        <f t="shared" si="413"/>
        <v>0.01</v>
      </c>
      <c r="J1651" s="14">
        <f t="shared" si="413"/>
        <v>0</v>
      </c>
      <c r="K1651" s="14">
        <f t="shared" si="413"/>
        <v>0</v>
      </c>
      <c r="L1651" s="14">
        <f t="shared" si="413"/>
        <v>0.01</v>
      </c>
      <c r="M1651" s="10">
        <v>2519</v>
      </c>
      <c r="N1651" s="69"/>
      <c r="O1651" s="11">
        <f>O1648+1</f>
        <v>401</v>
      </c>
    </row>
    <row r="1652" spans="1:15" x14ac:dyDescent="0.25">
      <c r="A1652" s="10"/>
      <c r="G1652" s="21"/>
      <c r="H1652" s="21"/>
      <c r="I1652" s="21"/>
      <c r="J1652" s="21"/>
      <c r="K1652" s="21"/>
      <c r="L1652" s="21"/>
      <c r="M1652" s="10"/>
      <c r="O1652" s="11"/>
    </row>
    <row r="1653" spans="1:15" s="4" customFormat="1" x14ac:dyDescent="0.25">
      <c r="A1653" s="6">
        <v>819</v>
      </c>
      <c r="B1653" s="5" t="s">
        <v>18</v>
      </c>
      <c r="C1653" s="5" t="s">
        <v>17</v>
      </c>
      <c r="D1653" s="5" t="s">
        <v>227</v>
      </c>
      <c r="E1653" s="5" t="s">
        <v>228</v>
      </c>
      <c r="F1653" s="5" t="s">
        <v>19</v>
      </c>
      <c r="G1653" s="22">
        <v>0</v>
      </c>
      <c r="H1653" s="22">
        <v>0</v>
      </c>
      <c r="I1653" s="22">
        <v>0.5</v>
      </c>
      <c r="J1653" s="22">
        <v>0</v>
      </c>
      <c r="K1653" s="22">
        <v>-0.06</v>
      </c>
      <c r="L1653" s="22">
        <v>0.44</v>
      </c>
      <c r="M1653" s="10"/>
      <c r="N1653" s="67"/>
      <c r="O1653" s="11"/>
    </row>
    <row r="1654" spans="1:15" s="4" customFormat="1" x14ac:dyDescent="0.25">
      <c r="A1654" s="6"/>
      <c r="B1654" s="5"/>
      <c r="C1654" s="5"/>
      <c r="D1654" s="5" t="s">
        <v>227</v>
      </c>
      <c r="E1654" s="5" t="s">
        <v>228</v>
      </c>
      <c r="F1654" s="5" t="s">
        <v>19</v>
      </c>
      <c r="G1654" s="14">
        <f t="shared" ref="G1654:L1654" si="414">SUBTOTAL(9,G1653:G1653)</f>
        <v>0</v>
      </c>
      <c r="H1654" s="14">
        <f t="shared" si="414"/>
        <v>0</v>
      </c>
      <c r="I1654" s="14">
        <f t="shared" si="414"/>
        <v>0.5</v>
      </c>
      <c r="J1654" s="14">
        <f t="shared" si="414"/>
        <v>0</v>
      </c>
      <c r="K1654" s="14">
        <f t="shared" si="414"/>
        <v>-0.06</v>
      </c>
      <c r="L1654" s="14">
        <f t="shared" si="414"/>
        <v>0.44</v>
      </c>
      <c r="M1654" s="10">
        <v>2520</v>
      </c>
      <c r="N1654" s="69"/>
      <c r="O1654" s="11">
        <f>O1651+1</f>
        <v>402</v>
      </c>
    </row>
    <row r="1655" spans="1:15" x14ac:dyDescent="0.25">
      <c r="A1655" s="10"/>
      <c r="G1655" s="21"/>
      <c r="H1655" s="21"/>
      <c r="I1655" s="21"/>
      <c r="J1655" s="21"/>
      <c r="K1655" s="21"/>
      <c r="L1655" s="21"/>
      <c r="M1655" s="10"/>
      <c r="O1655" s="11"/>
    </row>
    <row r="1656" spans="1:15" x14ac:dyDescent="0.25">
      <c r="A1656" s="6">
        <v>820</v>
      </c>
      <c r="B1656" s="5" t="s">
        <v>550</v>
      </c>
      <c r="C1656" s="5" t="s">
        <v>17</v>
      </c>
      <c r="D1656" s="5" t="s">
        <v>608</v>
      </c>
      <c r="E1656" s="5" t="s">
        <v>228</v>
      </c>
      <c r="F1656" s="5" t="s">
        <v>551</v>
      </c>
      <c r="G1656" s="22">
        <v>0</v>
      </c>
      <c r="H1656" s="22">
        <v>0</v>
      </c>
      <c r="I1656" s="22">
        <v>103.23</v>
      </c>
      <c r="J1656" s="22">
        <v>0</v>
      </c>
      <c r="K1656" s="22">
        <v>-2.06</v>
      </c>
      <c r="L1656" s="22">
        <v>101.17</v>
      </c>
      <c r="M1656" s="10"/>
      <c r="O1656" s="11"/>
    </row>
    <row r="1657" spans="1:15" s="4" customFormat="1" x14ac:dyDescent="0.25">
      <c r="A1657" s="6">
        <v>821</v>
      </c>
      <c r="B1657" s="5" t="s">
        <v>550</v>
      </c>
      <c r="C1657" s="5" t="s">
        <v>17</v>
      </c>
      <c r="D1657" s="5" t="s">
        <v>608</v>
      </c>
      <c r="E1657" s="5" t="s">
        <v>228</v>
      </c>
      <c r="F1657" s="5" t="s">
        <v>551</v>
      </c>
      <c r="G1657" s="22">
        <v>0</v>
      </c>
      <c r="H1657" s="22">
        <v>0</v>
      </c>
      <c r="I1657" s="22">
        <v>1166.8699999999999</v>
      </c>
      <c r="J1657" s="22">
        <v>0</v>
      </c>
      <c r="K1657" s="22">
        <v>-23.34</v>
      </c>
      <c r="L1657" s="22">
        <v>1143.53</v>
      </c>
      <c r="M1657" s="10"/>
      <c r="N1657" s="67"/>
      <c r="O1657" s="11"/>
    </row>
    <row r="1658" spans="1:15" s="4" customFormat="1" x14ac:dyDescent="0.25">
      <c r="A1658" s="6"/>
      <c r="B1658" s="5"/>
      <c r="C1658" s="5"/>
      <c r="D1658" s="5" t="s">
        <v>227</v>
      </c>
      <c r="E1658" s="5" t="s">
        <v>228</v>
      </c>
      <c r="F1658" s="5" t="s">
        <v>551</v>
      </c>
      <c r="G1658" s="14">
        <f t="shared" ref="G1658:L1658" si="415">SUBTOTAL(9,G1656:G1657)</f>
        <v>0</v>
      </c>
      <c r="H1658" s="14">
        <f t="shared" si="415"/>
        <v>0</v>
      </c>
      <c r="I1658" s="14">
        <f t="shared" si="415"/>
        <v>1270.0999999999999</v>
      </c>
      <c r="J1658" s="14">
        <f t="shared" si="415"/>
        <v>0</v>
      </c>
      <c r="K1658" s="14">
        <f t="shared" si="415"/>
        <v>-25.4</v>
      </c>
      <c r="L1658" s="14">
        <f t="shared" si="415"/>
        <v>1244.7</v>
      </c>
      <c r="M1658" s="10">
        <v>2521</v>
      </c>
      <c r="N1658" s="69"/>
      <c r="O1658" s="11">
        <f>O1654+1</f>
        <v>403</v>
      </c>
    </row>
    <row r="1659" spans="1:15" s="4" customFormat="1" x14ac:dyDescent="0.25">
      <c r="A1659" s="10"/>
      <c r="B1659"/>
      <c r="C1659"/>
      <c r="D1659"/>
      <c r="E1659"/>
      <c r="F1659"/>
      <c r="G1659" s="21"/>
      <c r="H1659" s="21"/>
      <c r="I1659" s="21"/>
      <c r="J1659" s="21"/>
      <c r="K1659" s="21"/>
      <c r="L1659" s="21"/>
      <c r="M1659" s="10"/>
      <c r="N1659" s="67"/>
      <c r="O1659" s="11"/>
    </row>
    <row r="1660" spans="1:15" x14ac:dyDescent="0.25">
      <c r="A1660" s="6">
        <v>822</v>
      </c>
      <c r="B1660" s="5" t="s">
        <v>550</v>
      </c>
      <c r="C1660" s="5" t="s">
        <v>17</v>
      </c>
      <c r="D1660" s="5" t="s">
        <v>608</v>
      </c>
      <c r="E1660" s="5" t="s">
        <v>228</v>
      </c>
      <c r="F1660" s="5" t="s">
        <v>552</v>
      </c>
      <c r="G1660" s="22">
        <v>0</v>
      </c>
      <c r="H1660" s="22">
        <v>0</v>
      </c>
      <c r="I1660" s="22">
        <v>0.01</v>
      </c>
      <c r="J1660" s="22">
        <v>0</v>
      </c>
      <c r="K1660" s="22">
        <v>0</v>
      </c>
      <c r="L1660" s="22">
        <v>0.01</v>
      </c>
      <c r="M1660" s="10"/>
      <c r="O1660" s="11"/>
    </row>
    <row r="1661" spans="1:15" x14ac:dyDescent="0.25">
      <c r="A1661" s="6">
        <v>823</v>
      </c>
      <c r="B1661" s="5" t="s">
        <v>550</v>
      </c>
      <c r="C1661" s="5" t="s">
        <v>17</v>
      </c>
      <c r="D1661" s="5" t="s">
        <v>608</v>
      </c>
      <c r="E1661" s="5" t="s">
        <v>228</v>
      </c>
      <c r="F1661" s="5" t="s">
        <v>552</v>
      </c>
      <c r="G1661" s="22">
        <v>0</v>
      </c>
      <c r="H1661" s="22">
        <v>0</v>
      </c>
      <c r="I1661" s="22">
        <v>0.08</v>
      </c>
      <c r="J1661" s="22">
        <v>0</v>
      </c>
      <c r="K1661" s="22">
        <v>0</v>
      </c>
      <c r="L1661" s="22">
        <v>0.08</v>
      </c>
      <c r="M1661" s="10"/>
      <c r="O1661" s="11"/>
    </row>
    <row r="1662" spans="1:15" s="4" customFormat="1" x14ac:dyDescent="0.25">
      <c r="A1662" s="6"/>
      <c r="B1662" s="5"/>
      <c r="C1662" s="5"/>
      <c r="D1662" s="5" t="s">
        <v>227</v>
      </c>
      <c r="E1662" s="5" t="s">
        <v>228</v>
      </c>
      <c r="F1662" s="5" t="s">
        <v>552</v>
      </c>
      <c r="G1662" s="14">
        <f t="shared" ref="G1662:L1662" si="416">SUBTOTAL(9,G1660:G1661)</f>
        <v>0</v>
      </c>
      <c r="H1662" s="14">
        <f t="shared" si="416"/>
        <v>0</v>
      </c>
      <c r="I1662" s="14">
        <f t="shared" si="416"/>
        <v>0.09</v>
      </c>
      <c r="J1662" s="14">
        <f t="shared" si="416"/>
        <v>0</v>
      </c>
      <c r="K1662" s="14">
        <f t="shared" si="416"/>
        <v>0</v>
      </c>
      <c r="L1662" s="14">
        <f t="shared" si="416"/>
        <v>0.09</v>
      </c>
      <c r="M1662" s="10">
        <v>2522</v>
      </c>
      <c r="N1662" s="69"/>
      <c r="O1662" s="11">
        <f>O1658+1</f>
        <v>404</v>
      </c>
    </row>
    <row r="1663" spans="1:15" x14ac:dyDescent="0.25">
      <c r="A1663" s="10"/>
      <c r="G1663" s="21"/>
      <c r="H1663" s="21"/>
      <c r="I1663" s="21"/>
      <c r="J1663" s="21"/>
      <c r="K1663" s="21"/>
      <c r="L1663" s="21"/>
      <c r="M1663" s="10"/>
      <c r="O1663" s="11"/>
    </row>
    <row r="1664" spans="1:15" x14ac:dyDescent="0.25">
      <c r="A1664" s="6">
        <v>824</v>
      </c>
      <c r="B1664" s="5" t="s">
        <v>18</v>
      </c>
      <c r="C1664" s="5" t="s">
        <v>17</v>
      </c>
      <c r="D1664" s="5" t="s">
        <v>229</v>
      </c>
      <c r="E1664" s="5" t="s">
        <v>230</v>
      </c>
      <c r="F1664" s="5" t="s">
        <v>19</v>
      </c>
      <c r="G1664" s="22">
        <v>0</v>
      </c>
      <c r="H1664" s="22">
        <v>0</v>
      </c>
      <c r="I1664" s="22">
        <v>0</v>
      </c>
      <c r="J1664" s="22">
        <v>0</v>
      </c>
      <c r="K1664" s="22">
        <v>0</v>
      </c>
      <c r="L1664" s="22">
        <v>0</v>
      </c>
      <c r="M1664" s="10"/>
      <c r="O1664" s="11"/>
    </row>
    <row r="1665" spans="1:15" s="4" customFormat="1" x14ac:dyDescent="0.25">
      <c r="A1665" s="28"/>
      <c r="B1665" s="29"/>
      <c r="C1665" s="29"/>
      <c r="D1665" s="29"/>
      <c r="E1665" s="29"/>
      <c r="F1665" s="29" t="s">
        <v>657</v>
      </c>
      <c r="G1665" s="31">
        <f t="shared" ref="G1665:L1665" si="417">SUBTOTAL(9,G1664:G1664)</f>
        <v>0</v>
      </c>
      <c r="H1665" s="31">
        <f t="shared" si="417"/>
        <v>0</v>
      </c>
      <c r="I1665" s="31">
        <f t="shared" si="417"/>
        <v>0</v>
      </c>
      <c r="J1665" s="31">
        <f t="shared" si="417"/>
        <v>0</v>
      </c>
      <c r="K1665" s="31">
        <f t="shared" si="417"/>
        <v>0</v>
      </c>
      <c r="L1665" s="31">
        <f t="shared" si="417"/>
        <v>0</v>
      </c>
      <c r="M1665" s="15"/>
      <c r="N1665" s="67"/>
      <c r="O1665" s="11"/>
    </row>
    <row r="1666" spans="1:15" x14ac:dyDescent="0.25">
      <c r="A1666" s="10"/>
      <c r="G1666" s="21"/>
      <c r="H1666" s="21"/>
      <c r="I1666" s="21"/>
      <c r="J1666" s="21"/>
      <c r="K1666" s="21"/>
      <c r="L1666" s="21"/>
      <c r="M1666" s="10"/>
      <c r="O1666" s="11"/>
    </row>
    <row r="1667" spans="1:15" x14ac:dyDescent="0.25">
      <c r="A1667" s="6">
        <v>825</v>
      </c>
      <c r="B1667" s="5" t="s">
        <v>550</v>
      </c>
      <c r="C1667" s="5" t="s">
        <v>17</v>
      </c>
      <c r="D1667" s="5" t="s">
        <v>229</v>
      </c>
      <c r="E1667" s="5" t="s">
        <v>230</v>
      </c>
      <c r="F1667" s="5" t="s">
        <v>551</v>
      </c>
      <c r="G1667" s="22">
        <v>1.47</v>
      </c>
      <c r="H1667" s="22">
        <v>0</v>
      </c>
      <c r="I1667" s="22">
        <v>0</v>
      </c>
      <c r="J1667" s="22">
        <v>0</v>
      </c>
      <c r="K1667" s="22">
        <v>-0.03</v>
      </c>
      <c r="L1667" s="22">
        <v>1.44</v>
      </c>
      <c r="M1667" s="10"/>
      <c r="O1667" s="11"/>
    </row>
    <row r="1668" spans="1:15" s="4" customFormat="1" x14ac:dyDescent="0.25">
      <c r="A1668" s="6">
        <v>826</v>
      </c>
      <c r="B1668" s="5" t="s">
        <v>550</v>
      </c>
      <c r="C1668" s="5" t="s">
        <v>17</v>
      </c>
      <c r="D1668" s="5" t="s">
        <v>229</v>
      </c>
      <c r="E1668" s="5" t="s">
        <v>230</v>
      </c>
      <c r="F1668" s="5" t="s">
        <v>551</v>
      </c>
      <c r="G1668" s="22">
        <v>4321.62</v>
      </c>
      <c r="H1668" s="22">
        <v>0</v>
      </c>
      <c r="I1668" s="22">
        <v>0</v>
      </c>
      <c r="J1668" s="22">
        <v>0</v>
      </c>
      <c r="K1668" s="22">
        <v>-86.43</v>
      </c>
      <c r="L1668" s="22">
        <v>4235.1899999999996</v>
      </c>
      <c r="M1668" s="10"/>
      <c r="N1668" s="67"/>
      <c r="O1668" s="11"/>
    </row>
    <row r="1669" spans="1:15" s="4" customFormat="1" x14ac:dyDescent="0.25">
      <c r="A1669" s="6">
        <v>827</v>
      </c>
      <c r="B1669" s="5" t="s">
        <v>550</v>
      </c>
      <c r="C1669" s="5" t="s">
        <v>13</v>
      </c>
      <c r="D1669" s="5" t="s">
        <v>229</v>
      </c>
      <c r="E1669" s="5" t="s">
        <v>230</v>
      </c>
      <c r="F1669" s="5" t="s">
        <v>551</v>
      </c>
      <c r="G1669" s="22">
        <v>0</v>
      </c>
      <c r="H1669" s="22">
        <v>0</v>
      </c>
      <c r="I1669" s="22">
        <v>0</v>
      </c>
      <c r="J1669" s="22">
        <v>0.18</v>
      </c>
      <c r="K1669" s="22">
        <v>0</v>
      </c>
      <c r="L1669" s="22">
        <v>0.18</v>
      </c>
      <c r="M1669" s="10"/>
      <c r="N1669" s="67"/>
      <c r="O1669" s="11"/>
    </row>
    <row r="1670" spans="1:15" x14ac:dyDescent="0.25">
      <c r="A1670" s="6">
        <v>828</v>
      </c>
      <c r="B1670" s="5" t="s">
        <v>550</v>
      </c>
      <c r="C1670" s="5" t="s">
        <v>13</v>
      </c>
      <c r="D1670" s="5" t="s">
        <v>229</v>
      </c>
      <c r="E1670" s="5" t="s">
        <v>230</v>
      </c>
      <c r="F1670" s="5" t="s">
        <v>551</v>
      </c>
      <c r="G1670" s="22">
        <v>0</v>
      </c>
      <c r="H1670" s="22">
        <v>0</v>
      </c>
      <c r="I1670" s="22">
        <v>0</v>
      </c>
      <c r="J1670" s="22">
        <v>518.59</v>
      </c>
      <c r="K1670" s="22">
        <v>0</v>
      </c>
      <c r="L1670" s="22">
        <v>518.59</v>
      </c>
      <c r="M1670" s="10"/>
      <c r="O1670" s="11"/>
    </row>
    <row r="1671" spans="1:15" x14ac:dyDescent="0.25">
      <c r="A1671" s="6"/>
      <c r="B1671" s="5"/>
      <c r="C1671" s="5"/>
      <c r="D1671" s="5" t="s">
        <v>229</v>
      </c>
      <c r="E1671" s="5" t="s">
        <v>230</v>
      </c>
      <c r="F1671" s="5" t="s">
        <v>551</v>
      </c>
      <c r="G1671" s="14">
        <f t="shared" ref="G1671:L1671" si="418">SUBTOTAL(9,G1667:G1670)</f>
        <v>4323.09</v>
      </c>
      <c r="H1671" s="14">
        <f t="shared" si="418"/>
        <v>0</v>
      </c>
      <c r="I1671" s="14">
        <f t="shared" si="418"/>
        <v>0</v>
      </c>
      <c r="J1671" s="14">
        <f t="shared" si="418"/>
        <v>518.77</v>
      </c>
      <c r="K1671" s="14">
        <f t="shared" si="418"/>
        <v>-86.460000000000008</v>
      </c>
      <c r="L1671" s="14">
        <f t="shared" si="418"/>
        <v>4755.3999999999996</v>
      </c>
      <c r="M1671" s="10">
        <v>2523</v>
      </c>
      <c r="N1671" s="69"/>
      <c r="O1671" s="11">
        <f>O1662+1</f>
        <v>405</v>
      </c>
    </row>
    <row r="1672" spans="1:15" s="4" customFormat="1" x14ac:dyDescent="0.25">
      <c r="A1672" s="10"/>
      <c r="B1672"/>
      <c r="C1672"/>
      <c r="D1672"/>
      <c r="E1672"/>
      <c r="F1672"/>
      <c r="G1672" s="21"/>
      <c r="H1672" s="21"/>
      <c r="I1672" s="21"/>
      <c r="J1672" s="21"/>
      <c r="K1672" s="21"/>
      <c r="L1672" s="21"/>
      <c r="M1672" s="10"/>
      <c r="N1672" s="67"/>
      <c r="O1672" s="11"/>
    </row>
    <row r="1673" spans="1:15" s="4" customFormat="1" x14ac:dyDescent="0.25">
      <c r="A1673" s="6">
        <v>829</v>
      </c>
      <c r="B1673" s="5" t="s">
        <v>550</v>
      </c>
      <c r="C1673" s="5" t="s">
        <v>17</v>
      </c>
      <c r="D1673" s="5" t="s">
        <v>229</v>
      </c>
      <c r="E1673" s="5" t="s">
        <v>230</v>
      </c>
      <c r="F1673" s="5" t="s">
        <v>552</v>
      </c>
      <c r="G1673" s="22">
        <v>0.31</v>
      </c>
      <c r="H1673" s="22">
        <v>0</v>
      </c>
      <c r="I1673" s="22">
        <v>0</v>
      </c>
      <c r="J1673" s="22">
        <v>0</v>
      </c>
      <c r="K1673" s="22">
        <v>-0.01</v>
      </c>
      <c r="L1673" s="22">
        <v>0.3</v>
      </c>
      <c r="M1673" s="10"/>
      <c r="N1673" s="67"/>
      <c r="O1673" s="11"/>
    </row>
    <row r="1674" spans="1:15" s="4" customFormat="1" x14ac:dyDescent="0.25">
      <c r="A1674" s="6">
        <v>830</v>
      </c>
      <c r="B1674" s="5" t="s">
        <v>550</v>
      </c>
      <c r="C1674" s="5" t="s">
        <v>13</v>
      </c>
      <c r="D1674" s="5" t="s">
        <v>229</v>
      </c>
      <c r="E1674" s="5" t="s">
        <v>230</v>
      </c>
      <c r="F1674" s="5" t="s">
        <v>552</v>
      </c>
      <c r="G1674" s="22">
        <v>0</v>
      </c>
      <c r="H1674" s="22">
        <v>0</v>
      </c>
      <c r="I1674" s="22">
        <v>0</v>
      </c>
      <c r="J1674" s="22">
        <v>0.04</v>
      </c>
      <c r="K1674" s="22">
        <v>0</v>
      </c>
      <c r="L1674" s="22">
        <v>0.04</v>
      </c>
      <c r="M1674" s="10"/>
      <c r="N1674" s="67"/>
      <c r="O1674" s="11"/>
    </row>
    <row r="1675" spans="1:15" x14ac:dyDescent="0.25">
      <c r="A1675" s="6"/>
      <c r="B1675" s="5"/>
      <c r="C1675" s="5"/>
      <c r="D1675" s="5" t="s">
        <v>229</v>
      </c>
      <c r="E1675" s="5" t="s">
        <v>230</v>
      </c>
      <c r="F1675" s="5" t="s">
        <v>552</v>
      </c>
      <c r="G1675" s="14">
        <f t="shared" ref="G1675:L1675" si="419">SUBTOTAL(9,G1673:G1674)</f>
        <v>0.31</v>
      </c>
      <c r="H1675" s="14">
        <f t="shared" si="419"/>
        <v>0</v>
      </c>
      <c r="I1675" s="14">
        <f t="shared" si="419"/>
        <v>0</v>
      </c>
      <c r="J1675" s="14">
        <f t="shared" si="419"/>
        <v>0.04</v>
      </c>
      <c r="K1675" s="14">
        <f t="shared" si="419"/>
        <v>-0.01</v>
      </c>
      <c r="L1675" s="14">
        <f t="shared" si="419"/>
        <v>0.33999999999999997</v>
      </c>
      <c r="M1675" s="10">
        <v>2524</v>
      </c>
      <c r="N1675" s="69"/>
      <c r="O1675" s="11">
        <f>O1671+1</f>
        <v>406</v>
      </c>
    </row>
    <row r="1676" spans="1:15" x14ac:dyDescent="0.25">
      <c r="A1676" s="10"/>
      <c r="G1676" s="21"/>
      <c r="H1676" s="21"/>
      <c r="I1676" s="21"/>
      <c r="J1676" s="21"/>
      <c r="K1676" s="21"/>
      <c r="L1676" s="21"/>
      <c r="M1676" s="10"/>
      <c r="O1676" s="11"/>
    </row>
    <row r="1677" spans="1:15" s="4" customFormat="1" x14ac:dyDescent="0.25">
      <c r="A1677" s="6">
        <v>831</v>
      </c>
      <c r="B1677" s="5" t="s">
        <v>18</v>
      </c>
      <c r="C1677" s="5" t="s">
        <v>17</v>
      </c>
      <c r="D1677" s="5" t="s">
        <v>231</v>
      </c>
      <c r="E1677" s="5" t="s">
        <v>232</v>
      </c>
      <c r="F1677" s="5" t="s">
        <v>19</v>
      </c>
      <c r="G1677" s="22">
        <v>0</v>
      </c>
      <c r="H1677" s="22">
        <v>0</v>
      </c>
      <c r="I1677" s="22">
        <v>0</v>
      </c>
      <c r="J1677" s="22">
        <v>0</v>
      </c>
      <c r="K1677" s="22">
        <v>0</v>
      </c>
      <c r="L1677" s="22">
        <v>0</v>
      </c>
      <c r="M1677" s="10"/>
      <c r="N1677" s="67"/>
      <c r="O1677" s="11"/>
    </row>
    <row r="1678" spans="1:15" x14ac:dyDescent="0.25">
      <c r="A1678" s="28"/>
      <c r="B1678" s="29"/>
      <c r="C1678" s="29"/>
      <c r="D1678" s="29"/>
      <c r="E1678" s="29"/>
      <c r="F1678" s="29" t="s">
        <v>657</v>
      </c>
      <c r="G1678" s="31">
        <f t="shared" ref="G1678:L1678" si="420">SUBTOTAL(9,G1677:G1677)</f>
        <v>0</v>
      </c>
      <c r="H1678" s="31">
        <f t="shared" si="420"/>
        <v>0</v>
      </c>
      <c r="I1678" s="31">
        <f t="shared" si="420"/>
        <v>0</v>
      </c>
      <c r="J1678" s="31">
        <f t="shared" si="420"/>
        <v>0</v>
      </c>
      <c r="K1678" s="31">
        <f t="shared" si="420"/>
        <v>0</v>
      </c>
      <c r="L1678" s="31">
        <f t="shared" si="420"/>
        <v>0</v>
      </c>
      <c r="M1678" s="15"/>
      <c r="O1678" s="11"/>
    </row>
    <row r="1679" spans="1:15" x14ac:dyDescent="0.25">
      <c r="A1679" s="10"/>
      <c r="G1679" s="21"/>
      <c r="H1679" s="21"/>
      <c r="I1679" s="21"/>
      <c r="J1679" s="21"/>
      <c r="K1679" s="21"/>
      <c r="L1679" s="21"/>
      <c r="M1679" s="10"/>
      <c r="O1679" s="11"/>
    </row>
    <row r="1680" spans="1:15" s="4" customFormat="1" x14ac:dyDescent="0.25">
      <c r="A1680" s="6">
        <v>832</v>
      </c>
      <c r="B1680" s="5" t="s">
        <v>550</v>
      </c>
      <c r="C1680" s="5" t="s">
        <v>17</v>
      </c>
      <c r="D1680" s="5" t="s">
        <v>609</v>
      </c>
      <c r="E1680" s="5" t="s">
        <v>232</v>
      </c>
      <c r="F1680" s="5" t="s">
        <v>551</v>
      </c>
      <c r="G1680" s="22">
        <v>0</v>
      </c>
      <c r="H1680" s="22">
        <v>0</v>
      </c>
      <c r="I1680" s="22">
        <v>8.75</v>
      </c>
      <c r="J1680" s="22">
        <v>0</v>
      </c>
      <c r="K1680" s="22">
        <v>-0.18</v>
      </c>
      <c r="L1680" s="22">
        <v>8.57</v>
      </c>
      <c r="M1680" s="10"/>
      <c r="N1680" s="67"/>
      <c r="O1680" s="11"/>
    </row>
    <row r="1681" spans="1:15" x14ac:dyDescent="0.25">
      <c r="A1681" s="6">
        <v>833</v>
      </c>
      <c r="B1681" s="5" t="s">
        <v>550</v>
      </c>
      <c r="C1681" s="5" t="s">
        <v>17</v>
      </c>
      <c r="D1681" s="5" t="s">
        <v>609</v>
      </c>
      <c r="E1681" s="5" t="s">
        <v>232</v>
      </c>
      <c r="F1681" s="5" t="s">
        <v>551</v>
      </c>
      <c r="G1681" s="22">
        <v>0</v>
      </c>
      <c r="H1681" s="22">
        <v>0</v>
      </c>
      <c r="I1681" s="22">
        <v>1.1299999999999999</v>
      </c>
      <c r="J1681" s="22">
        <v>0</v>
      </c>
      <c r="K1681" s="22">
        <v>-0.02</v>
      </c>
      <c r="L1681" s="22">
        <v>1.1100000000000001</v>
      </c>
      <c r="M1681" s="10"/>
      <c r="O1681" s="11"/>
    </row>
    <row r="1682" spans="1:15" x14ac:dyDescent="0.25">
      <c r="A1682" s="6"/>
      <c r="B1682" s="5"/>
      <c r="C1682" s="5"/>
      <c r="D1682" s="5" t="s">
        <v>231</v>
      </c>
      <c r="E1682" s="5" t="s">
        <v>232</v>
      </c>
      <c r="F1682" s="5" t="s">
        <v>551</v>
      </c>
      <c r="G1682" s="14">
        <f t="shared" ref="G1682:L1682" si="421">SUBTOTAL(9,G1680:G1681)</f>
        <v>0</v>
      </c>
      <c r="H1682" s="14">
        <f t="shared" si="421"/>
        <v>0</v>
      </c>
      <c r="I1682" s="14">
        <f t="shared" si="421"/>
        <v>9.879999999999999</v>
      </c>
      <c r="J1682" s="14">
        <f t="shared" si="421"/>
        <v>0</v>
      </c>
      <c r="K1682" s="14">
        <f t="shared" si="421"/>
        <v>-0.19999999999999998</v>
      </c>
      <c r="L1682" s="14">
        <f t="shared" si="421"/>
        <v>9.68</v>
      </c>
      <c r="M1682" s="10">
        <v>2525</v>
      </c>
      <c r="N1682" s="69"/>
      <c r="O1682" s="11">
        <f>O1675+1</f>
        <v>407</v>
      </c>
    </row>
    <row r="1683" spans="1:15" s="4" customFormat="1" x14ac:dyDescent="0.25">
      <c r="A1683" s="10"/>
      <c r="B1683"/>
      <c r="C1683"/>
      <c r="D1683"/>
      <c r="E1683"/>
      <c r="F1683"/>
      <c r="G1683" s="21"/>
      <c r="H1683" s="21"/>
      <c r="I1683" s="21"/>
      <c r="J1683" s="21"/>
      <c r="K1683" s="21"/>
      <c r="L1683" s="21"/>
      <c r="M1683" s="10"/>
      <c r="N1683" s="67"/>
      <c r="O1683" s="11"/>
    </row>
    <row r="1684" spans="1:15" x14ac:dyDescent="0.25">
      <c r="A1684" s="6">
        <v>834</v>
      </c>
      <c r="B1684" s="5" t="s">
        <v>22</v>
      </c>
      <c r="C1684" s="5" t="s">
        <v>17</v>
      </c>
      <c r="D1684" s="5" t="s">
        <v>233</v>
      </c>
      <c r="E1684" s="5" t="s">
        <v>234</v>
      </c>
      <c r="F1684" s="5" t="s">
        <v>23</v>
      </c>
      <c r="G1684" s="22">
        <v>1.94</v>
      </c>
      <c r="H1684" s="22">
        <v>0</v>
      </c>
      <c r="I1684" s="22">
        <v>0</v>
      </c>
      <c r="J1684" s="22">
        <v>0</v>
      </c>
      <c r="K1684" s="22">
        <v>-0.04</v>
      </c>
      <c r="L1684" s="22">
        <v>1.9</v>
      </c>
      <c r="M1684" s="10"/>
      <c r="O1684" s="11"/>
    </row>
    <row r="1685" spans="1:15" x14ac:dyDescent="0.25">
      <c r="A1685" s="6">
        <v>835</v>
      </c>
      <c r="B1685" s="5" t="s">
        <v>22</v>
      </c>
      <c r="C1685" s="5" t="s">
        <v>13</v>
      </c>
      <c r="D1685" s="5" t="s">
        <v>233</v>
      </c>
      <c r="E1685" s="5" t="s">
        <v>234</v>
      </c>
      <c r="F1685" s="5" t="s">
        <v>23</v>
      </c>
      <c r="G1685" s="22">
        <v>0</v>
      </c>
      <c r="H1685" s="22">
        <v>0</v>
      </c>
      <c r="I1685" s="22">
        <v>0</v>
      </c>
      <c r="J1685" s="22">
        <v>0.23</v>
      </c>
      <c r="K1685" s="22">
        <v>0</v>
      </c>
      <c r="L1685" s="22">
        <v>0.23</v>
      </c>
      <c r="M1685" s="10"/>
      <c r="O1685" s="11"/>
    </row>
    <row r="1686" spans="1:15" s="4" customFormat="1" x14ac:dyDescent="0.25">
      <c r="A1686" s="6"/>
      <c r="B1686" s="5"/>
      <c r="C1686" s="5"/>
      <c r="D1686" s="5" t="s">
        <v>233</v>
      </c>
      <c r="E1686" s="5" t="s">
        <v>234</v>
      </c>
      <c r="F1686" s="5" t="s">
        <v>23</v>
      </c>
      <c r="G1686" s="14">
        <f t="shared" ref="G1686:L1686" si="422">SUBTOTAL(9,G1684:G1685)</f>
        <v>1.94</v>
      </c>
      <c r="H1686" s="14">
        <f t="shared" si="422"/>
        <v>0</v>
      </c>
      <c r="I1686" s="14">
        <f t="shared" si="422"/>
        <v>0</v>
      </c>
      <c r="J1686" s="14">
        <f t="shared" si="422"/>
        <v>0.23</v>
      </c>
      <c r="K1686" s="14">
        <f t="shared" si="422"/>
        <v>-0.04</v>
      </c>
      <c r="L1686" s="14">
        <f t="shared" si="422"/>
        <v>2.13</v>
      </c>
      <c r="M1686" s="10">
        <v>2526</v>
      </c>
      <c r="N1686" s="69"/>
      <c r="O1686" s="11">
        <f>O1682+1</f>
        <v>408</v>
      </c>
    </row>
    <row r="1687" spans="1:15" x14ac:dyDescent="0.25">
      <c r="A1687" s="10"/>
      <c r="G1687" s="21"/>
      <c r="H1687" s="21"/>
      <c r="I1687" s="21"/>
      <c r="J1687" s="21"/>
      <c r="K1687" s="21"/>
      <c r="L1687" s="21"/>
      <c r="M1687" s="10"/>
      <c r="O1687" s="11"/>
    </row>
    <row r="1688" spans="1:15" x14ac:dyDescent="0.25">
      <c r="A1688" s="6">
        <v>836</v>
      </c>
      <c r="B1688" s="5" t="s">
        <v>550</v>
      </c>
      <c r="C1688" s="5" t="s">
        <v>13</v>
      </c>
      <c r="D1688" s="5" t="s">
        <v>233</v>
      </c>
      <c r="E1688" s="5" t="s">
        <v>234</v>
      </c>
      <c r="F1688" s="5" t="s">
        <v>551</v>
      </c>
      <c r="G1688" s="22">
        <v>0</v>
      </c>
      <c r="H1688" s="22">
        <v>0</v>
      </c>
      <c r="I1688" s="22">
        <v>0</v>
      </c>
      <c r="J1688" s="22">
        <v>0.04</v>
      </c>
      <c r="K1688" s="22">
        <v>0</v>
      </c>
      <c r="L1688" s="22">
        <v>0.04</v>
      </c>
      <c r="M1688" s="10"/>
      <c r="O1688" s="11"/>
    </row>
    <row r="1689" spans="1:15" s="4" customFormat="1" x14ac:dyDescent="0.25">
      <c r="A1689" s="6">
        <v>837</v>
      </c>
      <c r="B1689" s="5" t="s">
        <v>550</v>
      </c>
      <c r="C1689" s="5" t="s">
        <v>17</v>
      </c>
      <c r="D1689" s="5" t="s">
        <v>233</v>
      </c>
      <c r="E1689" s="5" t="s">
        <v>234</v>
      </c>
      <c r="F1689" s="5" t="s">
        <v>551</v>
      </c>
      <c r="G1689" s="22">
        <v>962.94</v>
      </c>
      <c r="H1689" s="22">
        <v>0</v>
      </c>
      <c r="I1689" s="22">
        <v>0</v>
      </c>
      <c r="J1689" s="22">
        <v>0</v>
      </c>
      <c r="K1689" s="22">
        <v>-19.260000000000002</v>
      </c>
      <c r="L1689" s="22">
        <v>943.68</v>
      </c>
      <c r="M1689" s="10"/>
      <c r="N1689" s="67"/>
      <c r="O1689" s="11"/>
    </row>
    <row r="1690" spans="1:15" x14ac:dyDescent="0.25">
      <c r="A1690" s="6">
        <v>838</v>
      </c>
      <c r="B1690" s="5" t="s">
        <v>550</v>
      </c>
      <c r="C1690" s="5" t="s">
        <v>49</v>
      </c>
      <c r="D1690" s="5" t="s">
        <v>233</v>
      </c>
      <c r="E1690" s="5" t="s">
        <v>234</v>
      </c>
      <c r="F1690" s="5" t="s">
        <v>551</v>
      </c>
      <c r="G1690" s="22">
        <v>0.9</v>
      </c>
      <c r="H1690" s="22">
        <v>0</v>
      </c>
      <c r="I1690" s="22">
        <v>0</v>
      </c>
      <c r="J1690" s="22">
        <v>0</v>
      </c>
      <c r="K1690" s="22">
        <v>0</v>
      </c>
      <c r="L1690" s="22">
        <v>0.9</v>
      </c>
      <c r="M1690" s="10"/>
      <c r="N1690" s="70">
        <v>0.9</v>
      </c>
      <c r="O1690" s="11"/>
    </row>
    <row r="1691" spans="1:15" x14ac:dyDescent="0.25">
      <c r="A1691" s="6">
        <v>839</v>
      </c>
      <c r="B1691" s="5" t="s">
        <v>550</v>
      </c>
      <c r="C1691" s="5" t="s">
        <v>13</v>
      </c>
      <c r="D1691" s="5" t="s">
        <v>233</v>
      </c>
      <c r="E1691" s="5" t="s">
        <v>234</v>
      </c>
      <c r="F1691" s="5" t="s">
        <v>551</v>
      </c>
      <c r="G1691" s="22">
        <v>0</v>
      </c>
      <c r="H1691" s="22">
        <v>0</v>
      </c>
      <c r="I1691" s="22">
        <v>0</v>
      </c>
      <c r="J1691" s="22">
        <v>115.06</v>
      </c>
      <c r="K1691" s="22">
        <v>0</v>
      </c>
      <c r="L1691" s="22">
        <v>115.06</v>
      </c>
      <c r="M1691" s="10"/>
      <c r="O1691" s="11"/>
    </row>
    <row r="1692" spans="1:15" s="4" customFormat="1" x14ac:dyDescent="0.25">
      <c r="A1692" s="6"/>
      <c r="B1692" s="5"/>
      <c r="C1692" s="5"/>
      <c r="D1692" s="5" t="s">
        <v>233</v>
      </c>
      <c r="E1692" s="5" t="s">
        <v>234</v>
      </c>
      <c r="F1692" s="5" t="s">
        <v>551</v>
      </c>
      <c r="G1692" s="14">
        <f t="shared" ref="G1692:L1692" si="423">SUBTOTAL(9,G1688:G1691)</f>
        <v>963.84</v>
      </c>
      <c r="H1692" s="14">
        <f t="shared" si="423"/>
        <v>0</v>
      </c>
      <c r="I1692" s="14">
        <f t="shared" si="423"/>
        <v>0</v>
      </c>
      <c r="J1692" s="14">
        <f t="shared" si="423"/>
        <v>115.10000000000001</v>
      </c>
      <c r="K1692" s="14">
        <f t="shared" si="423"/>
        <v>-19.260000000000002</v>
      </c>
      <c r="L1692" s="14">
        <f t="shared" si="423"/>
        <v>1059.6799999999998</v>
      </c>
      <c r="M1692" s="10">
        <v>2527</v>
      </c>
      <c r="N1692" s="71">
        <f>SUBTOTAL(9,N1688:N1691)</f>
        <v>0.9</v>
      </c>
      <c r="O1692" s="11">
        <f>O1686+1</f>
        <v>409</v>
      </c>
    </row>
    <row r="1693" spans="1:15" x14ac:dyDescent="0.25">
      <c r="A1693" s="10"/>
      <c r="G1693" s="21"/>
      <c r="H1693" s="21"/>
      <c r="I1693" s="21"/>
      <c r="J1693" s="21"/>
      <c r="K1693" s="21"/>
      <c r="L1693" s="21"/>
      <c r="M1693" s="10"/>
      <c r="O1693" s="11"/>
    </row>
    <row r="1694" spans="1:15" x14ac:dyDescent="0.25">
      <c r="A1694" s="6">
        <v>840</v>
      </c>
      <c r="B1694" s="5" t="s">
        <v>550</v>
      </c>
      <c r="C1694" s="5" t="s">
        <v>13</v>
      </c>
      <c r="D1694" s="5" t="s">
        <v>233</v>
      </c>
      <c r="E1694" s="5" t="s">
        <v>234</v>
      </c>
      <c r="F1694" s="5" t="s">
        <v>552</v>
      </c>
      <c r="G1694" s="22">
        <v>0</v>
      </c>
      <c r="H1694" s="22">
        <v>0</v>
      </c>
      <c r="I1694" s="22">
        <v>0</v>
      </c>
      <c r="J1694" s="22">
        <v>0</v>
      </c>
      <c r="K1694" s="22">
        <v>0</v>
      </c>
      <c r="L1694" s="22">
        <v>0</v>
      </c>
      <c r="M1694" s="10"/>
      <c r="O1694" s="11"/>
    </row>
    <row r="1695" spans="1:15" s="4" customFormat="1" x14ac:dyDescent="0.25">
      <c r="A1695" s="6">
        <v>841</v>
      </c>
      <c r="B1695" s="5" t="s">
        <v>550</v>
      </c>
      <c r="C1695" s="5" t="s">
        <v>17</v>
      </c>
      <c r="D1695" s="5" t="s">
        <v>233</v>
      </c>
      <c r="E1695" s="5" t="s">
        <v>234</v>
      </c>
      <c r="F1695" s="5" t="s">
        <v>552</v>
      </c>
      <c r="G1695" s="22">
        <v>7.0000000000000007E-2</v>
      </c>
      <c r="H1695" s="22">
        <v>0</v>
      </c>
      <c r="I1695" s="22">
        <v>0</v>
      </c>
      <c r="J1695" s="22">
        <v>0</v>
      </c>
      <c r="K1695" s="22">
        <v>0</v>
      </c>
      <c r="L1695" s="22">
        <v>7.0000000000000007E-2</v>
      </c>
      <c r="M1695" s="10"/>
      <c r="N1695" s="67"/>
      <c r="O1695" s="11"/>
    </row>
    <row r="1696" spans="1:15" x14ac:dyDescent="0.25">
      <c r="A1696" s="6">
        <v>842</v>
      </c>
      <c r="B1696" s="5" t="s">
        <v>550</v>
      </c>
      <c r="C1696" s="5" t="s">
        <v>13</v>
      </c>
      <c r="D1696" s="5" t="s">
        <v>233</v>
      </c>
      <c r="E1696" s="5" t="s">
        <v>234</v>
      </c>
      <c r="F1696" s="5" t="s">
        <v>552</v>
      </c>
      <c r="G1696" s="22">
        <v>0</v>
      </c>
      <c r="H1696" s="22">
        <v>0</v>
      </c>
      <c r="I1696" s="22">
        <v>0</v>
      </c>
      <c r="J1696" s="22">
        <v>0.01</v>
      </c>
      <c r="K1696" s="22">
        <v>0</v>
      </c>
      <c r="L1696" s="22">
        <v>0.01</v>
      </c>
      <c r="M1696" s="10"/>
      <c r="O1696" s="11"/>
    </row>
    <row r="1697" spans="1:15" x14ac:dyDescent="0.25">
      <c r="A1697" s="6"/>
      <c r="B1697" s="5"/>
      <c r="C1697" s="5"/>
      <c r="D1697" s="5" t="s">
        <v>233</v>
      </c>
      <c r="E1697" s="5" t="s">
        <v>234</v>
      </c>
      <c r="F1697" s="5" t="s">
        <v>552</v>
      </c>
      <c r="G1697" s="14">
        <f t="shared" ref="G1697:L1697" si="424">SUBTOTAL(9,G1694:G1696)</f>
        <v>7.0000000000000007E-2</v>
      </c>
      <c r="H1697" s="14">
        <f t="shared" si="424"/>
        <v>0</v>
      </c>
      <c r="I1697" s="14">
        <f t="shared" si="424"/>
        <v>0</v>
      </c>
      <c r="J1697" s="14">
        <f t="shared" si="424"/>
        <v>0.01</v>
      </c>
      <c r="K1697" s="14">
        <f t="shared" si="424"/>
        <v>0</v>
      </c>
      <c r="L1697" s="14">
        <f t="shared" si="424"/>
        <v>0.08</v>
      </c>
      <c r="M1697" s="10">
        <v>2528</v>
      </c>
      <c r="N1697" s="69"/>
      <c r="O1697" s="11">
        <f>O1692+1</f>
        <v>410</v>
      </c>
    </row>
    <row r="1698" spans="1:15" s="4" customFormat="1" x14ac:dyDescent="0.25">
      <c r="A1698" s="10"/>
      <c r="B1698"/>
      <c r="C1698"/>
      <c r="D1698"/>
      <c r="E1698"/>
      <c r="F1698"/>
      <c r="G1698" s="21"/>
      <c r="H1698" s="21"/>
      <c r="I1698" s="21"/>
      <c r="J1698" s="21"/>
      <c r="K1698" s="21"/>
      <c r="L1698" s="21"/>
      <c r="M1698" s="10"/>
      <c r="N1698" s="67"/>
      <c r="O1698" s="11"/>
    </row>
    <row r="1699" spans="1:15" x14ac:dyDescent="0.25">
      <c r="A1699" s="6">
        <v>843</v>
      </c>
      <c r="B1699" s="5" t="s">
        <v>18</v>
      </c>
      <c r="C1699" s="5" t="s">
        <v>17</v>
      </c>
      <c r="D1699" s="5" t="s">
        <v>235</v>
      </c>
      <c r="E1699" s="5" t="s">
        <v>236</v>
      </c>
      <c r="F1699" s="5" t="s">
        <v>19</v>
      </c>
      <c r="G1699" s="22">
        <v>0</v>
      </c>
      <c r="H1699" s="22">
        <v>0</v>
      </c>
      <c r="I1699" s="22">
        <v>0.09</v>
      </c>
      <c r="J1699" s="22">
        <v>0</v>
      </c>
      <c r="K1699" s="22">
        <v>-0.01</v>
      </c>
      <c r="L1699" s="22">
        <v>0.08</v>
      </c>
      <c r="M1699" s="10"/>
      <c r="O1699" s="11"/>
    </row>
    <row r="1700" spans="1:15" x14ac:dyDescent="0.25">
      <c r="A1700" s="6"/>
      <c r="B1700" s="5"/>
      <c r="C1700" s="5"/>
      <c r="D1700" s="5" t="s">
        <v>235</v>
      </c>
      <c r="E1700" s="5" t="s">
        <v>236</v>
      </c>
      <c r="F1700" s="5" t="s">
        <v>19</v>
      </c>
      <c r="G1700" s="14">
        <f t="shared" ref="G1700:L1700" si="425">SUBTOTAL(9,G1699:G1699)</f>
        <v>0</v>
      </c>
      <c r="H1700" s="14">
        <f t="shared" si="425"/>
        <v>0</v>
      </c>
      <c r="I1700" s="14">
        <f t="shared" si="425"/>
        <v>0.09</v>
      </c>
      <c r="J1700" s="14">
        <f t="shared" si="425"/>
        <v>0</v>
      </c>
      <c r="K1700" s="14">
        <f t="shared" si="425"/>
        <v>-0.01</v>
      </c>
      <c r="L1700" s="14">
        <f t="shared" si="425"/>
        <v>0.08</v>
      </c>
      <c r="M1700" s="10">
        <v>2529</v>
      </c>
      <c r="N1700" s="69"/>
      <c r="O1700" s="11">
        <f>O1697+1</f>
        <v>411</v>
      </c>
    </row>
    <row r="1701" spans="1:15" s="4" customFormat="1" x14ac:dyDescent="0.25">
      <c r="A1701" s="10"/>
      <c r="B1701"/>
      <c r="C1701"/>
      <c r="D1701"/>
      <c r="E1701"/>
      <c r="F1701"/>
      <c r="G1701" s="21"/>
      <c r="H1701" s="21"/>
      <c r="I1701" s="21"/>
      <c r="J1701" s="21"/>
      <c r="K1701" s="21"/>
      <c r="L1701" s="21"/>
      <c r="M1701" s="10"/>
      <c r="N1701" s="67"/>
      <c r="O1701" s="11"/>
    </row>
    <row r="1702" spans="1:15" x14ac:dyDescent="0.25">
      <c r="A1702" s="6">
        <v>844</v>
      </c>
      <c r="B1702" s="5" t="s">
        <v>550</v>
      </c>
      <c r="C1702" s="5" t="s">
        <v>17</v>
      </c>
      <c r="D1702" s="5" t="s">
        <v>610</v>
      </c>
      <c r="E1702" s="5" t="s">
        <v>236</v>
      </c>
      <c r="F1702" s="5" t="s">
        <v>551</v>
      </c>
      <c r="G1702" s="22">
        <v>0</v>
      </c>
      <c r="H1702" s="22">
        <v>0</v>
      </c>
      <c r="I1702" s="22">
        <v>62.1</v>
      </c>
      <c r="J1702" s="22">
        <v>0</v>
      </c>
      <c r="K1702" s="22">
        <v>-1.24</v>
      </c>
      <c r="L1702" s="22">
        <v>60.86</v>
      </c>
      <c r="M1702" s="10"/>
      <c r="O1702" s="11"/>
    </row>
    <row r="1703" spans="1:15" x14ac:dyDescent="0.25">
      <c r="A1703" s="6">
        <v>845</v>
      </c>
      <c r="B1703" s="5" t="s">
        <v>550</v>
      </c>
      <c r="C1703" s="5" t="s">
        <v>17</v>
      </c>
      <c r="D1703" s="5" t="s">
        <v>610</v>
      </c>
      <c r="E1703" s="5" t="s">
        <v>236</v>
      </c>
      <c r="F1703" s="5" t="s">
        <v>551</v>
      </c>
      <c r="G1703" s="22">
        <v>0</v>
      </c>
      <c r="H1703" s="22">
        <v>0</v>
      </c>
      <c r="I1703" s="22">
        <v>670.44</v>
      </c>
      <c r="J1703" s="22">
        <v>0</v>
      </c>
      <c r="K1703" s="22">
        <v>-13.41</v>
      </c>
      <c r="L1703" s="22">
        <v>657.03</v>
      </c>
      <c r="M1703" s="10"/>
      <c r="O1703" s="11"/>
    </row>
    <row r="1704" spans="1:15" s="4" customFormat="1" x14ac:dyDescent="0.25">
      <c r="A1704" s="6"/>
      <c r="B1704" s="5"/>
      <c r="C1704" s="5"/>
      <c r="D1704" s="5" t="s">
        <v>235</v>
      </c>
      <c r="E1704" s="5" t="s">
        <v>236</v>
      </c>
      <c r="F1704" s="5" t="s">
        <v>551</v>
      </c>
      <c r="G1704" s="14">
        <f t="shared" ref="G1704:L1704" si="426">SUBTOTAL(9,G1702:G1703)</f>
        <v>0</v>
      </c>
      <c r="H1704" s="14">
        <f t="shared" si="426"/>
        <v>0</v>
      </c>
      <c r="I1704" s="14">
        <f t="shared" si="426"/>
        <v>732.54000000000008</v>
      </c>
      <c r="J1704" s="14">
        <f t="shared" si="426"/>
        <v>0</v>
      </c>
      <c r="K1704" s="14">
        <f t="shared" si="426"/>
        <v>-14.65</v>
      </c>
      <c r="L1704" s="14">
        <f t="shared" si="426"/>
        <v>717.89</v>
      </c>
      <c r="M1704" s="10">
        <v>2530</v>
      </c>
      <c r="N1704" s="69"/>
      <c r="O1704" s="11">
        <f>O1700+1</f>
        <v>412</v>
      </c>
    </row>
    <row r="1705" spans="1:15" x14ac:dyDescent="0.25">
      <c r="A1705" s="10"/>
      <c r="G1705" s="21"/>
      <c r="H1705" s="21"/>
      <c r="I1705" s="21"/>
      <c r="J1705" s="21"/>
      <c r="K1705" s="21"/>
      <c r="L1705" s="21"/>
      <c r="M1705" s="10"/>
      <c r="O1705" s="11"/>
    </row>
    <row r="1706" spans="1:15" x14ac:dyDescent="0.25">
      <c r="A1706" s="6">
        <v>846</v>
      </c>
      <c r="B1706" s="5" t="s">
        <v>550</v>
      </c>
      <c r="C1706" s="5" t="s">
        <v>17</v>
      </c>
      <c r="D1706" s="5" t="s">
        <v>610</v>
      </c>
      <c r="E1706" s="5" t="s">
        <v>236</v>
      </c>
      <c r="F1706" s="5" t="s">
        <v>552</v>
      </c>
      <c r="G1706" s="22">
        <v>0</v>
      </c>
      <c r="H1706" s="22">
        <v>0</v>
      </c>
      <c r="I1706" s="22">
        <v>0.05</v>
      </c>
      <c r="J1706" s="22">
        <v>0</v>
      </c>
      <c r="K1706" s="22">
        <v>0</v>
      </c>
      <c r="L1706" s="22">
        <v>0.05</v>
      </c>
      <c r="M1706" s="10"/>
      <c r="O1706" s="11"/>
    </row>
    <row r="1707" spans="1:15" s="4" customFormat="1" x14ac:dyDescent="0.25">
      <c r="A1707" s="6"/>
      <c r="B1707" s="5"/>
      <c r="C1707" s="5"/>
      <c r="D1707" s="5" t="s">
        <v>235</v>
      </c>
      <c r="E1707" s="5" t="s">
        <v>236</v>
      </c>
      <c r="F1707" s="5" t="s">
        <v>552</v>
      </c>
      <c r="G1707" s="14">
        <f t="shared" ref="G1707:L1707" si="427">SUBTOTAL(9,G1706:G1706)</f>
        <v>0</v>
      </c>
      <c r="H1707" s="14">
        <f t="shared" si="427"/>
        <v>0</v>
      </c>
      <c r="I1707" s="14">
        <f t="shared" si="427"/>
        <v>0.05</v>
      </c>
      <c r="J1707" s="14">
        <f t="shared" si="427"/>
        <v>0</v>
      </c>
      <c r="K1707" s="14">
        <f t="shared" si="427"/>
        <v>0</v>
      </c>
      <c r="L1707" s="14">
        <f t="shared" si="427"/>
        <v>0.05</v>
      </c>
      <c r="M1707" s="10">
        <v>2531</v>
      </c>
      <c r="N1707" s="69"/>
      <c r="O1707" s="11">
        <f>O1704+1</f>
        <v>413</v>
      </c>
    </row>
    <row r="1708" spans="1:15" x14ac:dyDescent="0.25">
      <c r="A1708" s="10"/>
      <c r="G1708" s="21"/>
      <c r="H1708" s="21"/>
      <c r="I1708" s="21"/>
      <c r="J1708" s="21"/>
      <c r="K1708" s="21"/>
      <c r="L1708" s="21"/>
      <c r="M1708" s="10"/>
      <c r="O1708" s="11"/>
    </row>
    <row r="1709" spans="1:15" x14ac:dyDescent="0.25">
      <c r="A1709" s="6">
        <v>847</v>
      </c>
      <c r="B1709" s="5" t="s">
        <v>237</v>
      </c>
      <c r="C1709" s="5" t="s">
        <v>13</v>
      </c>
      <c r="D1709" s="5" t="s">
        <v>238</v>
      </c>
      <c r="E1709" s="5" t="s">
        <v>239</v>
      </c>
      <c r="F1709" s="5" t="s">
        <v>240</v>
      </c>
      <c r="G1709" s="22">
        <v>0</v>
      </c>
      <c r="H1709" s="22">
        <v>0</v>
      </c>
      <c r="I1709" s="22">
        <v>0</v>
      </c>
      <c r="J1709" s="22">
        <v>0</v>
      </c>
      <c r="K1709" s="22">
        <v>0</v>
      </c>
      <c r="L1709" s="22">
        <v>0</v>
      </c>
      <c r="M1709" s="10"/>
      <c r="O1709" s="11"/>
    </row>
    <row r="1710" spans="1:15" s="4" customFormat="1" x14ac:dyDescent="0.25">
      <c r="A1710" s="28"/>
      <c r="B1710" s="29"/>
      <c r="C1710" s="29"/>
      <c r="D1710" s="29"/>
      <c r="E1710" s="29"/>
      <c r="F1710" s="29" t="s">
        <v>664</v>
      </c>
      <c r="G1710" s="31">
        <f t="shared" ref="G1710:L1710" si="428">SUBTOTAL(9,G1709:G1709)</f>
        <v>0</v>
      </c>
      <c r="H1710" s="31">
        <f t="shared" si="428"/>
        <v>0</v>
      </c>
      <c r="I1710" s="31">
        <f t="shared" si="428"/>
        <v>0</v>
      </c>
      <c r="J1710" s="31">
        <f t="shared" si="428"/>
        <v>0</v>
      </c>
      <c r="K1710" s="31">
        <f t="shared" si="428"/>
        <v>0</v>
      </c>
      <c r="L1710" s="31">
        <f t="shared" si="428"/>
        <v>0</v>
      </c>
      <c r="M1710" s="15"/>
      <c r="N1710" s="67"/>
      <c r="O1710" s="11"/>
    </row>
    <row r="1711" spans="1:15" x14ac:dyDescent="0.25">
      <c r="A1711" s="10"/>
      <c r="G1711" s="21"/>
      <c r="H1711" s="21"/>
      <c r="I1711" s="21"/>
      <c r="J1711" s="21"/>
      <c r="K1711" s="21"/>
      <c r="L1711" s="21"/>
      <c r="M1711" s="10"/>
      <c r="O1711" s="11"/>
    </row>
    <row r="1712" spans="1:15" x14ac:dyDescent="0.25">
      <c r="A1712" s="6">
        <v>848</v>
      </c>
      <c r="B1712" s="5" t="s">
        <v>611</v>
      </c>
      <c r="C1712" s="5" t="s">
        <v>13</v>
      </c>
      <c r="D1712" s="5" t="s">
        <v>238</v>
      </c>
      <c r="E1712" s="5" t="s">
        <v>239</v>
      </c>
      <c r="F1712" s="5" t="s">
        <v>612</v>
      </c>
      <c r="G1712" s="22">
        <v>0</v>
      </c>
      <c r="H1712" s="22">
        <v>0</v>
      </c>
      <c r="I1712" s="22">
        <v>0</v>
      </c>
      <c r="J1712" s="22">
        <v>0</v>
      </c>
      <c r="K1712" s="22">
        <v>0</v>
      </c>
      <c r="L1712" s="22">
        <v>0</v>
      </c>
      <c r="M1712" s="10"/>
      <c r="O1712" s="11"/>
    </row>
    <row r="1713" spans="1:15" s="4" customFormat="1" x14ac:dyDescent="0.25">
      <c r="A1713" s="28"/>
      <c r="B1713" s="29"/>
      <c r="C1713" s="29"/>
      <c r="D1713" s="29"/>
      <c r="E1713" s="29"/>
      <c r="F1713" s="29" t="s">
        <v>665</v>
      </c>
      <c r="G1713" s="31">
        <f t="shared" ref="G1713:L1713" si="429">SUBTOTAL(9,G1712:G1712)</f>
        <v>0</v>
      </c>
      <c r="H1713" s="31">
        <f t="shared" si="429"/>
        <v>0</v>
      </c>
      <c r="I1713" s="31">
        <f t="shared" si="429"/>
        <v>0</v>
      </c>
      <c r="J1713" s="31">
        <f t="shared" si="429"/>
        <v>0</v>
      </c>
      <c r="K1713" s="31">
        <f t="shared" si="429"/>
        <v>0</v>
      </c>
      <c r="L1713" s="31">
        <f t="shared" si="429"/>
        <v>0</v>
      </c>
      <c r="M1713" s="15"/>
      <c r="N1713" s="67"/>
      <c r="O1713" s="11"/>
    </row>
    <row r="1714" spans="1:15" x14ac:dyDescent="0.25">
      <c r="A1714" s="10"/>
      <c r="G1714" s="21"/>
      <c r="H1714" s="21"/>
      <c r="I1714" s="21"/>
      <c r="J1714" s="21"/>
      <c r="K1714" s="21"/>
      <c r="L1714" s="21"/>
      <c r="M1714" s="10"/>
      <c r="O1714" s="11"/>
    </row>
    <row r="1715" spans="1:15" x14ac:dyDescent="0.25">
      <c r="A1715" s="6">
        <v>849</v>
      </c>
      <c r="B1715" s="5" t="s">
        <v>241</v>
      </c>
      <c r="C1715" s="5" t="s">
        <v>17</v>
      </c>
      <c r="D1715" s="5" t="s">
        <v>238</v>
      </c>
      <c r="E1715" s="5" t="s">
        <v>239</v>
      </c>
      <c r="F1715" s="5" t="s">
        <v>242</v>
      </c>
      <c r="G1715" s="22">
        <v>0.1</v>
      </c>
      <c r="H1715" s="22">
        <v>0</v>
      </c>
      <c r="I1715" s="22">
        <v>0</v>
      </c>
      <c r="J1715" s="22">
        <v>0</v>
      </c>
      <c r="K1715" s="22">
        <v>0</v>
      </c>
      <c r="L1715" s="22">
        <v>0.1</v>
      </c>
      <c r="M1715" s="10"/>
      <c r="O1715" s="11"/>
    </row>
    <row r="1716" spans="1:15" s="4" customFormat="1" x14ac:dyDescent="0.25">
      <c r="A1716" s="6">
        <v>850</v>
      </c>
      <c r="B1716" s="5" t="s">
        <v>241</v>
      </c>
      <c r="C1716" s="5" t="s">
        <v>13</v>
      </c>
      <c r="D1716" s="5" t="s">
        <v>238</v>
      </c>
      <c r="E1716" s="5" t="s">
        <v>239</v>
      </c>
      <c r="F1716" s="5" t="s">
        <v>242</v>
      </c>
      <c r="G1716" s="22">
        <v>0</v>
      </c>
      <c r="H1716" s="22">
        <v>0</v>
      </c>
      <c r="I1716" s="22">
        <v>0</v>
      </c>
      <c r="J1716" s="22">
        <v>7.0000000000000007E-2</v>
      </c>
      <c r="K1716" s="22">
        <v>0</v>
      </c>
      <c r="L1716" s="22">
        <v>7.0000000000000007E-2</v>
      </c>
      <c r="M1716" s="10"/>
      <c r="N1716" s="67"/>
      <c r="O1716" s="11"/>
    </row>
    <row r="1717" spans="1:15" s="4" customFormat="1" x14ac:dyDescent="0.25">
      <c r="A1717" s="6">
        <v>851</v>
      </c>
      <c r="B1717" s="5" t="s">
        <v>241</v>
      </c>
      <c r="C1717" s="5" t="s">
        <v>17</v>
      </c>
      <c r="D1717" s="5" t="s">
        <v>238</v>
      </c>
      <c r="E1717" s="5" t="s">
        <v>239</v>
      </c>
      <c r="F1717" s="5" t="s">
        <v>242</v>
      </c>
      <c r="G1717" s="22">
        <v>2.35</v>
      </c>
      <c r="H1717" s="22">
        <v>0</v>
      </c>
      <c r="I1717" s="22">
        <v>0</v>
      </c>
      <c r="J1717" s="22">
        <v>0</v>
      </c>
      <c r="K1717" s="22">
        <v>0</v>
      </c>
      <c r="L1717" s="22">
        <v>2.35</v>
      </c>
      <c r="M1717" s="10"/>
      <c r="N1717" s="67"/>
      <c r="O1717" s="11"/>
    </row>
    <row r="1718" spans="1:15" x14ac:dyDescent="0.25">
      <c r="A1718" s="6"/>
      <c r="B1718" s="5"/>
      <c r="C1718" s="5"/>
      <c r="D1718" s="5" t="s">
        <v>238</v>
      </c>
      <c r="E1718" s="5" t="s">
        <v>239</v>
      </c>
      <c r="F1718" s="5" t="s">
        <v>242</v>
      </c>
      <c r="G1718" s="14">
        <f t="shared" ref="G1718:L1718" si="430">SUBTOTAL(9,G1715:G1717)</f>
        <v>2.4500000000000002</v>
      </c>
      <c r="H1718" s="14">
        <f t="shared" si="430"/>
        <v>0</v>
      </c>
      <c r="I1718" s="14">
        <f t="shared" si="430"/>
        <v>0</v>
      </c>
      <c r="J1718" s="14">
        <f t="shared" si="430"/>
        <v>7.0000000000000007E-2</v>
      </c>
      <c r="K1718" s="14">
        <f t="shared" si="430"/>
        <v>0</v>
      </c>
      <c r="L1718" s="14">
        <f t="shared" si="430"/>
        <v>2.52</v>
      </c>
      <c r="M1718" s="10">
        <v>2532</v>
      </c>
      <c r="N1718" s="69"/>
      <c r="O1718" s="11">
        <f>O1707+1</f>
        <v>414</v>
      </c>
    </row>
    <row r="1719" spans="1:15" x14ac:dyDescent="0.25">
      <c r="A1719" s="10"/>
      <c r="G1719" s="21"/>
      <c r="H1719" s="21"/>
      <c r="I1719" s="21"/>
      <c r="J1719" s="21"/>
      <c r="K1719" s="21"/>
      <c r="L1719" s="21"/>
      <c r="M1719" s="10"/>
      <c r="O1719" s="11"/>
    </row>
    <row r="1720" spans="1:15" s="4" customFormat="1" x14ac:dyDescent="0.25">
      <c r="A1720" s="6">
        <v>852</v>
      </c>
      <c r="B1720" s="5" t="s">
        <v>555</v>
      </c>
      <c r="C1720" s="5" t="s">
        <v>17</v>
      </c>
      <c r="D1720" s="5" t="s">
        <v>243</v>
      </c>
      <c r="E1720" s="5" t="s">
        <v>244</v>
      </c>
      <c r="F1720" s="5" t="s">
        <v>556</v>
      </c>
      <c r="G1720" s="22">
        <v>1880.33</v>
      </c>
      <c r="H1720" s="22">
        <v>0</v>
      </c>
      <c r="I1720" s="22">
        <v>0</v>
      </c>
      <c r="J1720" s="22">
        <v>0</v>
      </c>
      <c r="K1720" s="22">
        <v>-37.61</v>
      </c>
      <c r="L1720" s="22">
        <v>1842.72</v>
      </c>
      <c r="M1720" s="10"/>
      <c r="N1720" s="67"/>
      <c r="O1720" s="11"/>
    </row>
    <row r="1721" spans="1:15" s="4" customFormat="1" x14ac:dyDescent="0.25">
      <c r="A1721" s="6">
        <v>853</v>
      </c>
      <c r="B1721" s="5" t="s">
        <v>555</v>
      </c>
      <c r="C1721" s="5" t="s">
        <v>13</v>
      </c>
      <c r="D1721" s="5" t="s">
        <v>243</v>
      </c>
      <c r="E1721" s="5" t="s">
        <v>244</v>
      </c>
      <c r="F1721" s="5" t="s">
        <v>556</v>
      </c>
      <c r="G1721" s="22">
        <v>0</v>
      </c>
      <c r="H1721" s="22">
        <v>0</v>
      </c>
      <c r="I1721" s="22">
        <v>0</v>
      </c>
      <c r="J1721" s="22">
        <v>225.64</v>
      </c>
      <c r="K1721" s="22">
        <v>0</v>
      </c>
      <c r="L1721" s="22">
        <v>225.64</v>
      </c>
      <c r="M1721" s="10"/>
      <c r="N1721" s="67"/>
      <c r="O1721" s="11"/>
    </row>
    <row r="1722" spans="1:15" x14ac:dyDescent="0.25">
      <c r="A1722" s="6"/>
      <c r="B1722" s="5"/>
      <c r="C1722" s="5"/>
      <c r="D1722" s="5" t="s">
        <v>243</v>
      </c>
      <c r="E1722" s="5" t="s">
        <v>244</v>
      </c>
      <c r="F1722" s="5" t="s">
        <v>556</v>
      </c>
      <c r="G1722" s="14">
        <f t="shared" ref="G1722:L1722" si="431">SUBTOTAL(9,G1720:G1721)</f>
        <v>1880.33</v>
      </c>
      <c r="H1722" s="14">
        <f t="shared" si="431"/>
        <v>0</v>
      </c>
      <c r="I1722" s="14">
        <f t="shared" si="431"/>
        <v>0</v>
      </c>
      <c r="J1722" s="14">
        <f t="shared" si="431"/>
        <v>225.64</v>
      </c>
      <c r="K1722" s="14">
        <f t="shared" si="431"/>
        <v>-37.61</v>
      </c>
      <c r="L1722" s="14">
        <f t="shared" si="431"/>
        <v>2068.36</v>
      </c>
      <c r="M1722" s="10">
        <v>2533</v>
      </c>
      <c r="N1722" s="69"/>
      <c r="O1722" s="11">
        <f>O1718+1</f>
        <v>415</v>
      </c>
    </row>
    <row r="1723" spans="1:15" x14ac:dyDescent="0.25">
      <c r="A1723" s="10"/>
      <c r="G1723" s="21"/>
      <c r="H1723" s="21"/>
      <c r="I1723" s="21"/>
      <c r="J1723" s="21"/>
      <c r="K1723" s="21"/>
      <c r="L1723" s="21"/>
      <c r="M1723" s="10"/>
      <c r="O1723" s="11"/>
    </row>
    <row r="1724" spans="1:15" s="4" customFormat="1" x14ac:dyDescent="0.25">
      <c r="A1724" s="6">
        <v>854</v>
      </c>
      <c r="B1724" s="5" t="s">
        <v>557</v>
      </c>
      <c r="C1724" s="5" t="s">
        <v>17</v>
      </c>
      <c r="D1724" s="5" t="s">
        <v>243</v>
      </c>
      <c r="E1724" s="5" t="s">
        <v>244</v>
      </c>
      <c r="F1724" s="5" t="s">
        <v>558</v>
      </c>
      <c r="G1724" s="22">
        <v>1351.95</v>
      </c>
      <c r="H1724" s="22">
        <v>0</v>
      </c>
      <c r="I1724" s="22">
        <v>0</v>
      </c>
      <c r="J1724" s="22">
        <v>0</v>
      </c>
      <c r="K1724" s="22">
        <v>-27.04</v>
      </c>
      <c r="L1724" s="22">
        <v>1324.91</v>
      </c>
      <c r="M1724" s="10"/>
      <c r="N1724" s="67"/>
      <c r="O1724" s="11"/>
    </row>
    <row r="1725" spans="1:15" s="4" customFormat="1" x14ac:dyDescent="0.25">
      <c r="A1725" s="6">
        <v>855</v>
      </c>
      <c r="B1725" s="5" t="s">
        <v>557</v>
      </c>
      <c r="C1725" s="5" t="s">
        <v>13</v>
      </c>
      <c r="D1725" s="5" t="s">
        <v>243</v>
      </c>
      <c r="E1725" s="5" t="s">
        <v>244</v>
      </c>
      <c r="F1725" s="5" t="s">
        <v>558</v>
      </c>
      <c r="G1725" s="22">
        <v>0</v>
      </c>
      <c r="H1725" s="22">
        <v>0</v>
      </c>
      <c r="I1725" s="22">
        <v>0</v>
      </c>
      <c r="J1725" s="22">
        <v>162.22999999999999</v>
      </c>
      <c r="K1725" s="22">
        <v>0</v>
      </c>
      <c r="L1725" s="22">
        <v>162.22999999999999</v>
      </c>
      <c r="M1725" s="10"/>
      <c r="N1725" s="67"/>
      <c r="O1725" s="11"/>
    </row>
    <row r="1726" spans="1:15" x14ac:dyDescent="0.25">
      <c r="A1726" s="6"/>
      <c r="B1726" s="5"/>
      <c r="C1726" s="5"/>
      <c r="D1726" s="5" t="s">
        <v>243</v>
      </c>
      <c r="E1726" s="5" t="s">
        <v>244</v>
      </c>
      <c r="F1726" s="5" t="s">
        <v>558</v>
      </c>
      <c r="G1726" s="14">
        <f t="shared" ref="G1726:L1726" si="432">SUBTOTAL(9,G1724:G1725)</f>
        <v>1351.95</v>
      </c>
      <c r="H1726" s="14">
        <f t="shared" si="432"/>
        <v>0</v>
      </c>
      <c r="I1726" s="14">
        <f t="shared" si="432"/>
        <v>0</v>
      </c>
      <c r="J1726" s="14">
        <f t="shared" si="432"/>
        <v>162.22999999999999</v>
      </c>
      <c r="K1726" s="14">
        <f t="shared" si="432"/>
        <v>-27.04</v>
      </c>
      <c r="L1726" s="14">
        <f t="shared" si="432"/>
        <v>1487.14</v>
      </c>
      <c r="M1726" s="10">
        <v>2534</v>
      </c>
      <c r="N1726" s="69"/>
      <c r="O1726" s="11">
        <f>O1722+1</f>
        <v>416</v>
      </c>
    </row>
    <row r="1727" spans="1:15" x14ac:dyDescent="0.25">
      <c r="A1727" s="10"/>
      <c r="G1727" s="21"/>
      <c r="H1727" s="21"/>
      <c r="I1727" s="21"/>
      <c r="J1727" s="21"/>
      <c r="K1727" s="21"/>
      <c r="L1727" s="21"/>
      <c r="M1727" s="10"/>
      <c r="O1727" s="11"/>
    </row>
    <row r="1728" spans="1:15" s="4" customFormat="1" x14ac:dyDescent="0.25">
      <c r="A1728" s="6">
        <v>856</v>
      </c>
      <c r="B1728" s="5" t="s">
        <v>18</v>
      </c>
      <c r="C1728" s="5" t="s">
        <v>17</v>
      </c>
      <c r="D1728" s="5" t="s">
        <v>243</v>
      </c>
      <c r="E1728" s="5" t="s">
        <v>244</v>
      </c>
      <c r="F1728" s="5" t="s">
        <v>19</v>
      </c>
      <c r="G1728" s="22">
        <v>4.21</v>
      </c>
      <c r="H1728" s="22">
        <v>0</v>
      </c>
      <c r="I1728" s="22">
        <v>0</v>
      </c>
      <c r="J1728" s="22">
        <v>0</v>
      </c>
      <c r="K1728" s="22">
        <v>-3.74</v>
      </c>
      <c r="L1728" s="22">
        <v>0.47</v>
      </c>
      <c r="M1728" s="10"/>
      <c r="N1728" s="67"/>
      <c r="O1728" s="11"/>
    </row>
    <row r="1729" spans="1:15" s="4" customFormat="1" x14ac:dyDescent="0.25">
      <c r="A1729" s="6"/>
      <c r="B1729" s="5"/>
      <c r="C1729" s="5"/>
      <c r="D1729" s="5" t="s">
        <v>243</v>
      </c>
      <c r="E1729" s="5" t="s">
        <v>244</v>
      </c>
      <c r="F1729" s="5" t="s">
        <v>19</v>
      </c>
      <c r="G1729" s="14">
        <f t="shared" ref="G1729:L1729" si="433">SUBTOTAL(9,G1728:G1728)</f>
        <v>4.21</v>
      </c>
      <c r="H1729" s="14">
        <f t="shared" si="433"/>
        <v>0</v>
      </c>
      <c r="I1729" s="14">
        <f t="shared" si="433"/>
        <v>0</v>
      </c>
      <c r="J1729" s="14">
        <f t="shared" si="433"/>
        <v>0</v>
      </c>
      <c r="K1729" s="14">
        <f t="shared" si="433"/>
        <v>-3.74</v>
      </c>
      <c r="L1729" s="14">
        <f t="shared" si="433"/>
        <v>0.47</v>
      </c>
      <c r="M1729" s="10">
        <v>2535</v>
      </c>
      <c r="N1729" s="69"/>
      <c r="O1729" s="11">
        <f>O1726+1</f>
        <v>417</v>
      </c>
    </row>
    <row r="1730" spans="1:15" x14ac:dyDescent="0.25">
      <c r="A1730" s="10"/>
      <c r="G1730" s="21"/>
      <c r="H1730" s="21"/>
      <c r="I1730" s="21"/>
      <c r="J1730" s="21"/>
      <c r="K1730" s="21"/>
      <c r="L1730" s="21"/>
      <c r="M1730" s="10"/>
      <c r="O1730" s="11"/>
    </row>
    <row r="1731" spans="1:15" x14ac:dyDescent="0.25">
      <c r="A1731" s="6">
        <v>857</v>
      </c>
      <c r="B1731" s="5" t="s">
        <v>550</v>
      </c>
      <c r="C1731" s="5" t="s">
        <v>17</v>
      </c>
      <c r="D1731" s="5" t="s">
        <v>243</v>
      </c>
      <c r="E1731" s="5" t="s">
        <v>244</v>
      </c>
      <c r="F1731" s="5" t="s">
        <v>551</v>
      </c>
      <c r="G1731" s="22">
        <v>135163.49</v>
      </c>
      <c r="H1731" s="22">
        <v>0</v>
      </c>
      <c r="I1731" s="22">
        <v>0</v>
      </c>
      <c r="J1731" s="22">
        <v>0</v>
      </c>
      <c r="K1731" s="22">
        <v>-2703.27</v>
      </c>
      <c r="L1731" s="22">
        <v>132460.22</v>
      </c>
      <c r="M1731" s="10"/>
      <c r="O1731" s="11"/>
    </row>
    <row r="1732" spans="1:15" s="4" customFormat="1" x14ac:dyDescent="0.25">
      <c r="A1732" s="6">
        <v>858</v>
      </c>
      <c r="B1732" s="5" t="s">
        <v>550</v>
      </c>
      <c r="C1732" s="5" t="s">
        <v>13</v>
      </c>
      <c r="D1732" s="5" t="s">
        <v>243</v>
      </c>
      <c r="E1732" s="5" t="s">
        <v>244</v>
      </c>
      <c r="F1732" s="5" t="s">
        <v>551</v>
      </c>
      <c r="G1732" s="22">
        <v>0</v>
      </c>
      <c r="H1732" s="22">
        <v>0</v>
      </c>
      <c r="I1732" s="22">
        <v>0</v>
      </c>
      <c r="J1732" s="22">
        <v>16219.62</v>
      </c>
      <c r="K1732" s="22">
        <v>0</v>
      </c>
      <c r="L1732" s="22">
        <v>16219.62</v>
      </c>
      <c r="M1732" s="10"/>
      <c r="N1732" s="67"/>
      <c r="O1732" s="11"/>
    </row>
    <row r="1733" spans="1:15" x14ac:dyDescent="0.25">
      <c r="A1733" s="6"/>
      <c r="B1733" s="5"/>
      <c r="C1733" s="5"/>
      <c r="D1733" s="5" t="s">
        <v>243</v>
      </c>
      <c r="E1733" s="5" t="s">
        <v>244</v>
      </c>
      <c r="F1733" s="5" t="s">
        <v>551</v>
      </c>
      <c r="G1733" s="14">
        <f t="shared" ref="G1733:L1733" si="434">SUBTOTAL(9,G1731:G1732)</f>
        <v>135163.49</v>
      </c>
      <c r="H1733" s="14">
        <f t="shared" si="434"/>
        <v>0</v>
      </c>
      <c r="I1733" s="14">
        <f t="shared" si="434"/>
        <v>0</v>
      </c>
      <c r="J1733" s="14">
        <f t="shared" si="434"/>
        <v>16219.62</v>
      </c>
      <c r="K1733" s="14">
        <f t="shared" si="434"/>
        <v>-2703.27</v>
      </c>
      <c r="L1733" s="14">
        <f t="shared" si="434"/>
        <v>148679.84</v>
      </c>
      <c r="M1733" s="10">
        <v>2536</v>
      </c>
      <c r="N1733" s="69"/>
      <c r="O1733" s="11">
        <f>O1729+1</f>
        <v>418</v>
      </c>
    </row>
    <row r="1734" spans="1:15" x14ac:dyDescent="0.25">
      <c r="A1734" s="10"/>
      <c r="G1734" s="21"/>
      <c r="H1734" s="21"/>
      <c r="I1734" s="21"/>
      <c r="J1734" s="21"/>
      <c r="K1734" s="21"/>
      <c r="L1734" s="21"/>
      <c r="M1734" s="10"/>
      <c r="O1734" s="11"/>
    </row>
    <row r="1735" spans="1:15" s="4" customFormat="1" x14ac:dyDescent="0.25">
      <c r="A1735" s="6">
        <v>859</v>
      </c>
      <c r="B1735" s="5" t="s">
        <v>550</v>
      </c>
      <c r="C1735" s="5" t="s">
        <v>17</v>
      </c>
      <c r="D1735" s="5" t="s">
        <v>243</v>
      </c>
      <c r="E1735" s="5" t="s">
        <v>244</v>
      </c>
      <c r="F1735" s="5" t="s">
        <v>552</v>
      </c>
      <c r="G1735" s="22">
        <v>9.7200000000000006</v>
      </c>
      <c r="H1735" s="22">
        <v>0</v>
      </c>
      <c r="I1735" s="22">
        <v>0</v>
      </c>
      <c r="J1735" s="22">
        <v>0</v>
      </c>
      <c r="K1735" s="22">
        <v>-0.19</v>
      </c>
      <c r="L1735" s="22">
        <v>9.5299999999999994</v>
      </c>
      <c r="M1735" s="10"/>
      <c r="N1735" s="67"/>
      <c r="O1735" s="11"/>
    </row>
    <row r="1736" spans="1:15" s="4" customFormat="1" x14ac:dyDescent="0.25">
      <c r="A1736" s="6">
        <v>860</v>
      </c>
      <c r="B1736" s="5" t="s">
        <v>550</v>
      </c>
      <c r="C1736" s="5" t="s">
        <v>13</v>
      </c>
      <c r="D1736" s="5" t="s">
        <v>243</v>
      </c>
      <c r="E1736" s="5" t="s">
        <v>244</v>
      </c>
      <c r="F1736" s="5" t="s">
        <v>552</v>
      </c>
      <c r="G1736" s="22">
        <v>0</v>
      </c>
      <c r="H1736" s="22">
        <v>0</v>
      </c>
      <c r="I1736" s="22">
        <v>0</v>
      </c>
      <c r="J1736" s="22">
        <v>1.17</v>
      </c>
      <c r="K1736" s="22">
        <v>0</v>
      </c>
      <c r="L1736" s="22">
        <v>1.17</v>
      </c>
      <c r="M1736" s="10"/>
      <c r="N1736" s="67"/>
      <c r="O1736" s="11"/>
    </row>
    <row r="1737" spans="1:15" x14ac:dyDescent="0.25">
      <c r="A1737" s="6"/>
      <c r="B1737" s="5"/>
      <c r="C1737" s="5"/>
      <c r="D1737" s="5" t="s">
        <v>243</v>
      </c>
      <c r="E1737" s="5" t="s">
        <v>244</v>
      </c>
      <c r="F1737" s="5" t="s">
        <v>552</v>
      </c>
      <c r="G1737" s="14">
        <f t="shared" ref="G1737:L1737" si="435">SUBTOTAL(9,G1735:G1736)</f>
        <v>9.7200000000000006</v>
      </c>
      <c r="H1737" s="14">
        <f t="shared" si="435"/>
        <v>0</v>
      </c>
      <c r="I1737" s="14">
        <f t="shared" si="435"/>
        <v>0</v>
      </c>
      <c r="J1737" s="14">
        <f t="shared" si="435"/>
        <v>1.17</v>
      </c>
      <c r="K1737" s="14">
        <f t="shared" si="435"/>
        <v>-0.19</v>
      </c>
      <c r="L1737" s="14">
        <f t="shared" si="435"/>
        <v>10.7</v>
      </c>
      <c r="M1737" s="10">
        <v>2537</v>
      </c>
      <c r="N1737" s="69"/>
      <c r="O1737" s="11">
        <f>O1733+1</f>
        <v>419</v>
      </c>
    </row>
    <row r="1738" spans="1:15" x14ac:dyDescent="0.25">
      <c r="A1738" s="10"/>
      <c r="G1738" s="21"/>
      <c r="H1738" s="21"/>
      <c r="I1738" s="21"/>
      <c r="J1738" s="21"/>
      <c r="K1738" s="21"/>
      <c r="L1738" s="21"/>
      <c r="M1738" s="10"/>
      <c r="O1738" s="11"/>
    </row>
    <row r="1739" spans="1:15" s="4" customFormat="1" x14ac:dyDescent="0.25">
      <c r="A1739" s="6">
        <v>861</v>
      </c>
      <c r="B1739" s="5" t="s">
        <v>555</v>
      </c>
      <c r="C1739" s="5" t="s">
        <v>17</v>
      </c>
      <c r="D1739" s="5" t="s">
        <v>245</v>
      </c>
      <c r="E1739" s="5" t="s">
        <v>246</v>
      </c>
      <c r="F1739" s="5" t="s">
        <v>556</v>
      </c>
      <c r="G1739" s="22">
        <v>1214.8499999999999</v>
      </c>
      <c r="H1739" s="22">
        <v>0</v>
      </c>
      <c r="I1739" s="22">
        <v>0</v>
      </c>
      <c r="J1739" s="22">
        <v>0</v>
      </c>
      <c r="K1739" s="22">
        <v>-24.3</v>
      </c>
      <c r="L1739" s="22">
        <v>1190.55</v>
      </c>
      <c r="M1739" s="10"/>
      <c r="N1739" s="67"/>
      <c r="O1739" s="11"/>
    </row>
    <row r="1740" spans="1:15" s="4" customFormat="1" x14ac:dyDescent="0.25">
      <c r="A1740" s="6">
        <v>862</v>
      </c>
      <c r="B1740" s="5" t="s">
        <v>555</v>
      </c>
      <c r="C1740" s="5" t="s">
        <v>13</v>
      </c>
      <c r="D1740" s="5" t="s">
        <v>245</v>
      </c>
      <c r="E1740" s="5" t="s">
        <v>246</v>
      </c>
      <c r="F1740" s="5" t="s">
        <v>556</v>
      </c>
      <c r="G1740" s="22">
        <v>0</v>
      </c>
      <c r="H1740" s="22">
        <v>0</v>
      </c>
      <c r="I1740" s="22">
        <v>0</v>
      </c>
      <c r="J1740" s="22">
        <v>145.78</v>
      </c>
      <c r="K1740" s="22">
        <v>0</v>
      </c>
      <c r="L1740" s="22">
        <v>145.78</v>
      </c>
      <c r="M1740" s="10"/>
      <c r="N1740" s="67"/>
      <c r="O1740" s="11"/>
    </row>
    <row r="1741" spans="1:15" x14ac:dyDescent="0.25">
      <c r="A1741" s="6"/>
      <c r="B1741" s="5"/>
      <c r="C1741" s="5"/>
      <c r="D1741" s="5" t="s">
        <v>245</v>
      </c>
      <c r="E1741" s="5" t="s">
        <v>246</v>
      </c>
      <c r="F1741" s="5" t="s">
        <v>556</v>
      </c>
      <c r="G1741" s="14">
        <f t="shared" ref="G1741:L1741" si="436">SUBTOTAL(9,G1739:G1740)</f>
        <v>1214.8499999999999</v>
      </c>
      <c r="H1741" s="14">
        <f t="shared" si="436"/>
        <v>0</v>
      </c>
      <c r="I1741" s="14">
        <f t="shared" si="436"/>
        <v>0</v>
      </c>
      <c r="J1741" s="14">
        <f t="shared" si="436"/>
        <v>145.78</v>
      </c>
      <c r="K1741" s="14">
        <f t="shared" si="436"/>
        <v>-24.3</v>
      </c>
      <c r="L1741" s="14">
        <f t="shared" si="436"/>
        <v>1336.33</v>
      </c>
      <c r="M1741" s="10">
        <v>2538</v>
      </c>
      <c r="N1741" s="69"/>
      <c r="O1741" s="11">
        <f>O1737+1</f>
        <v>420</v>
      </c>
    </row>
    <row r="1742" spans="1:15" x14ac:dyDescent="0.25">
      <c r="A1742" s="10"/>
      <c r="G1742" s="21"/>
      <c r="H1742" s="21"/>
      <c r="I1742" s="21"/>
      <c r="J1742" s="21"/>
      <c r="K1742" s="21"/>
      <c r="L1742" s="21"/>
      <c r="M1742" s="10"/>
      <c r="O1742" s="11"/>
    </row>
    <row r="1743" spans="1:15" s="4" customFormat="1" x14ac:dyDescent="0.25">
      <c r="A1743" s="6">
        <v>863</v>
      </c>
      <c r="B1743" s="5" t="s">
        <v>557</v>
      </c>
      <c r="C1743" s="5" t="s">
        <v>17</v>
      </c>
      <c r="D1743" s="5" t="s">
        <v>245</v>
      </c>
      <c r="E1743" s="5" t="s">
        <v>246</v>
      </c>
      <c r="F1743" s="5" t="s">
        <v>558</v>
      </c>
      <c r="G1743" s="22">
        <v>943.01</v>
      </c>
      <c r="H1743" s="22">
        <v>0</v>
      </c>
      <c r="I1743" s="22">
        <v>0</v>
      </c>
      <c r="J1743" s="22">
        <v>0</v>
      </c>
      <c r="K1743" s="22">
        <v>-18.86</v>
      </c>
      <c r="L1743" s="22">
        <v>924.15</v>
      </c>
      <c r="M1743" s="10"/>
      <c r="N1743" s="67"/>
      <c r="O1743" s="11"/>
    </row>
    <row r="1744" spans="1:15" s="4" customFormat="1" x14ac:dyDescent="0.25">
      <c r="A1744" s="6">
        <v>864</v>
      </c>
      <c r="B1744" s="5" t="s">
        <v>557</v>
      </c>
      <c r="C1744" s="5" t="s">
        <v>13</v>
      </c>
      <c r="D1744" s="5" t="s">
        <v>245</v>
      </c>
      <c r="E1744" s="5" t="s">
        <v>246</v>
      </c>
      <c r="F1744" s="5" t="s">
        <v>558</v>
      </c>
      <c r="G1744" s="22">
        <v>0</v>
      </c>
      <c r="H1744" s="22">
        <v>0</v>
      </c>
      <c r="I1744" s="22">
        <v>0</v>
      </c>
      <c r="J1744" s="22">
        <v>113.16</v>
      </c>
      <c r="K1744" s="22">
        <v>0</v>
      </c>
      <c r="L1744" s="22">
        <v>113.16</v>
      </c>
      <c r="M1744" s="10"/>
      <c r="N1744" s="67"/>
      <c r="O1744" s="11"/>
    </row>
    <row r="1745" spans="1:15" x14ac:dyDescent="0.25">
      <c r="A1745" s="6"/>
      <c r="B1745" s="5"/>
      <c r="C1745" s="5"/>
      <c r="D1745" s="5" t="s">
        <v>245</v>
      </c>
      <c r="E1745" s="5" t="s">
        <v>246</v>
      </c>
      <c r="F1745" s="5" t="s">
        <v>558</v>
      </c>
      <c r="G1745" s="14">
        <f t="shared" ref="G1745:L1745" si="437">SUBTOTAL(9,G1743:G1744)</f>
        <v>943.01</v>
      </c>
      <c r="H1745" s="14">
        <f t="shared" si="437"/>
        <v>0</v>
      </c>
      <c r="I1745" s="14">
        <f t="shared" si="437"/>
        <v>0</v>
      </c>
      <c r="J1745" s="14">
        <f t="shared" si="437"/>
        <v>113.16</v>
      </c>
      <c r="K1745" s="14">
        <f t="shared" si="437"/>
        <v>-18.86</v>
      </c>
      <c r="L1745" s="14">
        <f t="shared" si="437"/>
        <v>1037.31</v>
      </c>
      <c r="M1745" s="10">
        <v>2539</v>
      </c>
      <c r="N1745" s="69"/>
      <c r="O1745" s="11">
        <f>O1741+1</f>
        <v>421</v>
      </c>
    </row>
    <row r="1746" spans="1:15" x14ac:dyDescent="0.25">
      <c r="A1746" s="10"/>
      <c r="G1746" s="21"/>
      <c r="H1746" s="21"/>
      <c r="I1746" s="21"/>
      <c r="J1746" s="21"/>
      <c r="K1746" s="21"/>
      <c r="L1746" s="21"/>
      <c r="M1746" s="10"/>
      <c r="O1746" s="11"/>
    </row>
    <row r="1747" spans="1:15" s="4" customFormat="1" x14ac:dyDescent="0.25">
      <c r="A1747" s="6">
        <v>865</v>
      </c>
      <c r="B1747" s="5" t="s">
        <v>18</v>
      </c>
      <c r="C1747" s="5" t="s">
        <v>17</v>
      </c>
      <c r="D1747" s="5" t="s">
        <v>245</v>
      </c>
      <c r="E1747" s="5" t="s">
        <v>246</v>
      </c>
      <c r="F1747" s="5" t="s">
        <v>19</v>
      </c>
      <c r="G1747" s="22">
        <v>1.34</v>
      </c>
      <c r="H1747" s="22">
        <v>0</v>
      </c>
      <c r="I1747" s="22">
        <v>0</v>
      </c>
      <c r="J1747" s="22">
        <v>0</v>
      </c>
      <c r="K1747" s="22">
        <v>-1.19</v>
      </c>
      <c r="L1747" s="22">
        <v>0.15</v>
      </c>
      <c r="M1747" s="10"/>
      <c r="N1747" s="67"/>
      <c r="O1747" s="11"/>
    </row>
    <row r="1748" spans="1:15" s="4" customFormat="1" x14ac:dyDescent="0.25">
      <c r="A1748" s="6"/>
      <c r="B1748" s="5"/>
      <c r="C1748" s="5"/>
      <c r="D1748" s="5" t="s">
        <v>245</v>
      </c>
      <c r="E1748" s="5" t="s">
        <v>246</v>
      </c>
      <c r="F1748" s="5" t="s">
        <v>19</v>
      </c>
      <c r="G1748" s="14">
        <f t="shared" ref="G1748:L1748" si="438">SUBTOTAL(9,G1747:G1747)</f>
        <v>1.34</v>
      </c>
      <c r="H1748" s="14">
        <f t="shared" si="438"/>
        <v>0</v>
      </c>
      <c r="I1748" s="14">
        <f t="shared" si="438"/>
        <v>0</v>
      </c>
      <c r="J1748" s="14">
        <f t="shared" si="438"/>
        <v>0</v>
      </c>
      <c r="K1748" s="14">
        <f t="shared" si="438"/>
        <v>-1.19</v>
      </c>
      <c r="L1748" s="14">
        <f t="shared" si="438"/>
        <v>0.15</v>
      </c>
      <c r="M1748" s="10">
        <v>2540</v>
      </c>
      <c r="N1748" s="69"/>
      <c r="O1748" s="11">
        <f>O1745+1</f>
        <v>422</v>
      </c>
    </row>
    <row r="1749" spans="1:15" x14ac:dyDescent="0.25">
      <c r="A1749" s="10"/>
      <c r="G1749" s="21"/>
      <c r="H1749" s="21"/>
      <c r="I1749" s="21"/>
      <c r="J1749" s="21"/>
      <c r="K1749" s="21"/>
      <c r="L1749" s="21"/>
      <c r="M1749" s="10"/>
      <c r="O1749" s="11"/>
    </row>
    <row r="1750" spans="1:15" x14ac:dyDescent="0.25">
      <c r="A1750" s="6">
        <v>866</v>
      </c>
      <c r="B1750" s="5" t="s">
        <v>550</v>
      </c>
      <c r="C1750" s="5" t="s">
        <v>17</v>
      </c>
      <c r="D1750" s="5" t="s">
        <v>245</v>
      </c>
      <c r="E1750" s="5" t="s">
        <v>246</v>
      </c>
      <c r="F1750" s="5" t="s">
        <v>551</v>
      </c>
      <c r="G1750" s="22">
        <v>29648.23</v>
      </c>
      <c r="H1750" s="22">
        <v>0</v>
      </c>
      <c r="I1750" s="22">
        <v>0</v>
      </c>
      <c r="J1750" s="22">
        <v>0</v>
      </c>
      <c r="K1750" s="22">
        <v>-592.96</v>
      </c>
      <c r="L1750" s="22">
        <v>29055.27</v>
      </c>
      <c r="M1750" s="10"/>
      <c r="O1750" s="11"/>
    </row>
    <row r="1751" spans="1:15" s="4" customFormat="1" x14ac:dyDescent="0.25">
      <c r="A1751" s="6">
        <v>867</v>
      </c>
      <c r="B1751" s="5" t="s">
        <v>550</v>
      </c>
      <c r="C1751" s="5" t="s">
        <v>13</v>
      </c>
      <c r="D1751" s="5" t="s">
        <v>245</v>
      </c>
      <c r="E1751" s="5" t="s">
        <v>246</v>
      </c>
      <c r="F1751" s="5" t="s">
        <v>551</v>
      </c>
      <c r="G1751" s="22">
        <v>0</v>
      </c>
      <c r="H1751" s="22">
        <v>0</v>
      </c>
      <c r="I1751" s="22">
        <v>0</v>
      </c>
      <c r="J1751" s="22">
        <v>3557.79</v>
      </c>
      <c r="K1751" s="22">
        <v>0</v>
      </c>
      <c r="L1751" s="22">
        <v>3557.79</v>
      </c>
      <c r="M1751" s="10"/>
      <c r="N1751" s="67"/>
      <c r="O1751" s="11"/>
    </row>
    <row r="1752" spans="1:15" x14ac:dyDescent="0.25">
      <c r="A1752" s="6"/>
      <c r="B1752" s="5"/>
      <c r="C1752" s="5"/>
      <c r="D1752" s="5" t="s">
        <v>245</v>
      </c>
      <c r="E1752" s="5" t="s">
        <v>246</v>
      </c>
      <c r="F1752" s="5" t="s">
        <v>551</v>
      </c>
      <c r="G1752" s="14">
        <f t="shared" ref="G1752:L1752" si="439">SUBTOTAL(9,G1750:G1751)</f>
        <v>29648.23</v>
      </c>
      <c r="H1752" s="14">
        <f t="shared" si="439"/>
        <v>0</v>
      </c>
      <c r="I1752" s="14">
        <f t="shared" si="439"/>
        <v>0</v>
      </c>
      <c r="J1752" s="14">
        <f t="shared" si="439"/>
        <v>3557.79</v>
      </c>
      <c r="K1752" s="14">
        <f t="shared" si="439"/>
        <v>-592.96</v>
      </c>
      <c r="L1752" s="14">
        <f t="shared" si="439"/>
        <v>32613.06</v>
      </c>
      <c r="M1752" s="10">
        <v>2541</v>
      </c>
      <c r="N1752" s="69"/>
      <c r="O1752" s="11">
        <f>O1748+1</f>
        <v>423</v>
      </c>
    </row>
    <row r="1753" spans="1:15" x14ac:dyDescent="0.25">
      <c r="A1753" s="10"/>
      <c r="G1753" s="21"/>
      <c r="H1753" s="21"/>
      <c r="I1753" s="21"/>
      <c r="J1753" s="21"/>
      <c r="K1753" s="21"/>
      <c r="L1753" s="21"/>
      <c r="M1753" s="10"/>
      <c r="O1753" s="11"/>
    </row>
    <row r="1754" spans="1:15" s="4" customFormat="1" x14ac:dyDescent="0.25">
      <c r="A1754" s="6">
        <v>868</v>
      </c>
      <c r="B1754" s="5" t="s">
        <v>550</v>
      </c>
      <c r="C1754" s="5" t="s">
        <v>17</v>
      </c>
      <c r="D1754" s="5" t="s">
        <v>245</v>
      </c>
      <c r="E1754" s="5" t="s">
        <v>246</v>
      </c>
      <c r="F1754" s="5" t="s">
        <v>552</v>
      </c>
      <c r="G1754" s="22">
        <v>2.13</v>
      </c>
      <c r="H1754" s="22">
        <v>0</v>
      </c>
      <c r="I1754" s="22">
        <v>0</v>
      </c>
      <c r="J1754" s="22">
        <v>0</v>
      </c>
      <c r="K1754" s="22">
        <v>-0.04</v>
      </c>
      <c r="L1754" s="22">
        <v>2.09</v>
      </c>
      <c r="M1754" s="10"/>
      <c r="N1754" s="67"/>
      <c r="O1754" s="11"/>
    </row>
    <row r="1755" spans="1:15" s="4" customFormat="1" x14ac:dyDescent="0.25">
      <c r="A1755" s="6">
        <v>869</v>
      </c>
      <c r="B1755" s="5" t="s">
        <v>550</v>
      </c>
      <c r="C1755" s="5" t="s">
        <v>13</v>
      </c>
      <c r="D1755" s="5" t="s">
        <v>245</v>
      </c>
      <c r="E1755" s="5" t="s">
        <v>246</v>
      </c>
      <c r="F1755" s="5" t="s">
        <v>552</v>
      </c>
      <c r="G1755" s="22">
        <v>0</v>
      </c>
      <c r="H1755" s="22">
        <v>0</v>
      </c>
      <c r="I1755" s="22">
        <v>0</v>
      </c>
      <c r="J1755" s="22">
        <v>0.26</v>
      </c>
      <c r="K1755" s="22">
        <v>0</v>
      </c>
      <c r="L1755" s="22">
        <v>0.26</v>
      </c>
      <c r="M1755" s="10"/>
      <c r="N1755" s="67"/>
      <c r="O1755" s="11"/>
    </row>
    <row r="1756" spans="1:15" x14ac:dyDescent="0.25">
      <c r="A1756" s="6"/>
      <c r="B1756" s="5"/>
      <c r="C1756" s="5"/>
      <c r="D1756" s="5" t="s">
        <v>245</v>
      </c>
      <c r="E1756" s="5" t="s">
        <v>246</v>
      </c>
      <c r="F1756" s="5" t="s">
        <v>552</v>
      </c>
      <c r="G1756" s="14">
        <f t="shared" ref="G1756:L1756" si="440">SUBTOTAL(9,G1754:G1755)</f>
        <v>2.13</v>
      </c>
      <c r="H1756" s="14">
        <f t="shared" si="440"/>
        <v>0</v>
      </c>
      <c r="I1756" s="14">
        <f t="shared" si="440"/>
        <v>0</v>
      </c>
      <c r="J1756" s="14">
        <f t="shared" si="440"/>
        <v>0.26</v>
      </c>
      <c r="K1756" s="14">
        <f t="shared" si="440"/>
        <v>-0.04</v>
      </c>
      <c r="L1756" s="14">
        <f t="shared" si="440"/>
        <v>2.3499999999999996</v>
      </c>
      <c r="M1756" s="10">
        <v>2542</v>
      </c>
      <c r="N1756" s="69"/>
      <c r="O1756" s="11">
        <f>O1752+1</f>
        <v>424</v>
      </c>
    </row>
    <row r="1757" spans="1:15" x14ac:dyDescent="0.25">
      <c r="A1757" s="10"/>
      <c r="G1757" s="21"/>
      <c r="H1757" s="21"/>
      <c r="I1757" s="21"/>
      <c r="J1757" s="21"/>
      <c r="K1757" s="21"/>
      <c r="L1757" s="21"/>
      <c r="M1757" s="10"/>
      <c r="O1757" s="11"/>
    </row>
    <row r="1758" spans="1:15" s="4" customFormat="1" x14ac:dyDescent="0.25">
      <c r="A1758" s="6">
        <v>870</v>
      </c>
      <c r="B1758" s="5" t="s">
        <v>555</v>
      </c>
      <c r="C1758" s="5" t="s">
        <v>17</v>
      </c>
      <c r="D1758" s="5" t="s">
        <v>247</v>
      </c>
      <c r="E1758" s="5" t="s">
        <v>248</v>
      </c>
      <c r="F1758" s="5" t="s">
        <v>556</v>
      </c>
      <c r="G1758" s="22">
        <v>741.66</v>
      </c>
      <c r="H1758" s="22">
        <v>0</v>
      </c>
      <c r="I1758" s="22">
        <v>0</v>
      </c>
      <c r="J1758" s="22">
        <v>0</v>
      </c>
      <c r="K1758" s="22">
        <v>-14.83</v>
      </c>
      <c r="L1758" s="22">
        <v>726.83</v>
      </c>
      <c r="M1758" s="10"/>
      <c r="N1758" s="67"/>
      <c r="O1758" s="11"/>
    </row>
    <row r="1759" spans="1:15" s="4" customFormat="1" x14ac:dyDescent="0.25">
      <c r="A1759" s="6">
        <v>871</v>
      </c>
      <c r="B1759" s="5" t="s">
        <v>555</v>
      </c>
      <c r="C1759" s="5" t="s">
        <v>13</v>
      </c>
      <c r="D1759" s="5" t="s">
        <v>247</v>
      </c>
      <c r="E1759" s="5" t="s">
        <v>248</v>
      </c>
      <c r="F1759" s="5" t="s">
        <v>556</v>
      </c>
      <c r="G1759" s="22">
        <v>0</v>
      </c>
      <c r="H1759" s="22">
        <v>0</v>
      </c>
      <c r="I1759" s="22">
        <v>0</v>
      </c>
      <c r="J1759" s="22">
        <v>89</v>
      </c>
      <c r="K1759" s="22">
        <v>0</v>
      </c>
      <c r="L1759" s="22">
        <v>89</v>
      </c>
      <c r="M1759" s="10"/>
      <c r="N1759" s="67"/>
      <c r="O1759" s="11"/>
    </row>
    <row r="1760" spans="1:15" x14ac:dyDescent="0.25">
      <c r="A1760" s="6"/>
      <c r="B1760" s="5"/>
      <c r="C1760" s="5"/>
      <c r="D1760" s="5" t="s">
        <v>247</v>
      </c>
      <c r="E1760" s="5" t="s">
        <v>248</v>
      </c>
      <c r="F1760" s="5" t="s">
        <v>556</v>
      </c>
      <c r="G1760" s="14">
        <f t="shared" ref="G1760:L1760" si="441">SUBTOTAL(9,G1758:G1759)</f>
        <v>741.66</v>
      </c>
      <c r="H1760" s="14">
        <f t="shared" si="441"/>
        <v>0</v>
      </c>
      <c r="I1760" s="14">
        <f t="shared" si="441"/>
        <v>0</v>
      </c>
      <c r="J1760" s="14">
        <f t="shared" si="441"/>
        <v>89</v>
      </c>
      <c r="K1760" s="14">
        <f t="shared" si="441"/>
        <v>-14.83</v>
      </c>
      <c r="L1760" s="14">
        <f t="shared" si="441"/>
        <v>815.83</v>
      </c>
      <c r="M1760" s="10">
        <v>2543</v>
      </c>
      <c r="N1760" s="69"/>
      <c r="O1760" s="11">
        <f>O1756+1</f>
        <v>425</v>
      </c>
    </row>
    <row r="1761" spans="1:15" x14ac:dyDescent="0.25">
      <c r="A1761" s="10"/>
      <c r="G1761" s="21"/>
      <c r="H1761" s="21"/>
      <c r="I1761" s="21"/>
      <c r="J1761" s="21"/>
      <c r="K1761" s="21"/>
      <c r="L1761" s="21"/>
      <c r="M1761" s="10"/>
      <c r="O1761" s="11"/>
    </row>
    <row r="1762" spans="1:15" s="4" customFormat="1" x14ac:dyDescent="0.25">
      <c r="A1762" s="6">
        <v>872</v>
      </c>
      <c r="B1762" s="5" t="s">
        <v>557</v>
      </c>
      <c r="C1762" s="5" t="s">
        <v>17</v>
      </c>
      <c r="D1762" s="5" t="s">
        <v>247</v>
      </c>
      <c r="E1762" s="5" t="s">
        <v>248</v>
      </c>
      <c r="F1762" s="5" t="s">
        <v>558</v>
      </c>
      <c r="G1762" s="22">
        <v>544.87</v>
      </c>
      <c r="H1762" s="22">
        <v>0</v>
      </c>
      <c r="I1762" s="22">
        <v>0</v>
      </c>
      <c r="J1762" s="22">
        <v>0</v>
      </c>
      <c r="K1762" s="22">
        <v>-10.9</v>
      </c>
      <c r="L1762" s="22">
        <v>533.97</v>
      </c>
      <c r="M1762" s="10"/>
      <c r="N1762" s="67"/>
      <c r="O1762" s="11"/>
    </row>
    <row r="1763" spans="1:15" x14ac:dyDescent="0.25">
      <c r="A1763" s="6">
        <v>873</v>
      </c>
      <c r="B1763" s="5" t="s">
        <v>557</v>
      </c>
      <c r="C1763" s="5" t="s">
        <v>13</v>
      </c>
      <c r="D1763" s="5" t="s">
        <v>247</v>
      </c>
      <c r="E1763" s="5" t="s">
        <v>248</v>
      </c>
      <c r="F1763" s="5" t="s">
        <v>558</v>
      </c>
      <c r="G1763" s="22">
        <v>0</v>
      </c>
      <c r="H1763" s="22">
        <v>0</v>
      </c>
      <c r="I1763" s="22">
        <v>0</v>
      </c>
      <c r="J1763" s="22">
        <v>65.38</v>
      </c>
      <c r="K1763" s="22">
        <v>0</v>
      </c>
      <c r="L1763" s="22">
        <v>65.38</v>
      </c>
      <c r="M1763" s="10"/>
      <c r="O1763" s="11"/>
    </row>
    <row r="1764" spans="1:15" x14ac:dyDescent="0.25">
      <c r="A1764" s="6"/>
      <c r="B1764" s="5"/>
      <c r="C1764" s="5"/>
      <c r="D1764" s="5" t="s">
        <v>247</v>
      </c>
      <c r="E1764" s="5" t="s">
        <v>248</v>
      </c>
      <c r="F1764" s="5" t="s">
        <v>558</v>
      </c>
      <c r="G1764" s="14">
        <f t="shared" ref="G1764:L1764" si="442">SUBTOTAL(9,G1762:G1763)</f>
        <v>544.87</v>
      </c>
      <c r="H1764" s="14">
        <f t="shared" si="442"/>
        <v>0</v>
      </c>
      <c r="I1764" s="14">
        <f t="shared" si="442"/>
        <v>0</v>
      </c>
      <c r="J1764" s="14">
        <f t="shared" si="442"/>
        <v>65.38</v>
      </c>
      <c r="K1764" s="14">
        <f t="shared" si="442"/>
        <v>-10.9</v>
      </c>
      <c r="L1764" s="14">
        <f t="shared" si="442"/>
        <v>599.35</v>
      </c>
      <c r="M1764" s="10">
        <v>2544</v>
      </c>
      <c r="N1764" s="69"/>
      <c r="O1764" s="11">
        <f>O1760+1</f>
        <v>426</v>
      </c>
    </row>
    <row r="1765" spans="1:15" s="4" customFormat="1" x14ac:dyDescent="0.25">
      <c r="A1765" s="10"/>
      <c r="B1765"/>
      <c r="C1765"/>
      <c r="D1765"/>
      <c r="E1765"/>
      <c r="F1765"/>
      <c r="G1765" s="21"/>
      <c r="H1765" s="21"/>
      <c r="I1765" s="21"/>
      <c r="J1765" s="21"/>
      <c r="K1765" s="21"/>
      <c r="L1765" s="21"/>
      <c r="M1765" s="10"/>
      <c r="N1765" s="67"/>
      <c r="O1765" s="11"/>
    </row>
    <row r="1766" spans="1:15" x14ac:dyDescent="0.25">
      <c r="A1766" s="6">
        <v>874</v>
      </c>
      <c r="B1766" s="5" t="s">
        <v>559</v>
      </c>
      <c r="C1766" s="5" t="s">
        <v>17</v>
      </c>
      <c r="D1766" s="5" t="s">
        <v>247</v>
      </c>
      <c r="E1766" s="5" t="s">
        <v>248</v>
      </c>
      <c r="F1766" s="5" t="s">
        <v>560</v>
      </c>
      <c r="G1766" s="22">
        <v>7.5</v>
      </c>
      <c r="H1766" s="22">
        <v>0</v>
      </c>
      <c r="I1766" s="22">
        <v>0</v>
      </c>
      <c r="J1766" s="22">
        <v>0</v>
      </c>
      <c r="K1766" s="22">
        <v>-0.15</v>
      </c>
      <c r="L1766" s="22">
        <v>7.35</v>
      </c>
      <c r="M1766" s="10"/>
      <c r="O1766" s="11"/>
    </row>
    <row r="1767" spans="1:15" x14ac:dyDescent="0.25">
      <c r="A1767" s="6">
        <v>875</v>
      </c>
      <c r="B1767" s="5" t="s">
        <v>559</v>
      </c>
      <c r="C1767" s="5" t="s">
        <v>13</v>
      </c>
      <c r="D1767" s="5" t="s">
        <v>247</v>
      </c>
      <c r="E1767" s="5" t="s">
        <v>248</v>
      </c>
      <c r="F1767" s="5" t="s">
        <v>560</v>
      </c>
      <c r="G1767" s="22">
        <v>0</v>
      </c>
      <c r="H1767" s="22">
        <v>0</v>
      </c>
      <c r="I1767" s="22">
        <v>0</v>
      </c>
      <c r="J1767" s="22">
        <v>0.9</v>
      </c>
      <c r="K1767" s="22">
        <v>0</v>
      </c>
      <c r="L1767" s="22">
        <v>0.9</v>
      </c>
      <c r="M1767" s="10"/>
      <c r="O1767" s="11"/>
    </row>
    <row r="1768" spans="1:15" s="4" customFormat="1" x14ac:dyDescent="0.25">
      <c r="A1768" s="6"/>
      <c r="B1768" s="5"/>
      <c r="C1768" s="5"/>
      <c r="D1768" s="5" t="s">
        <v>247</v>
      </c>
      <c r="E1768" s="5" t="s">
        <v>248</v>
      </c>
      <c r="F1768" s="5" t="s">
        <v>560</v>
      </c>
      <c r="G1768" s="14">
        <f t="shared" ref="G1768:L1768" si="443">SUBTOTAL(9,G1766:G1767)</f>
        <v>7.5</v>
      </c>
      <c r="H1768" s="14">
        <f t="shared" si="443"/>
        <v>0</v>
      </c>
      <c r="I1768" s="14">
        <f t="shared" si="443"/>
        <v>0</v>
      </c>
      <c r="J1768" s="14">
        <f t="shared" si="443"/>
        <v>0.9</v>
      </c>
      <c r="K1768" s="14">
        <f t="shared" si="443"/>
        <v>-0.15</v>
      </c>
      <c r="L1768" s="14">
        <f t="shared" si="443"/>
        <v>8.25</v>
      </c>
      <c r="M1768" s="10">
        <v>2545</v>
      </c>
      <c r="N1768" s="69"/>
      <c r="O1768" s="11">
        <f>O1764+1</f>
        <v>427</v>
      </c>
    </row>
    <row r="1769" spans="1:15" x14ac:dyDescent="0.25">
      <c r="A1769" s="10"/>
      <c r="G1769" s="21"/>
      <c r="H1769" s="21"/>
      <c r="I1769" s="21"/>
      <c r="J1769" s="21"/>
      <c r="K1769" s="21"/>
      <c r="L1769" s="21"/>
      <c r="M1769" s="10"/>
      <c r="O1769" s="11"/>
    </row>
    <row r="1770" spans="1:15" x14ac:dyDescent="0.25">
      <c r="A1770" s="6">
        <v>876</v>
      </c>
      <c r="B1770" s="5" t="s">
        <v>18</v>
      </c>
      <c r="C1770" s="5" t="s">
        <v>17</v>
      </c>
      <c r="D1770" s="5" t="s">
        <v>247</v>
      </c>
      <c r="E1770" s="5" t="s">
        <v>248</v>
      </c>
      <c r="F1770" s="5" t="s">
        <v>19</v>
      </c>
      <c r="G1770" s="22">
        <v>1.71</v>
      </c>
      <c r="H1770" s="22">
        <v>0</v>
      </c>
      <c r="I1770" s="22">
        <v>0</v>
      </c>
      <c r="J1770" s="22">
        <v>0</v>
      </c>
      <c r="K1770" s="22">
        <v>-1.52</v>
      </c>
      <c r="L1770" s="22">
        <v>0.19</v>
      </c>
      <c r="M1770" s="10"/>
      <c r="O1770" s="11"/>
    </row>
    <row r="1771" spans="1:15" s="4" customFormat="1" x14ac:dyDescent="0.25">
      <c r="A1771" s="6"/>
      <c r="B1771" s="5"/>
      <c r="C1771" s="5"/>
      <c r="D1771" s="5" t="s">
        <v>247</v>
      </c>
      <c r="E1771" s="5" t="s">
        <v>248</v>
      </c>
      <c r="F1771" s="5" t="s">
        <v>19</v>
      </c>
      <c r="G1771" s="14">
        <f t="shared" ref="G1771:L1771" si="444">SUBTOTAL(9,G1770:G1770)</f>
        <v>1.71</v>
      </c>
      <c r="H1771" s="14">
        <f t="shared" si="444"/>
        <v>0</v>
      </c>
      <c r="I1771" s="14">
        <f t="shared" si="444"/>
        <v>0</v>
      </c>
      <c r="J1771" s="14">
        <f t="shared" si="444"/>
        <v>0</v>
      </c>
      <c r="K1771" s="14">
        <f t="shared" si="444"/>
        <v>-1.52</v>
      </c>
      <c r="L1771" s="14">
        <f t="shared" si="444"/>
        <v>0.19</v>
      </c>
      <c r="M1771" s="10">
        <v>2546</v>
      </c>
      <c r="N1771" s="69"/>
      <c r="O1771" s="11">
        <f>O1768+1</f>
        <v>428</v>
      </c>
    </row>
    <row r="1772" spans="1:15" s="4" customFormat="1" x14ac:dyDescent="0.25">
      <c r="A1772" s="10"/>
      <c r="B1772"/>
      <c r="C1772"/>
      <c r="D1772"/>
      <c r="E1772"/>
      <c r="F1772"/>
      <c r="G1772" s="21"/>
      <c r="H1772" s="21"/>
      <c r="I1772" s="21"/>
      <c r="J1772" s="21"/>
      <c r="K1772" s="21"/>
      <c r="L1772" s="21"/>
      <c r="M1772" s="10"/>
      <c r="N1772" s="67"/>
      <c r="O1772" s="11"/>
    </row>
    <row r="1773" spans="1:15" x14ac:dyDescent="0.25">
      <c r="A1773" s="6">
        <v>877</v>
      </c>
      <c r="B1773" s="5" t="s">
        <v>550</v>
      </c>
      <c r="C1773" s="5" t="s">
        <v>17</v>
      </c>
      <c r="D1773" s="5" t="s">
        <v>247</v>
      </c>
      <c r="E1773" s="5" t="s">
        <v>248</v>
      </c>
      <c r="F1773" s="5" t="s">
        <v>551</v>
      </c>
      <c r="G1773" s="22">
        <v>47206.11</v>
      </c>
      <c r="H1773" s="22">
        <v>0</v>
      </c>
      <c r="I1773" s="22">
        <v>0</v>
      </c>
      <c r="J1773" s="22">
        <v>0</v>
      </c>
      <c r="K1773" s="22">
        <v>-944.12</v>
      </c>
      <c r="L1773" s="22">
        <v>46261.99</v>
      </c>
      <c r="M1773" s="10"/>
      <c r="O1773" s="11"/>
    </row>
    <row r="1774" spans="1:15" x14ac:dyDescent="0.25">
      <c r="A1774" s="6">
        <v>878</v>
      </c>
      <c r="B1774" s="5" t="s">
        <v>550</v>
      </c>
      <c r="C1774" s="5" t="s">
        <v>13</v>
      </c>
      <c r="D1774" s="5" t="s">
        <v>247</v>
      </c>
      <c r="E1774" s="5" t="s">
        <v>248</v>
      </c>
      <c r="F1774" s="5" t="s">
        <v>551</v>
      </c>
      <c r="G1774" s="22">
        <v>0</v>
      </c>
      <c r="H1774" s="22">
        <v>0</v>
      </c>
      <c r="I1774" s="22">
        <v>0</v>
      </c>
      <c r="J1774" s="22">
        <v>5664.73</v>
      </c>
      <c r="K1774" s="22">
        <v>0</v>
      </c>
      <c r="L1774" s="22">
        <v>5664.73</v>
      </c>
      <c r="M1774" s="10"/>
      <c r="O1774" s="11"/>
    </row>
    <row r="1775" spans="1:15" s="4" customFormat="1" x14ac:dyDescent="0.25">
      <c r="A1775" s="6"/>
      <c r="B1775" s="5"/>
      <c r="C1775" s="5"/>
      <c r="D1775" s="5" t="s">
        <v>247</v>
      </c>
      <c r="E1775" s="5" t="s">
        <v>248</v>
      </c>
      <c r="F1775" s="5" t="s">
        <v>551</v>
      </c>
      <c r="G1775" s="14">
        <f t="shared" ref="G1775:L1775" si="445">SUBTOTAL(9,G1773:G1774)</f>
        <v>47206.11</v>
      </c>
      <c r="H1775" s="14">
        <f t="shared" si="445"/>
        <v>0</v>
      </c>
      <c r="I1775" s="14">
        <f t="shared" si="445"/>
        <v>0</v>
      </c>
      <c r="J1775" s="14">
        <f t="shared" si="445"/>
        <v>5664.73</v>
      </c>
      <c r="K1775" s="14">
        <f t="shared" si="445"/>
        <v>-944.12</v>
      </c>
      <c r="L1775" s="14">
        <f t="shared" si="445"/>
        <v>51926.720000000001</v>
      </c>
      <c r="M1775" s="10">
        <v>2547</v>
      </c>
      <c r="N1775" s="69"/>
      <c r="O1775" s="11">
        <f>O1771+1</f>
        <v>429</v>
      </c>
    </row>
    <row r="1776" spans="1:15" s="4" customFormat="1" x14ac:dyDescent="0.25">
      <c r="A1776" s="10"/>
      <c r="B1776"/>
      <c r="C1776"/>
      <c r="D1776"/>
      <c r="E1776"/>
      <c r="F1776"/>
      <c r="G1776" s="21"/>
      <c r="H1776" s="21"/>
      <c r="I1776" s="21"/>
      <c r="J1776" s="21"/>
      <c r="K1776" s="21"/>
      <c r="L1776" s="21"/>
      <c r="M1776" s="10"/>
      <c r="N1776" s="67"/>
      <c r="O1776" s="11"/>
    </row>
    <row r="1777" spans="1:15" x14ac:dyDescent="0.25">
      <c r="A1777" s="6">
        <v>879</v>
      </c>
      <c r="B1777" s="5" t="s">
        <v>550</v>
      </c>
      <c r="C1777" s="5" t="s">
        <v>17</v>
      </c>
      <c r="D1777" s="5" t="s">
        <v>247</v>
      </c>
      <c r="E1777" s="5" t="s">
        <v>248</v>
      </c>
      <c r="F1777" s="5" t="s">
        <v>552</v>
      </c>
      <c r="G1777" s="22">
        <v>3.4</v>
      </c>
      <c r="H1777" s="22">
        <v>0</v>
      </c>
      <c r="I1777" s="22">
        <v>0</v>
      </c>
      <c r="J1777" s="22">
        <v>0</v>
      </c>
      <c r="K1777" s="22">
        <v>-7.0000000000000007E-2</v>
      </c>
      <c r="L1777" s="22">
        <v>3.33</v>
      </c>
      <c r="M1777" s="10"/>
      <c r="O1777" s="11"/>
    </row>
    <row r="1778" spans="1:15" x14ac:dyDescent="0.25">
      <c r="A1778" s="6">
        <v>880</v>
      </c>
      <c r="B1778" s="5" t="s">
        <v>550</v>
      </c>
      <c r="C1778" s="5" t="s">
        <v>13</v>
      </c>
      <c r="D1778" s="5" t="s">
        <v>247</v>
      </c>
      <c r="E1778" s="5" t="s">
        <v>248</v>
      </c>
      <c r="F1778" s="5" t="s">
        <v>552</v>
      </c>
      <c r="G1778" s="22">
        <v>0</v>
      </c>
      <c r="H1778" s="22">
        <v>0</v>
      </c>
      <c r="I1778" s="22">
        <v>0</v>
      </c>
      <c r="J1778" s="22">
        <v>0.41</v>
      </c>
      <c r="K1778" s="22">
        <v>0</v>
      </c>
      <c r="L1778" s="22">
        <v>0.41</v>
      </c>
      <c r="M1778" s="10"/>
      <c r="O1778" s="11"/>
    </row>
    <row r="1779" spans="1:15" s="4" customFormat="1" x14ac:dyDescent="0.25">
      <c r="A1779" s="6"/>
      <c r="B1779" s="5"/>
      <c r="C1779" s="5"/>
      <c r="D1779" s="5" t="s">
        <v>247</v>
      </c>
      <c r="E1779" s="5" t="s">
        <v>248</v>
      </c>
      <c r="F1779" s="5" t="s">
        <v>552</v>
      </c>
      <c r="G1779" s="14">
        <f t="shared" ref="G1779:L1779" si="446">SUBTOTAL(9,G1777:G1778)</f>
        <v>3.4</v>
      </c>
      <c r="H1779" s="14">
        <f t="shared" si="446"/>
        <v>0</v>
      </c>
      <c r="I1779" s="14">
        <f t="shared" si="446"/>
        <v>0</v>
      </c>
      <c r="J1779" s="14">
        <f t="shared" si="446"/>
        <v>0.41</v>
      </c>
      <c r="K1779" s="14">
        <f t="shared" si="446"/>
        <v>-7.0000000000000007E-2</v>
      </c>
      <c r="L1779" s="14">
        <f t="shared" si="446"/>
        <v>3.74</v>
      </c>
      <c r="M1779" s="10">
        <v>2548</v>
      </c>
      <c r="N1779" s="69"/>
      <c r="O1779" s="11">
        <f>O1775+1</f>
        <v>430</v>
      </c>
    </row>
    <row r="1780" spans="1:15" s="4" customFormat="1" x14ac:dyDescent="0.25">
      <c r="A1780" s="10"/>
      <c r="B1780"/>
      <c r="C1780"/>
      <c r="D1780"/>
      <c r="E1780"/>
      <c r="F1780"/>
      <c r="G1780" s="21"/>
      <c r="H1780" s="21"/>
      <c r="I1780" s="21"/>
      <c r="J1780" s="21"/>
      <c r="K1780" s="21"/>
      <c r="L1780" s="21"/>
      <c r="M1780" s="10"/>
      <c r="N1780" s="67"/>
      <c r="O1780" s="11"/>
    </row>
    <row r="1781" spans="1:15" x14ac:dyDescent="0.25">
      <c r="A1781" s="6">
        <v>881</v>
      </c>
      <c r="B1781" s="5" t="s">
        <v>18</v>
      </c>
      <c r="C1781" s="5" t="s">
        <v>17</v>
      </c>
      <c r="D1781" s="5" t="s">
        <v>249</v>
      </c>
      <c r="E1781" s="5" t="s">
        <v>250</v>
      </c>
      <c r="F1781" s="5" t="s">
        <v>19</v>
      </c>
      <c r="G1781" s="22">
        <v>9.2899999999999991</v>
      </c>
      <c r="H1781" s="22">
        <v>0</v>
      </c>
      <c r="I1781" s="22">
        <v>0</v>
      </c>
      <c r="J1781" s="22">
        <v>0</v>
      </c>
      <c r="K1781" s="22">
        <v>-8.24</v>
      </c>
      <c r="L1781" s="22">
        <v>1.05</v>
      </c>
      <c r="M1781" s="10"/>
      <c r="O1781" s="11"/>
    </row>
    <row r="1782" spans="1:15" x14ac:dyDescent="0.25">
      <c r="A1782" s="6"/>
      <c r="B1782" s="5"/>
      <c r="C1782" s="5"/>
      <c r="D1782" s="5" t="s">
        <v>249</v>
      </c>
      <c r="E1782" s="5" t="s">
        <v>250</v>
      </c>
      <c r="F1782" s="5" t="s">
        <v>19</v>
      </c>
      <c r="G1782" s="14">
        <f t="shared" ref="G1782:L1782" si="447">SUBTOTAL(9,G1781:G1781)</f>
        <v>9.2899999999999991</v>
      </c>
      <c r="H1782" s="14">
        <f t="shared" si="447"/>
        <v>0</v>
      </c>
      <c r="I1782" s="14">
        <f t="shared" si="447"/>
        <v>0</v>
      </c>
      <c r="J1782" s="14">
        <f t="shared" si="447"/>
        <v>0</v>
      </c>
      <c r="K1782" s="14">
        <f t="shared" si="447"/>
        <v>-8.24</v>
      </c>
      <c r="L1782" s="14">
        <f t="shared" si="447"/>
        <v>1.05</v>
      </c>
      <c r="M1782" s="10">
        <v>2549</v>
      </c>
      <c r="N1782" s="69"/>
      <c r="O1782" s="11">
        <f>O1779+1</f>
        <v>431</v>
      </c>
    </row>
    <row r="1783" spans="1:15" s="4" customFormat="1" x14ac:dyDescent="0.25">
      <c r="A1783" s="10"/>
      <c r="B1783"/>
      <c r="C1783"/>
      <c r="D1783"/>
      <c r="E1783"/>
      <c r="F1783"/>
      <c r="G1783" s="21"/>
      <c r="H1783" s="21"/>
      <c r="I1783" s="21"/>
      <c r="J1783" s="21"/>
      <c r="K1783" s="21"/>
      <c r="L1783" s="21"/>
      <c r="M1783" s="10"/>
      <c r="N1783" s="67"/>
      <c r="O1783" s="11"/>
    </row>
    <row r="1784" spans="1:15" s="4" customFormat="1" x14ac:dyDescent="0.25">
      <c r="A1784" s="6">
        <v>882</v>
      </c>
      <c r="B1784" s="5" t="s">
        <v>550</v>
      </c>
      <c r="C1784" s="5" t="s">
        <v>17</v>
      </c>
      <c r="D1784" s="5" t="s">
        <v>249</v>
      </c>
      <c r="E1784" s="5" t="s">
        <v>250</v>
      </c>
      <c r="F1784" s="5" t="s">
        <v>551</v>
      </c>
      <c r="G1784" s="22">
        <v>27563.75</v>
      </c>
      <c r="H1784" s="22">
        <v>0</v>
      </c>
      <c r="I1784" s="22">
        <v>0</v>
      </c>
      <c r="J1784" s="22">
        <v>0</v>
      </c>
      <c r="K1784" s="22">
        <v>-551.28</v>
      </c>
      <c r="L1784" s="22">
        <v>27012.47</v>
      </c>
      <c r="M1784" s="10"/>
      <c r="N1784" s="67"/>
      <c r="O1784" s="11"/>
    </row>
    <row r="1785" spans="1:15" x14ac:dyDescent="0.25">
      <c r="A1785" s="6">
        <v>883</v>
      </c>
      <c r="B1785" s="5" t="s">
        <v>550</v>
      </c>
      <c r="C1785" s="5" t="s">
        <v>13</v>
      </c>
      <c r="D1785" s="5" t="s">
        <v>249</v>
      </c>
      <c r="E1785" s="5" t="s">
        <v>250</v>
      </c>
      <c r="F1785" s="5" t="s">
        <v>551</v>
      </c>
      <c r="G1785" s="22">
        <v>0</v>
      </c>
      <c r="H1785" s="22">
        <v>0</v>
      </c>
      <c r="I1785" s="22">
        <v>0</v>
      </c>
      <c r="J1785" s="22">
        <v>3307.65</v>
      </c>
      <c r="K1785" s="22">
        <v>0</v>
      </c>
      <c r="L1785" s="22">
        <v>3307.65</v>
      </c>
      <c r="M1785" s="10"/>
      <c r="O1785" s="11"/>
    </row>
    <row r="1786" spans="1:15" x14ac:dyDescent="0.25">
      <c r="A1786" s="6"/>
      <c r="B1786" s="5"/>
      <c r="C1786" s="5"/>
      <c r="D1786" s="5" t="s">
        <v>249</v>
      </c>
      <c r="E1786" s="5" t="s">
        <v>250</v>
      </c>
      <c r="F1786" s="5" t="s">
        <v>551</v>
      </c>
      <c r="G1786" s="14">
        <f t="shared" ref="G1786:L1786" si="448">SUBTOTAL(9,G1784:G1785)</f>
        <v>27563.75</v>
      </c>
      <c r="H1786" s="14">
        <f t="shared" si="448"/>
        <v>0</v>
      </c>
      <c r="I1786" s="14">
        <f t="shared" si="448"/>
        <v>0</v>
      </c>
      <c r="J1786" s="14">
        <f t="shared" si="448"/>
        <v>3307.65</v>
      </c>
      <c r="K1786" s="14">
        <f t="shared" si="448"/>
        <v>-551.28</v>
      </c>
      <c r="L1786" s="14">
        <f t="shared" si="448"/>
        <v>30320.120000000003</v>
      </c>
      <c r="M1786" s="10">
        <v>2550</v>
      </c>
      <c r="N1786" s="69"/>
      <c r="O1786" s="11">
        <f>O1782+1</f>
        <v>432</v>
      </c>
    </row>
    <row r="1787" spans="1:15" s="4" customFormat="1" x14ac:dyDescent="0.25">
      <c r="A1787" s="10"/>
      <c r="B1787"/>
      <c r="C1787"/>
      <c r="D1787"/>
      <c r="E1787"/>
      <c r="F1787"/>
      <c r="G1787" s="21"/>
      <c r="H1787" s="21"/>
      <c r="I1787" s="21"/>
      <c r="J1787" s="21"/>
      <c r="K1787" s="21"/>
      <c r="L1787" s="21"/>
      <c r="M1787" s="10"/>
      <c r="N1787" s="67"/>
      <c r="O1787" s="11"/>
    </row>
    <row r="1788" spans="1:15" x14ac:dyDescent="0.25">
      <c r="A1788" s="6">
        <v>884</v>
      </c>
      <c r="B1788" s="5" t="s">
        <v>550</v>
      </c>
      <c r="C1788" s="5" t="s">
        <v>17</v>
      </c>
      <c r="D1788" s="5" t="s">
        <v>249</v>
      </c>
      <c r="E1788" s="5" t="s">
        <v>250</v>
      </c>
      <c r="F1788" s="5" t="s">
        <v>552</v>
      </c>
      <c r="G1788" s="22">
        <v>1.98</v>
      </c>
      <c r="H1788" s="22">
        <v>0</v>
      </c>
      <c r="I1788" s="22">
        <v>0</v>
      </c>
      <c r="J1788" s="22">
        <v>0</v>
      </c>
      <c r="K1788" s="22">
        <v>-0.04</v>
      </c>
      <c r="L1788" s="22">
        <v>1.94</v>
      </c>
      <c r="M1788" s="10"/>
      <c r="O1788" s="11"/>
    </row>
    <row r="1789" spans="1:15" x14ac:dyDescent="0.25">
      <c r="A1789" s="6">
        <v>885</v>
      </c>
      <c r="B1789" s="5" t="s">
        <v>550</v>
      </c>
      <c r="C1789" s="5" t="s">
        <v>13</v>
      </c>
      <c r="D1789" s="5" t="s">
        <v>249</v>
      </c>
      <c r="E1789" s="5" t="s">
        <v>250</v>
      </c>
      <c r="F1789" s="5" t="s">
        <v>552</v>
      </c>
      <c r="G1789" s="22">
        <v>0</v>
      </c>
      <c r="H1789" s="22">
        <v>0</v>
      </c>
      <c r="I1789" s="22">
        <v>0</v>
      </c>
      <c r="J1789" s="22">
        <v>0.24</v>
      </c>
      <c r="K1789" s="22">
        <v>0</v>
      </c>
      <c r="L1789" s="22">
        <v>0.24</v>
      </c>
      <c r="M1789" s="10"/>
      <c r="O1789" s="11"/>
    </row>
    <row r="1790" spans="1:15" s="4" customFormat="1" x14ac:dyDescent="0.25">
      <c r="A1790" s="6"/>
      <c r="B1790" s="5"/>
      <c r="C1790" s="5"/>
      <c r="D1790" s="5" t="s">
        <v>249</v>
      </c>
      <c r="E1790" s="5" t="s">
        <v>250</v>
      </c>
      <c r="F1790" s="5" t="s">
        <v>552</v>
      </c>
      <c r="G1790" s="14">
        <f t="shared" ref="G1790:L1790" si="449">SUBTOTAL(9,G1788:G1789)</f>
        <v>1.98</v>
      </c>
      <c r="H1790" s="14">
        <f t="shared" si="449"/>
        <v>0</v>
      </c>
      <c r="I1790" s="14">
        <f t="shared" si="449"/>
        <v>0</v>
      </c>
      <c r="J1790" s="14">
        <f t="shared" si="449"/>
        <v>0.24</v>
      </c>
      <c r="K1790" s="14">
        <f t="shared" si="449"/>
        <v>-0.04</v>
      </c>
      <c r="L1790" s="14">
        <f t="shared" si="449"/>
        <v>2.1799999999999997</v>
      </c>
      <c r="M1790" s="10">
        <v>2551</v>
      </c>
      <c r="N1790" s="69"/>
      <c r="O1790" s="11">
        <f>O1786+1</f>
        <v>433</v>
      </c>
    </row>
    <row r="1791" spans="1:15" x14ac:dyDescent="0.25">
      <c r="A1791" s="10"/>
      <c r="G1791" s="21"/>
      <c r="H1791" s="21"/>
      <c r="I1791" s="21"/>
      <c r="J1791" s="21"/>
      <c r="K1791" s="21"/>
      <c r="L1791" s="21"/>
      <c r="M1791" s="10"/>
      <c r="O1791" s="11"/>
    </row>
    <row r="1792" spans="1:15" x14ac:dyDescent="0.25">
      <c r="A1792" s="6">
        <v>886</v>
      </c>
      <c r="B1792" s="5" t="s">
        <v>559</v>
      </c>
      <c r="C1792" s="5" t="s">
        <v>17</v>
      </c>
      <c r="D1792" s="5" t="s">
        <v>251</v>
      </c>
      <c r="E1792" s="5" t="s">
        <v>252</v>
      </c>
      <c r="F1792" s="5" t="s">
        <v>560</v>
      </c>
      <c r="G1792" s="22">
        <v>0.01</v>
      </c>
      <c r="H1792" s="22">
        <v>0</v>
      </c>
      <c r="I1792" s="22">
        <v>0</v>
      </c>
      <c r="J1792" s="22">
        <v>0</v>
      </c>
      <c r="K1792" s="22">
        <v>0</v>
      </c>
      <c r="L1792" s="22">
        <v>0.01</v>
      </c>
      <c r="M1792" s="10"/>
      <c r="O1792" s="11"/>
    </row>
    <row r="1793" spans="1:15" s="4" customFormat="1" x14ac:dyDescent="0.25">
      <c r="A1793" s="6">
        <v>887</v>
      </c>
      <c r="B1793" s="5" t="s">
        <v>559</v>
      </c>
      <c r="C1793" s="5" t="s">
        <v>13</v>
      </c>
      <c r="D1793" s="5" t="s">
        <v>251</v>
      </c>
      <c r="E1793" s="5" t="s">
        <v>252</v>
      </c>
      <c r="F1793" s="5" t="s">
        <v>560</v>
      </c>
      <c r="G1793" s="22">
        <v>0</v>
      </c>
      <c r="H1793" s="22">
        <v>0</v>
      </c>
      <c r="I1793" s="22">
        <v>0</v>
      </c>
      <c r="J1793" s="22">
        <v>0</v>
      </c>
      <c r="K1793" s="22">
        <v>0</v>
      </c>
      <c r="L1793" s="22">
        <v>0</v>
      </c>
      <c r="M1793" s="10"/>
      <c r="N1793" s="67"/>
      <c r="O1793" s="11"/>
    </row>
    <row r="1794" spans="1:15" s="4" customFormat="1" x14ac:dyDescent="0.25">
      <c r="A1794" s="6"/>
      <c r="B1794" s="5"/>
      <c r="C1794" s="5"/>
      <c r="D1794" s="5" t="s">
        <v>251</v>
      </c>
      <c r="E1794" s="5" t="s">
        <v>252</v>
      </c>
      <c r="F1794" s="5" t="s">
        <v>560</v>
      </c>
      <c r="G1794" s="14">
        <f t="shared" ref="G1794:L1794" si="450">SUBTOTAL(9,G1792:G1793)</f>
        <v>0.01</v>
      </c>
      <c r="H1794" s="14">
        <f t="shared" si="450"/>
        <v>0</v>
      </c>
      <c r="I1794" s="14">
        <f t="shared" si="450"/>
        <v>0</v>
      </c>
      <c r="J1794" s="14">
        <f t="shared" si="450"/>
        <v>0</v>
      </c>
      <c r="K1794" s="14">
        <f t="shared" si="450"/>
        <v>0</v>
      </c>
      <c r="L1794" s="14">
        <f t="shared" si="450"/>
        <v>0.01</v>
      </c>
      <c r="M1794" s="10">
        <v>2552</v>
      </c>
      <c r="N1794" s="69"/>
      <c r="O1794" s="11">
        <f>O1790+1</f>
        <v>434</v>
      </c>
    </row>
    <row r="1795" spans="1:15" x14ac:dyDescent="0.25">
      <c r="A1795" s="10"/>
      <c r="G1795" s="21"/>
      <c r="H1795" s="21"/>
      <c r="I1795" s="21"/>
      <c r="J1795" s="21"/>
      <c r="K1795" s="21"/>
      <c r="L1795" s="21"/>
      <c r="M1795" s="10"/>
      <c r="O1795" s="11"/>
    </row>
    <row r="1796" spans="1:15" x14ac:dyDescent="0.25">
      <c r="A1796" s="6">
        <v>888</v>
      </c>
      <c r="B1796" s="5" t="s">
        <v>18</v>
      </c>
      <c r="C1796" s="5" t="s">
        <v>17</v>
      </c>
      <c r="D1796" s="5" t="s">
        <v>251</v>
      </c>
      <c r="E1796" s="5" t="s">
        <v>252</v>
      </c>
      <c r="F1796" s="5" t="s">
        <v>19</v>
      </c>
      <c r="G1796" s="22">
        <v>0.13</v>
      </c>
      <c r="H1796" s="22">
        <v>0</v>
      </c>
      <c r="I1796" s="22">
        <v>0</v>
      </c>
      <c r="J1796" s="22">
        <v>0</v>
      </c>
      <c r="K1796" s="22">
        <v>-0.11</v>
      </c>
      <c r="L1796" s="22">
        <v>0.02</v>
      </c>
      <c r="M1796" s="10"/>
      <c r="O1796" s="11"/>
    </row>
    <row r="1797" spans="1:15" s="4" customFormat="1" x14ac:dyDescent="0.25">
      <c r="A1797" s="6"/>
      <c r="B1797" s="5"/>
      <c r="C1797" s="5"/>
      <c r="D1797" s="5" t="s">
        <v>251</v>
      </c>
      <c r="E1797" s="5" t="s">
        <v>252</v>
      </c>
      <c r="F1797" s="5" t="s">
        <v>19</v>
      </c>
      <c r="G1797" s="14">
        <f t="shared" ref="G1797:L1797" si="451">SUBTOTAL(9,G1796:G1796)</f>
        <v>0.13</v>
      </c>
      <c r="H1797" s="14">
        <f t="shared" si="451"/>
        <v>0</v>
      </c>
      <c r="I1797" s="14">
        <f t="shared" si="451"/>
        <v>0</v>
      </c>
      <c r="J1797" s="14">
        <f t="shared" si="451"/>
        <v>0</v>
      </c>
      <c r="K1797" s="14">
        <f t="shared" si="451"/>
        <v>-0.11</v>
      </c>
      <c r="L1797" s="14">
        <f t="shared" si="451"/>
        <v>0.02</v>
      </c>
      <c r="M1797" s="10">
        <v>2553</v>
      </c>
      <c r="N1797" s="69"/>
      <c r="O1797" s="11">
        <f>O1794+1</f>
        <v>435</v>
      </c>
    </row>
    <row r="1798" spans="1:15" s="4" customFormat="1" x14ac:dyDescent="0.25">
      <c r="A1798" s="10"/>
      <c r="B1798"/>
      <c r="C1798"/>
      <c r="D1798"/>
      <c r="E1798"/>
      <c r="F1798"/>
      <c r="G1798" s="21"/>
      <c r="H1798" s="21"/>
      <c r="I1798" s="21"/>
      <c r="J1798" s="21"/>
      <c r="K1798" s="21"/>
      <c r="L1798" s="21"/>
      <c r="M1798" s="10"/>
      <c r="N1798" s="67"/>
      <c r="O1798" s="11"/>
    </row>
    <row r="1799" spans="1:15" x14ac:dyDescent="0.25">
      <c r="A1799" s="6">
        <v>889</v>
      </c>
      <c r="B1799" s="5" t="s">
        <v>550</v>
      </c>
      <c r="C1799" s="5" t="s">
        <v>17</v>
      </c>
      <c r="D1799" s="5" t="s">
        <v>251</v>
      </c>
      <c r="E1799" s="5" t="s">
        <v>252</v>
      </c>
      <c r="F1799" s="5" t="s">
        <v>551</v>
      </c>
      <c r="G1799" s="22">
        <v>27.11</v>
      </c>
      <c r="H1799" s="22">
        <v>0</v>
      </c>
      <c r="I1799" s="22">
        <v>0</v>
      </c>
      <c r="J1799" s="22">
        <v>0</v>
      </c>
      <c r="K1799" s="22">
        <v>0</v>
      </c>
      <c r="L1799" s="22">
        <v>27.11</v>
      </c>
      <c r="M1799" s="10"/>
      <c r="O1799" s="11"/>
    </row>
    <row r="1800" spans="1:15" x14ac:dyDescent="0.25">
      <c r="A1800" s="6">
        <v>890</v>
      </c>
      <c r="B1800" s="5" t="s">
        <v>550</v>
      </c>
      <c r="C1800" s="5" t="s">
        <v>17</v>
      </c>
      <c r="D1800" s="5" t="s">
        <v>251</v>
      </c>
      <c r="E1800" s="5" t="s">
        <v>252</v>
      </c>
      <c r="F1800" s="5" t="s">
        <v>551</v>
      </c>
      <c r="G1800" s="22">
        <v>2662.58</v>
      </c>
      <c r="H1800" s="22">
        <v>0</v>
      </c>
      <c r="I1800" s="22">
        <v>0</v>
      </c>
      <c r="J1800" s="22">
        <v>0</v>
      </c>
      <c r="K1800" s="22">
        <v>0</v>
      </c>
      <c r="L1800" s="22">
        <v>2662.58</v>
      </c>
      <c r="M1800" s="10"/>
      <c r="O1800" s="11"/>
    </row>
    <row r="1801" spans="1:15" s="4" customFormat="1" x14ac:dyDescent="0.25">
      <c r="A1801" s="6">
        <v>891</v>
      </c>
      <c r="B1801" s="5" t="s">
        <v>550</v>
      </c>
      <c r="C1801" s="5" t="s">
        <v>13</v>
      </c>
      <c r="D1801" s="5" t="s">
        <v>251</v>
      </c>
      <c r="E1801" s="5" t="s">
        <v>252</v>
      </c>
      <c r="F1801" s="5" t="s">
        <v>551</v>
      </c>
      <c r="G1801" s="22">
        <v>0</v>
      </c>
      <c r="H1801" s="22">
        <v>0</v>
      </c>
      <c r="I1801" s="22">
        <v>0</v>
      </c>
      <c r="J1801" s="22">
        <v>3.25</v>
      </c>
      <c r="K1801" s="22">
        <v>0</v>
      </c>
      <c r="L1801" s="22">
        <v>3.25</v>
      </c>
      <c r="M1801" s="10"/>
      <c r="N1801" s="67"/>
      <c r="O1801" s="11"/>
    </row>
    <row r="1802" spans="1:15" x14ac:dyDescent="0.25">
      <c r="A1802" s="6">
        <v>892</v>
      </c>
      <c r="B1802" s="5" t="s">
        <v>550</v>
      </c>
      <c r="C1802" s="5" t="s">
        <v>13</v>
      </c>
      <c r="D1802" s="5" t="s">
        <v>251</v>
      </c>
      <c r="E1802" s="5" t="s">
        <v>252</v>
      </c>
      <c r="F1802" s="5" t="s">
        <v>551</v>
      </c>
      <c r="G1802" s="22">
        <v>0</v>
      </c>
      <c r="H1802" s="22">
        <v>0</v>
      </c>
      <c r="I1802" s="22">
        <v>0</v>
      </c>
      <c r="J1802" s="22">
        <v>319.51</v>
      </c>
      <c r="K1802" s="22">
        <v>0</v>
      </c>
      <c r="L1802" s="22">
        <v>319.51</v>
      </c>
      <c r="M1802" s="10"/>
      <c r="O1802" s="11"/>
    </row>
    <row r="1803" spans="1:15" x14ac:dyDescent="0.25">
      <c r="A1803" s="6"/>
      <c r="B1803" s="5"/>
      <c r="C1803" s="5"/>
      <c r="D1803" s="5" t="s">
        <v>251</v>
      </c>
      <c r="E1803" s="5" t="s">
        <v>252</v>
      </c>
      <c r="F1803" s="5" t="s">
        <v>551</v>
      </c>
      <c r="G1803" s="14">
        <f t="shared" ref="G1803:L1803" si="452">SUBTOTAL(9,G1799:G1802)</f>
        <v>2689.69</v>
      </c>
      <c r="H1803" s="14">
        <f t="shared" si="452"/>
        <v>0</v>
      </c>
      <c r="I1803" s="14">
        <f t="shared" si="452"/>
        <v>0</v>
      </c>
      <c r="J1803" s="14">
        <f t="shared" si="452"/>
        <v>322.76</v>
      </c>
      <c r="K1803" s="14">
        <f t="shared" si="452"/>
        <v>0</v>
      </c>
      <c r="L1803" s="14">
        <f t="shared" si="452"/>
        <v>3012.45</v>
      </c>
      <c r="M1803" s="10">
        <v>2554</v>
      </c>
      <c r="N1803" s="69"/>
      <c r="O1803" s="11">
        <f>O1797+1</f>
        <v>436</v>
      </c>
    </row>
    <row r="1804" spans="1:15" s="4" customFormat="1" x14ac:dyDescent="0.25">
      <c r="A1804" s="10"/>
      <c r="B1804"/>
      <c r="C1804"/>
      <c r="D1804"/>
      <c r="E1804"/>
      <c r="F1804"/>
      <c r="G1804" s="21"/>
      <c r="H1804" s="21"/>
      <c r="I1804" s="21"/>
      <c r="J1804" s="21"/>
      <c r="K1804" s="21"/>
      <c r="L1804" s="21"/>
      <c r="M1804" s="10"/>
      <c r="N1804" s="67"/>
      <c r="O1804" s="11"/>
    </row>
    <row r="1805" spans="1:15" x14ac:dyDescent="0.25">
      <c r="A1805" s="6">
        <v>893</v>
      </c>
      <c r="B1805" s="5" t="s">
        <v>550</v>
      </c>
      <c r="C1805" s="5" t="s">
        <v>17</v>
      </c>
      <c r="D1805" s="5" t="s">
        <v>251</v>
      </c>
      <c r="E1805" s="5" t="s">
        <v>252</v>
      </c>
      <c r="F1805" s="5" t="s">
        <v>552</v>
      </c>
      <c r="G1805" s="22">
        <v>0.19</v>
      </c>
      <c r="H1805" s="22">
        <v>0</v>
      </c>
      <c r="I1805" s="22">
        <v>0</v>
      </c>
      <c r="J1805" s="22">
        <v>0</v>
      </c>
      <c r="K1805" s="22">
        <v>0</v>
      </c>
      <c r="L1805" s="22">
        <v>0.19</v>
      </c>
      <c r="M1805" s="10"/>
      <c r="O1805" s="11"/>
    </row>
    <row r="1806" spans="1:15" x14ac:dyDescent="0.25">
      <c r="A1806" s="6">
        <v>894</v>
      </c>
      <c r="B1806" s="5" t="s">
        <v>550</v>
      </c>
      <c r="C1806" s="5" t="s">
        <v>13</v>
      </c>
      <c r="D1806" s="5" t="s">
        <v>251</v>
      </c>
      <c r="E1806" s="5" t="s">
        <v>252</v>
      </c>
      <c r="F1806" s="5" t="s">
        <v>552</v>
      </c>
      <c r="G1806" s="22">
        <v>0</v>
      </c>
      <c r="H1806" s="22">
        <v>0</v>
      </c>
      <c r="I1806" s="22">
        <v>0</v>
      </c>
      <c r="J1806" s="22">
        <v>0.02</v>
      </c>
      <c r="K1806" s="22">
        <v>0</v>
      </c>
      <c r="L1806" s="22">
        <v>0.02</v>
      </c>
      <c r="M1806" s="10"/>
      <c r="O1806" s="11"/>
    </row>
    <row r="1807" spans="1:15" s="4" customFormat="1" x14ac:dyDescent="0.25">
      <c r="A1807" s="6"/>
      <c r="B1807" s="5"/>
      <c r="C1807" s="5"/>
      <c r="D1807" s="5" t="s">
        <v>251</v>
      </c>
      <c r="E1807" s="5" t="s">
        <v>252</v>
      </c>
      <c r="F1807" s="5" t="s">
        <v>552</v>
      </c>
      <c r="G1807" s="14">
        <f t="shared" ref="G1807:L1807" si="453">SUBTOTAL(9,G1805:G1806)</f>
        <v>0.19</v>
      </c>
      <c r="H1807" s="14">
        <f t="shared" si="453"/>
        <v>0</v>
      </c>
      <c r="I1807" s="14">
        <f t="shared" si="453"/>
        <v>0</v>
      </c>
      <c r="J1807" s="14">
        <f t="shared" si="453"/>
        <v>0.02</v>
      </c>
      <c r="K1807" s="14">
        <f t="shared" si="453"/>
        <v>0</v>
      </c>
      <c r="L1807" s="14">
        <f t="shared" si="453"/>
        <v>0.21</v>
      </c>
      <c r="M1807" s="10">
        <v>2555</v>
      </c>
      <c r="N1807" s="69"/>
      <c r="O1807" s="11">
        <f>O1803+1</f>
        <v>437</v>
      </c>
    </row>
    <row r="1808" spans="1:15" x14ac:dyDescent="0.25">
      <c r="A1808" s="10"/>
      <c r="G1808" s="21"/>
      <c r="H1808" s="21"/>
      <c r="I1808" s="21"/>
      <c r="J1808" s="21"/>
      <c r="K1808" s="21"/>
      <c r="L1808" s="21"/>
      <c r="M1808" s="10"/>
      <c r="O1808" s="11"/>
    </row>
    <row r="1809" spans="1:15" x14ac:dyDescent="0.25">
      <c r="A1809" s="6">
        <v>895</v>
      </c>
      <c r="B1809" s="5" t="s">
        <v>18</v>
      </c>
      <c r="C1809" s="5" t="s">
        <v>17</v>
      </c>
      <c r="D1809" s="5" t="s">
        <v>253</v>
      </c>
      <c r="E1809" s="5" t="s">
        <v>254</v>
      </c>
      <c r="F1809" s="5" t="s">
        <v>19</v>
      </c>
      <c r="G1809" s="22">
        <v>0</v>
      </c>
      <c r="H1809" s="22">
        <v>0</v>
      </c>
      <c r="I1809" s="22">
        <v>0</v>
      </c>
      <c r="J1809" s="22">
        <v>0</v>
      </c>
      <c r="K1809" s="22">
        <v>0</v>
      </c>
      <c r="L1809" s="22">
        <v>0</v>
      </c>
      <c r="M1809" s="10"/>
      <c r="O1809" s="11"/>
    </row>
    <row r="1810" spans="1:15" s="4" customFormat="1" x14ac:dyDescent="0.25">
      <c r="A1810" s="6">
        <v>896</v>
      </c>
      <c r="B1810" s="5" t="s">
        <v>18</v>
      </c>
      <c r="C1810" s="5" t="s">
        <v>17</v>
      </c>
      <c r="D1810" s="5" t="s">
        <v>253</v>
      </c>
      <c r="E1810" s="5" t="s">
        <v>254</v>
      </c>
      <c r="F1810" s="5" t="s">
        <v>19</v>
      </c>
      <c r="G1810" s="22">
        <v>0</v>
      </c>
      <c r="H1810" s="22">
        <v>0</v>
      </c>
      <c r="I1810" s="22">
        <v>0.01</v>
      </c>
      <c r="J1810" s="22">
        <v>0</v>
      </c>
      <c r="K1810" s="22">
        <v>0</v>
      </c>
      <c r="L1810" s="22">
        <v>0.01</v>
      </c>
      <c r="M1810" s="10"/>
      <c r="N1810" s="67"/>
      <c r="O1810" s="11"/>
    </row>
    <row r="1811" spans="1:15" x14ac:dyDescent="0.25">
      <c r="A1811" s="6"/>
      <c r="B1811" s="5"/>
      <c r="C1811" s="5"/>
      <c r="D1811" s="5" t="s">
        <v>253</v>
      </c>
      <c r="E1811" s="5" t="s">
        <v>254</v>
      </c>
      <c r="F1811" s="5" t="s">
        <v>19</v>
      </c>
      <c r="G1811" s="14">
        <f t="shared" ref="G1811:L1811" si="454">SUBTOTAL(9,G1809:G1810)</f>
        <v>0</v>
      </c>
      <c r="H1811" s="14">
        <f t="shared" si="454"/>
        <v>0</v>
      </c>
      <c r="I1811" s="14">
        <f t="shared" si="454"/>
        <v>0.01</v>
      </c>
      <c r="J1811" s="14">
        <f t="shared" si="454"/>
        <v>0</v>
      </c>
      <c r="K1811" s="14">
        <f t="shared" si="454"/>
        <v>0</v>
      </c>
      <c r="L1811" s="14">
        <f t="shared" si="454"/>
        <v>0.01</v>
      </c>
      <c r="M1811" s="10">
        <v>2556</v>
      </c>
      <c r="N1811" s="69"/>
      <c r="O1811" s="11">
        <f>O1807+1</f>
        <v>438</v>
      </c>
    </row>
    <row r="1812" spans="1:15" x14ac:dyDescent="0.25">
      <c r="A1812" s="10"/>
      <c r="G1812" s="21"/>
      <c r="H1812" s="21"/>
      <c r="I1812" s="21"/>
      <c r="J1812" s="21"/>
      <c r="K1812" s="21"/>
      <c r="L1812" s="21"/>
      <c r="M1812" s="10"/>
      <c r="O1812" s="11"/>
    </row>
    <row r="1813" spans="1:15" s="4" customFormat="1" x14ac:dyDescent="0.25">
      <c r="A1813" s="6">
        <v>897</v>
      </c>
      <c r="B1813" s="5" t="s">
        <v>550</v>
      </c>
      <c r="C1813" s="5" t="s">
        <v>17</v>
      </c>
      <c r="D1813" s="5" t="s">
        <v>613</v>
      </c>
      <c r="E1813" s="5" t="s">
        <v>254</v>
      </c>
      <c r="F1813" s="5" t="s">
        <v>551</v>
      </c>
      <c r="G1813" s="22">
        <v>0</v>
      </c>
      <c r="H1813" s="22">
        <v>0</v>
      </c>
      <c r="I1813" s="22">
        <v>39.42</v>
      </c>
      <c r="J1813" s="22">
        <v>0</v>
      </c>
      <c r="K1813" s="22">
        <v>-0.79</v>
      </c>
      <c r="L1813" s="22">
        <v>38.630000000000003</v>
      </c>
      <c r="M1813" s="10"/>
      <c r="N1813" s="67"/>
      <c r="O1813" s="11"/>
    </row>
    <row r="1814" spans="1:15" x14ac:dyDescent="0.25">
      <c r="A1814" s="6">
        <v>898</v>
      </c>
      <c r="B1814" s="5" t="s">
        <v>550</v>
      </c>
      <c r="C1814" s="5" t="s">
        <v>17</v>
      </c>
      <c r="D1814" s="5" t="s">
        <v>613</v>
      </c>
      <c r="E1814" s="5" t="s">
        <v>254</v>
      </c>
      <c r="F1814" s="5" t="s">
        <v>551</v>
      </c>
      <c r="G1814" s="22">
        <v>0</v>
      </c>
      <c r="H1814" s="22">
        <v>0</v>
      </c>
      <c r="I1814" s="22">
        <v>188.66</v>
      </c>
      <c r="J1814" s="22">
        <v>0</v>
      </c>
      <c r="K1814" s="22">
        <v>-3.77</v>
      </c>
      <c r="L1814" s="22">
        <v>184.89</v>
      </c>
      <c r="M1814" s="10"/>
      <c r="O1814" s="11"/>
    </row>
    <row r="1815" spans="1:15" x14ac:dyDescent="0.25">
      <c r="A1815" s="6"/>
      <c r="B1815" s="5"/>
      <c r="C1815" s="5"/>
      <c r="D1815" s="5" t="s">
        <v>613</v>
      </c>
      <c r="E1815" s="5" t="s">
        <v>254</v>
      </c>
      <c r="F1815" s="5" t="s">
        <v>551</v>
      </c>
      <c r="G1815" s="14">
        <f t="shared" ref="G1815:L1815" si="455">SUBTOTAL(9,G1813:G1814)</f>
        <v>0</v>
      </c>
      <c r="H1815" s="14">
        <f t="shared" si="455"/>
        <v>0</v>
      </c>
      <c r="I1815" s="14">
        <f t="shared" si="455"/>
        <v>228.07999999999998</v>
      </c>
      <c r="J1815" s="14">
        <f t="shared" si="455"/>
        <v>0</v>
      </c>
      <c r="K1815" s="14">
        <f t="shared" si="455"/>
        <v>-4.5600000000000005</v>
      </c>
      <c r="L1815" s="14">
        <f t="shared" si="455"/>
        <v>223.51999999999998</v>
      </c>
      <c r="M1815" s="10">
        <v>2557</v>
      </c>
      <c r="N1815" s="69"/>
      <c r="O1815" s="11">
        <f>O1811+1</f>
        <v>439</v>
      </c>
    </row>
    <row r="1816" spans="1:15" s="4" customFormat="1" x14ac:dyDescent="0.25">
      <c r="A1816" s="10"/>
      <c r="B1816"/>
      <c r="C1816"/>
      <c r="D1816"/>
      <c r="E1816"/>
      <c r="F1816"/>
      <c r="G1816" s="21"/>
      <c r="H1816" s="21"/>
      <c r="I1816" s="21"/>
      <c r="J1816" s="21"/>
      <c r="K1816" s="21"/>
      <c r="L1816" s="21"/>
      <c r="M1816" s="10"/>
      <c r="N1816" s="67"/>
      <c r="O1816" s="11"/>
    </row>
    <row r="1817" spans="1:15" x14ac:dyDescent="0.25">
      <c r="A1817" s="6">
        <v>899</v>
      </c>
      <c r="B1817" s="5" t="s">
        <v>550</v>
      </c>
      <c r="C1817" s="5" t="s">
        <v>17</v>
      </c>
      <c r="D1817" s="5" t="s">
        <v>613</v>
      </c>
      <c r="E1817" s="5" t="s">
        <v>254</v>
      </c>
      <c r="F1817" s="5" t="s">
        <v>552</v>
      </c>
      <c r="G1817" s="22">
        <v>0</v>
      </c>
      <c r="H1817" s="22">
        <v>0</v>
      </c>
      <c r="I1817" s="22">
        <v>0.01</v>
      </c>
      <c r="J1817" s="22">
        <v>0</v>
      </c>
      <c r="K1817" s="22">
        <v>0</v>
      </c>
      <c r="L1817" s="22">
        <v>0.01</v>
      </c>
      <c r="M1817" s="10"/>
      <c r="O1817" s="11"/>
    </row>
    <row r="1818" spans="1:15" x14ac:dyDescent="0.25">
      <c r="A1818" s="6"/>
      <c r="B1818" s="5"/>
      <c r="C1818" s="5"/>
      <c r="D1818" s="5" t="s">
        <v>613</v>
      </c>
      <c r="E1818" s="5" t="s">
        <v>254</v>
      </c>
      <c r="F1818" s="5" t="s">
        <v>552</v>
      </c>
      <c r="G1818" s="14">
        <f t="shared" ref="G1818:L1818" si="456">SUBTOTAL(9,G1817:G1817)</f>
        <v>0</v>
      </c>
      <c r="H1818" s="14">
        <f t="shared" si="456"/>
        <v>0</v>
      </c>
      <c r="I1818" s="14">
        <f t="shared" si="456"/>
        <v>0.01</v>
      </c>
      <c r="J1818" s="14">
        <f t="shared" si="456"/>
        <v>0</v>
      </c>
      <c r="K1818" s="14">
        <f t="shared" si="456"/>
        <v>0</v>
      </c>
      <c r="L1818" s="14">
        <f t="shared" si="456"/>
        <v>0.01</v>
      </c>
      <c r="M1818" s="10">
        <v>2558</v>
      </c>
      <c r="N1818" s="69"/>
      <c r="O1818" s="11">
        <f>O1815+1</f>
        <v>440</v>
      </c>
    </row>
    <row r="1819" spans="1:15" s="4" customFormat="1" x14ac:dyDescent="0.25">
      <c r="A1819" s="10"/>
      <c r="B1819"/>
      <c r="C1819"/>
      <c r="D1819"/>
      <c r="E1819"/>
      <c r="F1819"/>
      <c r="G1819" s="21"/>
      <c r="H1819" s="21"/>
      <c r="I1819" s="21"/>
      <c r="J1819" s="21"/>
      <c r="K1819" s="21"/>
      <c r="L1819" s="21"/>
      <c r="M1819" s="10"/>
      <c r="N1819" s="67"/>
      <c r="O1819" s="11"/>
    </row>
    <row r="1820" spans="1:15" x14ac:dyDescent="0.25">
      <c r="A1820" s="6">
        <v>900</v>
      </c>
      <c r="B1820" s="5" t="s">
        <v>550</v>
      </c>
      <c r="C1820" s="5" t="s">
        <v>17</v>
      </c>
      <c r="D1820" s="5" t="s">
        <v>614</v>
      </c>
      <c r="E1820" s="5" t="s">
        <v>254</v>
      </c>
      <c r="F1820" s="5" t="s">
        <v>551</v>
      </c>
      <c r="G1820" s="22">
        <v>0</v>
      </c>
      <c r="H1820" s="22">
        <v>0</v>
      </c>
      <c r="I1820" s="22">
        <v>44.73</v>
      </c>
      <c r="J1820" s="22">
        <v>0</v>
      </c>
      <c r="K1820" s="22">
        <v>-0.89</v>
      </c>
      <c r="L1820" s="22">
        <v>43.84</v>
      </c>
      <c r="M1820" s="10"/>
      <c r="O1820" s="11"/>
    </row>
    <row r="1821" spans="1:15" x14ac:dyDescent="0.25">
      <c r="A1821" s="6">
        <v>901</v>
      </c>
      <c r="B1821" s="5" t="s">
        <v>550</v>
      </c>
      <c r="C1821" s="5" t="s">
        <v>17</v>
      </c>
      <c r="D1821" s="5" t="s">
        <v>614</v>
      </c>
      <c r="E1821" s="5" t="s">
        <v>254</v>
      </c>
      <c r="F1821" s="5" t="s">
        <v>551</v>
      </c>
      <c r="G1821" s="22">
        <v>0</v>
      </c>
      <c r="H1821" s="22">
        <v>0</v>
      </c>
      <c r="I1821" s="22">
        <v>50.31</v>
      </c>
      <c r="J1821" s="22">
        <v>0</v>
      </c>
      <c r="K1821" s="22">
        <v>-1.01</v>
      </c>
      <c r="L1821" s="22">
        <v>49.3</v>
      </c>
      <c r="M1821" s="10"/>
      <c r="O1821" s="11"/>
    </row>
    <row r="1822" spans="1:15" s="4" customFormat="1" x14ac:dyDescent="0.25">
      <c r="A1822" s="6"/>
      <c r="B1822" s="5"/>
      <c r="C1822" s="5"/>
      <c r="D1822" s="5" t="s">
        <v>614</v>
      </c>
      <c r="E1822" s="5" t="s">
        <v>254</v>
      </c>
      <c r="F1822" s="5" t="s">
        <v>551</v>
      </c>
      <c r="G1822" s="14">
        <f t="shared" ref="G1822:L1822" si="457">SUBTOTAL(9,G1820:G1821)</f>
        <v>0</v>
      </c>
      <c r="H1822" s="14">
        <f t="shared" si="457"/>
        <v>0</v>
      </c>
      <c r="I1822" s="14">
        <f t="shared" si="457"/>
        <v>95.039999999999992</v>
      </c>
      <c r="J1822" s="14">
        <f t="shared" si="457"/>
        <v>0</v>
      </c>
      <c r="K1822" s="14">
        <f t="shared" si="457"/>
        <v>-1.9</v>
      </c>
      <c r="L1822" s="14">
        <f t="shared" si="457"/>
        <v>93.14</v>
      </c>
      <c r="M1822" s="10">
        <v>2559</v>
      </c>
      <c r="N1822" s="69"/>
      <c r="O1822" s="11">
        <f>O1818+1</f>
        <v>441</v>
      </c>
    </row>
    <row r="1823" spans="1:15" x14ac:dyDescent="0.25">
      <c r="A1823" s="10"/>
      <c r="G1823" s="21"/>
      <c r="H1823" s="21"/>
      <c r="I1823" s="21"/>
      <c r="J1823" s="21"/>
      <c r="K1823" s="21"/>
      <c r="L1823" s="21"/>
      <c r="M1823" s="10"/>
      <c r="O1823" s="11"/>
    </row>
    <row r="1824" spans="1:15" x14ac:dyDescent="0.25">
      <c r="A1824" s="6">
        <v>902</v>
      </c>
      <c r="B1824" s="5" t="s">
        <v>559</v>
      </c>
      <c r="C1824" s="5" t="s">
        <v>17</v>
      </c>
      <c r="D1824" s="5" t="s">
        <v>255</v>
      </c>
      <c r="E1824" s="5" t="s">
        <v>256</v>
      </c>
      <c r="F1824" s="5" t="s">
        <v>560</v>
      </c>
      <c r="G1824" s="22">
        <v>0.96</v>
      </c>
      <c r="H1824" s="22">
        <v>0</v>
      </c>
      <c r="I1824" s="22">
        <v>0</v>
      </c>
      <c r="J1824" s="22">
        <v>0</v>
      </c>
      <c r="K1824" s="22">
        <v>-0.02</v>
      </c>
      <c r="L1824" s="22">
        <v>0.94</v>
      </c>
      <c r="M1824" s="10"/>
      <c r="O1824" s="11"/>
    </row>
    <row r="1825" spans="1:15" s="4" customFormat="1" x14ac:dyDescent="0.25">
      <c r="A1825" s="6">
        <v>903</v>
      </c>
      <c r="B1825" s="5" t="s">
        <v>559</v>
      </c>
      <c r="C1825" s="5" t="s">
        <v>13</v>
      </c>
      <c r="D1825" s="5" t="s">
        <v>255</v>
      </c>
      <c r="E1825" s="5" t="s">
        <v>256</v>
      </c>
      <c r="F1825" s="5" t="s">
        <v>560</v>
      </c>
      <c r="G1825" s="22">
        <v>0</v>
      </c>
      <c r="H1825" s="22">
        <v>0</v>
      </c>
      <c r="I1825" s="22">
        <v>0</v>
      </c>
      <c r="J1825" s="22">
        <v>0.12</v>
      </c>
      <c r="K1825" s="22">
        <v>0</v>
      </c>
      <c r="L1825" s="22">
        <v>0.12</v>
      </c>
      <c r="M1825" s="10"/>
      <c r="N1825" s="67"/>
      <c r="O1825" s="11"/>
    </row>
    <row r="1826" spans="1:15" x14ac:dyDescent="0.25">
      <c r="A1826" s="6"/>
      <c r="B1826" s="5"/>
      <c r="C1826" s="5"/>
      <c r="D1826" s="5" t="s">
        <v>255</v>
      </c>
      <c r="E1826" s="5" t="s">
        <v>256</v>
      </c>
      <c r="F1826" s="5" t="s">
        <v>560</v>
      </c>
      <c r="G1826" s="14">
        <f t="shared" ref="G1826:L1826" si="458">SUBTOTAL(9,G1824:G1825)</f>
        <v>0.96</v>
      </c>
      <c r="H1826" s="14">
        <f t="shared" si="458"/>
        <v>0</v>
      </c>
      <c r="I1826" s="14">
        <f t="shared" si="458"/>
        <v>0</v>
      </c>
      <c r="J1826" s="14">
        <f t="shared" si="458"/>
        <v>0.12</v>
      </c>
      <c r="K1826" s="14">
        <f t="shared" si="458"/>
        <v>-0.02</v>
      </c>
      <c r="L1826" s="14">
        <f t="shared" si="458"/>
        <v>1.06</v>
      </c>
      <c r="M1826" s="10">
        <v>2560</v>
      </c>
      <c r="N1826" s="69"/>
      <c r="O1826" s="11">
        <f>O1822+1</f>
        <v>442</v>
      </c>
    </row>
    <row r="1827" spans="1:15" x14ac:dyDescent="0.25">
      <c r="A1827" s="10"/>
      <c r="G1827" s="21"/>
      <c r="H1827" s="21"/>
      <c r="I1827" s="21"/>
      <c r="J1827" s="21"/>
      <c r="K1827" s="21"/>
      <c r="L1827" s="21"/>
      <c r="M1827" s="10"/>
      <c r="O1827" s="11"/>
    </row>
    <row r="1828" spans="1:15" s="4" customFormat="1" x14ac:dyDescent="0.25">
      <c r="A1828" s="6">
        <v>904</v>
      </c>
      <c r="B1828" s="5" t="s">
        <v>18</v>
      </c>
      <c r="C1828" s="5" t="s">
        <v>17</v>
      </c>
      <c r="D1828" s="5" t="s">
        <v>255</v>
      </c>
      <c r="E1828" s="5" t="s">
        <v>256</v>
      </c>
      <c r="F1828" s="5" t="s">
        <v>19</v>
      </c>
      <c r="G1828" s="22">
        <v>4.29</v>
      </c>
      <c r="H1828" s="22">
        <v>0</v>
      </c>
      <c r="I1828" s="22">
        <v>0</v>
      </c>
      <c r="J1828" s="22">
        <v>0</v>
      </c>
      <c r="K1828" s="22">
        <v>-3.81</v>
      </c>
      <c r="L1828" s="22">
        <v>0.48</v>
      </c>
      <c r="M1828" s="10"/>
      <c r="N1828" s="67"/>
      <c r="O1828" s="11"/>
    </row>
    <row r="1829" spans="1:15" x14ac:dyDescent="0.25">
      <c r="A1829" s="6"/>
      <c r="B1829" s="5"/>
      <c r="C1829" s="5"/>
      <c r="D1829" s="5" t="s">
        <v>255</v>
      </c>
      <c r="E1829" s="5" t="s">
        <v>256</v>
      </c>
      <c r="F1829" s="5" t="s">
        <v>19</v>
      </c>
      <c r="G1829" s="14">
        <f t="shared" ref="G1829:L1829" si="459">SUBTOTAL(9,G1828:G1828)</f>
        <v>4.29</v>
      </c>
      <c r="H1829" s="14">
        <f t="shared" si="459"/>
        <v>0</v>
      </c>
      <c r="I1829" s="14">
        <f t="shared" si="459"/>
        <v>0</v>
      </c>
      <c r="J1829" s="14">
        <f t="shared" si="459"/>
        <v>0</v>
      </c>
      <c r="K1829" s="14">
        <f t="shared" si="459"/>
        <v>-3.81</v>
      </c>
      <c r="L1829" s="14">
        <f t="shared" si="459"/>
        <v>0.48</v>
      </c>
      <c r="M1829" s="10">
        <v>2561</v>
      </c>
      <c r="N1829" s="69"/>
      <c r="O1829" s="11">
        <f>O1826+1</f>
        <v>443</v>
      </c>
    </row>
    <row r="1830" spans="1:15" x14ac:dyDescent="0.25">
      <c r="A1830" s="10"/>
      <c r="G1830" s="21"/>
      <c r="H1830" s="21"/>
      <c r="I1830" s="21"/>
      <c r="J1830" s="21"/>
      <c r="K1830" s="21"/>
      <c r="L1830" s="21"/>
      <c r="M1830" s="10"/>
      <c r="O1830" s="11"/>
    </row>
    <row r="1831" spans="1:15" s="4" customFormat="1" x14ac:dyDescent="0.25">
      <c r="A1831" s="6">
        <v>905</v>
      </c>
      <c r="B1831" s="5" t="s">
        <v>550</v>
      </c>
      <c r="C1831" s="5" t="s">
        <v>17</v>
      </c>
      <c r="D1831" s="5" t="s">
        <v>255</v>
      </c>
      <c r="E1831" s="5" t="s">
        <v>256</v>
      </c>
      <c r="F1831" s="5" t="s">
        <v>551</v>
      </c>
      <c r="G1831" s="22">
        <v>58224.53</v>
      </c>
      <c r="H1831" s="22">
        <v>0</v>
      </c>
      <c r="I1831" s="22">
        <v>0</v>
      </c>
      <c r="J1831" s="22">
        <v>0</v>
      </c>
      <c r="K1831" s="22">
        <v>-1164.49</v>
      </c>
      <c r="L1831" s="22">
        <v>57060.04</v>
      </c>
      <c r="M1831" s="10"/>
      <c r="N1831" s="67"/>
      <c r="O1831" s="11"/>
    </row>
    <row r="1832" spans="1:15" x14ac:dyDescent="0.25">
      <c r="A1832" s="6">
        <v>906</v>
      </c>
      <c r="B1832" s="5" t="s">
        <v>550</v>
      </c>
      <c r="C1832" s="5" t="s">
        <v>13</v>
      </c>
      <c r="D1832" s="5" t="s">
        <v>255</v>
      </c>
      <c r="E1832" s="5" t="s">
        <v>256</v>
      </c>
      <c r="F1832" s="36" t="s">
        <v>551</v>
      </c>
      <c r="G1832" s="22">
        <v>0</v>
      </c>
      <c r="H1832" s="22">
        <v>0</v>
      </c>
      <c r="I1832" s="22">
        <v>0</v>
      </c>
      <c r="J1832" s="22">
        <v>6986.94</v>
      </c>
      <c r="K1832" s="22">
        <v>0</v>
      </c>
      <c r="L1832" s="22">
        <v>6986.94</v>
      </c>
      <c r="M1832" s="10"/>
      <c r="O1832" s="11"/>
    </row>
    <row r="1833" spans="1:15" x14ac:dyDescent="0.25">
      <c r="A1833" s="6"/>
      <c r="B1833" s="5"/>
      <c r="C1833" s="5"/>
      <c r="D1833" s="5" t="s">
        <v>255</v>
      </c>
      <c r="E1833" s="5" t="s">
        <v>256</v>
      </c>
      <c r="F1833" s="36" t="s">
        <v>551</v>
      </c>
      <c r="G1833" s="14">
        <f t="shared" ref="G1833:L1833" si="460">SUBTOTAL(9,G1831:G1832)</f>
        <v>58224.53</v>
      </c>
      <c r="H1833" s="14">
        <f t="shared" si="460"/>
        <v>0</v>
      </c>
      <c r="I1833" s="14">
        <f t="shared" si="460"/>
        <v>0</v>
      </c>
      <c r="J1833" s="14">
        <f t="shared" si="460"/>
        <v>6986.94</v>
      </c>
      <c r="K1833" s="14">
        <f t="shared" si="460"/>
        <v>-1164.49</v>
      </c>
      <c r="L1833" s="14">
        <f t="shared" si="460"/>
        <v>64046.98</v>
      </c>
      <c r="M1833" s="10">
        <v>2562</v>
      </c>
      <c r="N1833" s="69"/>
      <c r="O1833" s="11">
        <f>O1829+1</f>
        <v>444</v>
      </c>
    </row>
    <row r="1834" spans="1:15" s="4" customFormat="1" x14ac:dyDescent="0.25">
      <c r="A1834" s="10"/>
      <c r="B1834"/>
      <c r="C1834"/>
      <c r="D1834"/>
      <c r="E1834"/>
      <c r="F1834"/>
      <c r="G1834" s="21"/>
      <c r="H1834" s="21"/>
      <c r="I1834" s="21"/>
      <c r="J1834" s="21"/>
      <c r="K1834" s="21"/>
      <c r="L1834" s="21"/>
      <c r="M1834" s="10"/>
      <c r="N1834" s="67"/>
      <c r="O1834" s="11"/>
    </row>
    <row r="1835" spans="1:15" x14ac:dyDescent="0.25">
      <c r="A1835" s="6">
        <v>907</v>
      </c>
      <c r="B1835" s="5" t="s">
        <v>550</v>
      </c>
      <c r="C1835" s="5" t="s">
        <v>17</v>
      </c>
      <c r="D1835" s="5" t="s">
        <v>255</v>
      </c>
      <c r="E1835" s="5" t="s">
        <v>256</v>
      </c>
      <c r="F1835" s="5" t="s">
        <v>552</v>
      </c>
      <c r="G1835" s="22">
        <v>4.1900000000000004</v>
      </c>
      <c r="H1835" s="22">
        <v>0</v>
      </c>
      <c r="I1835" s="22">
        <v>0</v>
      </c>
      <c r="J1835" s="22">
        <v>0</v>
      </c>
      <c r="K1835" s="22">
        <v>-0.08</v>
      </c>
      <c r="L1835" s="22">
        <v>4.1100000000000003</v>
      </c>
      <c r="M1835" s="10"/>
      <c r="O1835" s="11"/>
    </row>
    <row r="1836" spans="1:15" x14ac:dyDescent="0.25">
      <c r="A1836" s="6">
        <v>908</v>
      </c>
      <c r="B1836" s="5" t="s">
        <v>550</v>
      </c>
      <c r="C1836" s="5" t="s">
        <v>13</v>
      </c>
      <c r="D1836" s="5" t="s">
        <v>255</v>
      </c>
      <c r="E1836" s="5" t="s">
        <v>256</v>
      </c>
      <c r="F1836" s="5" t="s">
        <v>552</v>
      </c>
      <c r="G1836" s="22">
        <v>0</v>
      </c>
      <c r="H1836" s="22">
        <v>0</v>
      </c>
      <c r="I1836" s="22">
        <v>0</v>
      </c>
      <c r="J1836" s="22">
        <v>0.5</v>
      </c>
      <c r="K1836" s="22">
        <v>0</v>
      </c>
      <c r="L1836" s="22">
        <v>0.5</v>
      </c>
      <c r="M1836" s="10"/>
      <c r="O1836" s="11"/>
    </row>
    <row r="1837" spans="1:15" s="4" customFormat="1" x14ac:dyDescent="0.25">
      <c r="A1837" s="6"/>
      <c r="B1837" s="5"/>
      <c r="C1837" s="5"/>
      <c r="D1837" s="5" t="s">
        <v>255</v>
      </c>
      <c r="E1837" s="5" t="s">
        <v>256</v>
      </c>
      <c r="F1837" s="5" t="s">
        <v>552</v>
      </c>
      <c r="G1837" s="14">
        <f t="shared" ref="G1837:L1837" si="461">SUBTOTAL(9,G1835:G1836)</f>
        <v>4.1900000000000004</v>
      </c>
      <c r="H1837" s="14">
        <f t="shared" si="461"/>
        <v>0</v>
      </c>
      <c r="I1837" s="14">
        <f t="shared" si="461"/>
        <v>0</v>
      </c>
      <c r="J1837" s="14">
        <f t="shared" si="461"/>
        <v>0.5</v>
      </c>
      <c r="K1837" s="14">
        <f t="shared" si="461"/>
        <v>-0.08</v>
      </c>
      <c r="L1837" s="14">
        <f t="shared" si="461"/>
        <v>4.6100000000000003</v>
      </c>
      <c r="M1837" s="10">
        <v>2563</v>
      </c>
      <c r="N1837" s="69"/>
      <c r="O1837" s="11">
        <f>O1833+1</f>
        <v>445</v>
      </c>
    </row>
    <row r="1838" spans="1:15" x14ac:dyDescent="0.25">
      <c r="A1838" s="10"/>
      <c r="G1838" s="21"/>
      <c r="H1838" s="21"/>
      <c r="I1838" s="21"/>
      <c r="J1838" s="21"/>
      <c r="K1838" s="21"/>
      <c r="L1838" s="21"/>
      <c r="M1838" s="10"/>
      <c r="O1838" s="11"/>
    </row>
    <row r="1839" spans="1:15" x14ac:dyDescent="0.25">
      <c r="A1839" s="6">
        <v>909</v>
      </c>
      <c r="B1839" s="5" t="s">
        <v>37</v>
      </c>
      <c r="C1839" s="5" t="s">
        <v>13</v>
      </c>
      <c r="D1839" s="5" t="s">
        <v>257</v>
      </c>
      <c r="E1839" s="5" t="s">
        <v>258</v>
      </c>
      <c r="F1839" s="5" t="s">
        <v>38</v>
      </c>
      <c r="G1839" s="22">
        <v>0</v>
      </c>
      <c r="H1839" s="22">
        <v>0</v>
      </c>
      <c r="I1839" s="22">
        <v>0</v>
      </c>
      <c r="J1839" s="22">
        <v>1.3</v>
      </c>
      <c r="K1839" s="22">
        <v>0</v>
      </c>
      <c r="L1839" s="22">
        <v>1.3</v>
      </c>
      <c r="M1839" s="10"/>
      <c r="O1839" s="11"/>
    </row>
    <row r="1840" spans="1:15" s="4" customFormat="1" x14ac:dyDescent="0.25">
      <c r="A1840" s="6"/>
      <c r="B1840" s="5"/>
      <c r="C1840" s="5"/>
      <c r="D1840" s="5" t="s">
        <v>257</v>
      </c>
      <c r="E1840" s="5" t="s">
        <v>258</v>
      </c>
      <c r="F1840" s="5" t="s">
        <v>38</v>
      </c>
      <c r="G1840" s="14">
        <f t="shared" ref="G1840:L1840" si="462">SUBTOTAL(9,G1839:G1839)</f>
        <v>0</v>
      </c>
      <c r="H1840" s="14">
        <f t="shared" si="462"/>
        <v>0</v>
      </c>
      <c r="I1840" s="14">
        <f t="shared" si="462"/>
        <v>0</v>
      </c>
      <c r="J1840" s="14">
        <f t="shared" si="462"/>
        <v>1.3</v>
      </c>
      <c r="K1840" s="14">
        <f t="shared" si="462"/>
        <v>0</v>
      </c>
      <c r="L1840" s="14">
        <f t="shared" si="462"/>
        <v>1.3</v>
      </c>
      <c r="M1840" s="10">
        <v>2564</v>
      </c>
      <c r="N1840" s="69"/>
      <c r="O1840" s="11">
        <f>O1837+1</f>
        <v>446</v>
      </c>
    </row>
    <row r="1841" spans="1:15" x14ac:dyDescent="0.25">
      <c r="A1841" s="10"/>
      <c r="G1841" s="21"/>
      <c r="H1841" s="21"/>
      <c r="I1841" s="21"/>
      <c r="J1841" s="21"/>
      <c r="K1841" s="21"/>
      <c r="L1841" s="21"/>
      <c r="M1841" s="10"/>
      <c r="O1841" s="11"/>
    </row>
    <row r="1842" spans="1:15" x14ac:dyDescent="0.25">
      <c r="A1842" s="6">
        <v>910</v>
      </c>
      <c r="B1842" s="5" t="s">
        <v>559</v>
      </c>
      <c r="C1842" s="5" t="s">
        <v>17</v>
      </c>
      <c r="D1842" s="5" t="s">
        <v>257</v>
      </c>
      <c r="E1842" s="5" t="s">
        <v>258</v>
      </c>
      <c r="F1842" s="5" t="s">
        <v>560</v>
      </c>
      <c r="G1842" s="22">
        <v>9.5</v>
      </c>
      <c r="H1842" s="22">
        <v>0</v>
      </c>
      <c r="I1842" s="22">
        <v>0</v>
      </c>
      <c r="J1842" s="22">
        <v>0</v>
      </c>
      <c r="K1842" s="22">
        <v>-0.19</v>
      </c>
      <c r="L1842" s="22">
        <v>9.31</v>
      </c>
      <c r="M1842" s="10"/>
      <c r="O1842" s="11"/>
    </row>
    <row r="1843" spans="1:15" s="4" customFormat="1" x14ac:dyDescent="0.25">
      <c r="A1843" s="6">
        <v>911</v>
      </c>
      <c r="B1843" s="5" t="s">
        <v>559</v>
      </c>
      <c r="C1843" s="5" t="s">
        <v>13</v>
      </c>
      <c r="D1843" s="5" t="s">
        <v>257</v>
      </c>
      <c r="E1843" s="5" t="s">
        <v>258</v>
      </c>
      <c r="F1843" s="5" t="s">
        <v>560</v>
      </c>
      <c r="G1843" s="22">
        <v>0</v>
      </c>
      <c r="H1843" s="22">
        <v>0</v>
      </c>
      <c r="I1843" s="22">
        <v>0</v>
      </c>
      <c r="J1843" s="22">
        <v>1.1399999999999999</v>
      </c>
      <c r="K1843" s="22">
        <v>0</v>
      </c>
      <c r="L1843" s="22">
        <v>1.1399999999999999</v>
      </c>
      <c r="M1843" s="10"/>
      <c r="N1843" s="67"/>
      <c r="O1843" s="11"/>
    </row>
    <row r="1844" spans="1:15" x14ac:dyDescent="0.25">
      <c r="A1844" s="6"/>
      <c r="B1844" s="5"/>
      <c r="C1844" s="5"/>
      <c r="D1844" s="5" t="s">
        <v>257</v>
      </c>
      <c r="E1844" s="5" t="s">
        <v>258</v>
      </c>
      <c r="F1844" s="5" t="s">
        <v>560</v>
      </c>
      <c r="G1844" s="14">
        <f t="shared" ref="G1844:L1844" si="463">SUBTOTAL(9,G1842:G1843)</f>
        <v>9.5</v>
      </c>
      <c r="H1844" s="14">
        <f t="shared" si="463"/>
        <v>0</v>
      </c>
      <c r="I1844" s="14">
        <f t="shared" si="463"/>
        <v>0</v>
      </c>
      <c r="J1844" s="14">
        <f t="shared" si="463"/>
        <v>1.1399999999999999</v>
      </c>
      <c r="K1844" s="14">
        <f t="shared" si="463"/>
        <v>-0.19</v>
      </c>
      <c r="L1844" s="14">
        <f t="shared" si="463"/>
        <v>10.450000000000001</v>
      </c>
      <c r="M1844" s="10">
        <v>2565</v>
      </c>
      <c r="N1844" s="69"/>
      <c r="O1844" s="11">
        <f>O1840+1</f>
        <v>447</v>
      </c>
    </row>
    <row r="1845" spans="1:15" x14ac:dyDescent="0.25">
      <c r="A1845" s="10"/>
      <c r="G1845" s="21"/>
      <c r="H1845" s="21"/>
      <c r="I1845" s="21"/>
      <c r="J1845" s="21"/>
      <c r="K1845" s="21"/>
      <c r="L1845" s="21"/>
      <c r="M1845" s="10"/>
      <c r="O1845" s="11"/>
    </row>
    <row r="1846" spans="1:15" s="4" customFormat="1" x14ac:dyDescent="0.25">
      <c r="A1846" s="6">
        <v>912</v>
      </c>
      <c r="B1846" s="5" t="s">
        <v>18</v>
      </c>
      <c r="C1846" s="5" t="s">
        <v>17</v>
      </c>
      <c r="D1846" s="5" t="s">
        <v>257</v>
      </c>
      <c r="E1846" s="5" t="s">
        <v>258</v>
      </c>
      <c r="F1846" s="5" t="s">
        <v>19</v>
      </c>
      <c r="G1846" s="22">
        <v>8.81</v>
      </c>
      <c r="H1846" s="22">
        <v>0</v>
      </c>
      <c r="I1846" s="22">
        <v>0</v>
      </c>
      <c r="J1846" s="22">
        <v>0</v>
      </c>
      <c r="K1846" s="22">
        <v>-7.82</v>
      </c>
      <c r="L1846" s="22">
        <v>0.99</v>
      </c>
      <c r="M1846" s="10"/>
      <c r="N1846" s="67"/>
      <c r="O1846" s="11"/>
    </row>
    <row r="1847" spans="1:15" x14ac:dyDescent="0.25">
      <c r="A1847" s="6"/>
      <c r="B1847" s="5"/>
      <c r="C1847" s="5"/>
      <c r="D1847" s="5" t="s">
        <v>257</v>
      </c>
      <c r="E1847" s="5" t="s">
        <v>258</v>
      </c>
      <c r="F1847" s="5" t="s">
        <v>19</v>
      </c>
      <c r="G1847" s="14">
        <f t="shared" ref="G1847:L1847" si="464">SUBTOTAL(9,G1846:G1846)</f>
        <v>8.81</v>
      </c>
      <c r="H1847" s="14">
        <f t="shared" si="464"/>
        <v>0</v>
      </c>
      <c r="I1847" s="14">
        <f t="shared" si="464"/>
        <v>0</v>
      </c>
      <c r="J1847" s="14">
        <f t="shared" si="464"/>
        <v>0</v>
      </c>
      <c r="K1847" s="14">
        <f t="shared" si="464"/>
        <v>-7.82</v>
      </c>
      <c r="L1847" s="14">
        <f t="shared" si="464"/>
        <v>0.99</v>
      </c>
      <c r="M1847" s="10">
        <v>2566</v>
      </c>
      <c r="N1847" s="69"/>
      <c r="O1847" s="11">
        <f>O1844+1</f>
        <v>448</v>
      </c>
    </row>
    <row r="1848" spans="1:15" x14ac:dyDescent="0.25">
      <c r="A1848" s="10"/>
      <c r="G1848" s="21"/>
      <c r="H1848" s="21"/>
      <c r="I1848" s="21"/>
      <c r="J1848" s="21"/>
      <c r="K1848" s="21"/>
      <c r="L1848" s="21"/>
      <c r="M1848" s="10"/>
      <c r="O1848" s="11"/>
    </row>
    <row r="1849" spans="1:15" s="4" customFormat="1" x14ac:dyDescent="0.25">
      <c r="A1849" s="6">
        <v>913</v>
      </c>
      <c r="B1849" s="5" t="s">
        <v>550</v>
      </c>
      <c r="C1849" s="5" t="s">
        <v>17</v>
      </c>
      <c r="D1849" s="5" t="s">
        <v>257</v>
      </c>
      <c r="E1849" s="5" t="s">
        <v>258</v>
      </c>
      <c r="F1849" s="5" t="s">
        <v>551</v>
      </c>
      <c r="G1849" s="22">
        <v>74218.06</v>
      </c>
      <c r="H1849" s="22">
        <v>0</v>
      </c>
      <c r="I1849" s="22">
        <v>0</v>
      </c>
      <c r="J1849" s="22">
        <v>0</v>
      </c>
      <c r="K1849" s="22">
        <v>-1484.36</v>
      </c>
      <c r="L1849" s="22">
        <v>72733.7</v>
      </c>
      <c r="M1849" s="10"/>
      <c r="N1849" s="67"/>
      <c r="O1849" s="11"/>
    </row>
    <row r="1850" spans="1:15" x14ac:dyDescent="0.25">
      <c r="A1850" s="6">
        <v>914</v>
      </c>
      <c r="B1850" s="5" t="s">
        <v>550</v>
      </c>
      <c r="C1850" s="5" t="s">
        <v>13</v>
      </c>
      <c r="D1850" s="5" t="s">
        <v>257</v>
      </c>
      <c r="E1850" s="5" t="s">
        <v>258</v>
      </c>
      <c r="F1850" s="5" t="s">
        <v>551</v>
      </c>
      <c r="G1850" s="22">
        <v>0</v>
      </c>
      <c r="H1850" s="22">
        <v>0</v>
      </c>
      <c r="I1850" s="22">
        <v>0</v>
      </c>
      <c r="J1850" s="22">
        <v>8789.7199999999993</v>
      </c>
      <c r="K1850" s="22">
        <v>0</v>
      </c>
      <c r="L1850" s="22">
        <v>8789.7199999999993</v>
      </c>
      <c r="M1850" s="10"/>
      <c r="O1850" s="11"/>
    </row>
    <row r="1851" spans="1:15" x14ac:dyDescent="0.25">
      <c r="A1851" s="6"/>
      <c r="B1851" s="5"/>
      <c r="C1851" s="5"/>
      <c r="D1851" s="5" t="s">
        <v>257</v>
      </c>
      <c r="E1851" s="5" t="s">
        <v>258</v>
      </c>
      <c r="F1851" s="5" t="s">
        <v>551</v>
      </c>
      <c r="G1851" s="14">
        <f t="shared" ref="G1851:L1851" si="465">SUBTOTAL(9,G1849:G1850)</f>
        <v>74218.06</v>
      </c>
      <c r="H1851" s="14">
        <f t="shared" si="465"/>
        <v>0</v>
      </c>
      <c r="I1851" s="14">
        <f t="shared" si="465"/>
        <v>0</v>
      </c>
      <c r="J1851" s="14">
        <f t="shared" si="465"/>
        <v>8789.7199999999993</v>
      </c>
      <c r="K1851" s="14">
        <f t="shared" si="465"/>
        <v>-1484.36</v>
      </c>
      <c r="L1851" s="14">
        <f t="shared" si="465"/>
        <v>81523.42</v>
      </c>
      <c r="M1851" s="10">
        <v>2567</v>
      </c>
      <c r="N1851" s="69"/>
      <c r="O1851" s="11">
        <f>O1847+1</f>
        <v>449</v>
      </c>
    </row>
    <row r="1852" spans="1:15" s="4" customFormat="1" x14ac:dyDescent="0.25">
      <c r="A1852" s="10"/>
      <c r="B1852"/>
      <c r="C1852"/>
      <c r="D1852"/>
      <c r="E1852"/>
      <c r="F1852"/>
      <c r="G1852" s="21"/>
      <c r="H1852" s="21"/>
      <c r="I1852" s="21"/>
      <c r="J1852" s="21"/>
      <c r="K1852" s="21"/>
      <c r="L1852" s="21"/>
      <c r="M1852" s="10"/>
      <c r="N1852" s="67"/>
      <c r="O1852" s="11"/>
    </row>
    <row r="1853" spans="1:15" x14ac:dyDescent="0.25">
      <c r="A1853" s="6">
        <v>915</v>
      </c>
      <c r="B1853" s="5" t="s">
        <v>550</v>
      </c>
      <c r="C1853" s="5" t="s">
        <v>17</v>
      </c>
      <c r="D1853" s="5" t="s">
        <v>257</v>
      </c>
      <c r="E1853" s="5" t="s">
        <v>258</v>
      </c>
      <c r="F1853" s="5" t="s">
        <v>552</v>
      </c>
      <c r="G1853" s="22">
        <v>5.34</v>
      </c>
      <c r="H1853" s="22">
        <v>0</v>
      </c>
      <c r="I1853" s="22">
        <v>0</v>
      </c>
      <c r="J1853" s="22">
        <v>0</v>
      </c>
      <c r="K1853" s="22">
        <v>-0.11</v>
      </c>
      <c r="L1853" s="22">
        <v>5.23</v>
      </c>
      <c r="M1853" s="10"/>
      <c r="O1853" s="11"/>
    </row>
    <row r="1854" spans="1:15" x14ac:dyDescent="0.25">
      <c r="A1854" s="6">
        <v>916</v>
      </c>
      <c r="B1854" s="5" t="s">
        <v>550</v>
      </c>
      <c r="C1854" s="5" t="s">
        <v>13</v>
      </c>
      <c r="D1854" s="5" t="s">
        <v>257</v>
      </c>
      <c r="E1854" s="5" t="s">
        <v>258</v>
      </c>
      <c r="F1854" s="5" t="s">
        <v>552</v>
      </c>
      <c r="G1854" s="22">
        <v>0</v>
      </c>
      <c r="H1854" s="22">
        <v>0</v>
      </c>
      <c r="I1854" s="22">
        <v>0</v>
      </c>
      <c r="J1854" s="22">
        <v>0.63</v>
      </c>
      <c r="K1854" s="22">
        <v>0</v>
      </c>
      <c r="L1854" s="22">
        <v>0.63</v>
      </c>
      <c r="M1854" s="10"/>
      <c r="O1854" s="11"/>
    </row>
    <row r="1855" spans="1:15" s="4" customFormat="1" x14ac:dyDescent="0.25">
      <c r="A1855" s="6"/>
      <c r="B1855" s="5"/>
      <c r="C1855" s="5"/>
      <c r="D1855" s="5" t="s">
        <v>257</v>
      </c>
      <c r="E1855" s="5" t="s">
        <v>258</v>
      </c>
      <c r="F1855" s="5" t="s">
        <v>552</v>
      </c>
      <c r="G1855" s="14">
        <f t="shared" ref="G1855:L1855" si="466">SUBTOTAL(9,G1853:G1854)</f>
        <v>5.34</v>
      </c>
      <c r="H1855" s="14">
        <f t="shared" si="466"/>
        <v>0</v>
      </c>
      <c r="I1855" s="14">
        <f t="shared" si="466"/>
        <v>0</v>
      </c>
      <c r="J1855" s="14">
        <f t="shared" si="466"/>
        <v>0.63</v>
      </c>
      <c r="K1855" s="14">
        <f t="shared" si="466"/>
        <v>-0.11</v>
      </c>
      <c r="L1855" s="14">
        <f t="shared" si="466"/>
        <v>5.86</v>
      </c>
      <c r="M1855" s="10">
        <v>2568</v>
      </c>
      <c r="N1855" s="69"/>
      <c r="O1855" s="11">
        <f>O1851+1</f>
        <v>450</v>
      </c>
    </row>
    <row r="1856" spans="1:15" s="4" customFormat="1" x14ac:dyDescent="0.25">
      <c r="A1856" s="10"/>
      <c r="B1856"/>
      <c r="C1856"/>
      <c r="D1856"/>
      <c r="E1856"/>
      <c r="F1856"/>
      <c r="G1856" s="21"/>
      <c r="H1856" s="21"/>
      <c r="I1856" s="21"/>
      <c r="J1856" s="21"/>
      <c r="K1856" s="21"/>
      <c r="L1856" s="21"/>
      <c r="M1856" s="10"/>
      <c r="N1856" s="67"/>
      <c r="O1856" s="11"/>
    </row>
    <row r="1857" spans="1:15" x14ac:dyDescent="0.25">
      <c r="A1857" s="6">
        <v>917</v>
      </c>
      <c r="B1857" s="5" t="s">
        <v>12</v>
      </c>
      <c r="C1857" s="5" t="s">
        <v>13</v>
      </c>
      <c r="D1857" s="5" t="s">
        <v>259</v>
      </c>
      <c r="E1857" s="5" t="s">
        <v>260</v>
      </c>
      <c r="F1857" s="5" t="s">
        <v>16</v>
      </c>
      <c r="G1857" s="22">
        <v>0</v>
      </c>
      <c r="H1857" s="22">
        <v>0</v>
      </c>
      <c r="I1857" s="22">
        <v>0</v>
      </c>
      <c r="J1857" s="22">
        <v>140.44</v>
      </c>
      <c r="K1857" s="22">
        <v>0</v>
      </c>
      <c r="L1857" s="22">
        <v>140.44</v>
      </c>
      <c r="M1857" s="10"/>
      <c r="O1857" s="11"/>
    </row>
    <row r="1858" spans="1:15" x14ac:dyDescent="0.25">
      <c r="A1858" s="6"/>
      <c r="B1858" s="5"/>
      <c r="C1858" s="5"/>
      <c r="D1858" s="5" t="s">
        <v>259</v>
      </c>
      <c r="E1858" s="5" t="s">
        <v>260</v>
      </c>
      <c r="F1858" s="5" t="s">
        <v>16</v>
      </c>
      <c r="G1858" s="14">
        <f t="shared" ref="G1858:L1858" si="467">SUBTOTAL(9,G1857:G1857)</f>
        <v>0</v>
      </c>
      <c r="H1858" s="14">
        <f t="shared" si="467"/>
        <v>0</v>
      </c>
      <c r="I1858" s="14">
        <f t="shared" si="467"/>
        <v>0</v>
      </c>
      <c r="J1858" s="14">
        <f t="shared" si="467"/>
        <v>140.44</v>
      </c>
      <c r="K1858" s="14">
        <f t="shared" si="467"/>
        <v>0</v>
      </c>
      <c r="L1858" s="14">
        <f t="shared" si="467"/>
        <v>140.44</v>
      </c>
      <c r="M1858" s="10">
        <v>2569</v>
      </c>
      <c r="N1858" s="69"/>
      <c r="O1858" s="11">
        <f>O1855+1</f>
        <v>451</v>
      </c>
    </row>
    <row r="1859" spans="1:15" s="4" customFormat="1" x14ac:dyDescent="0.25">
      <c r="A1859" s="10"/>
      <c r="B1859"/>
      <c r="C1859"/>
      <c r="D1859"/>
      <c r="E1859"/>
      <c r="F1859"/>
      <c r="G1859" s="21"/>
      <c r="H1859" s="21"/>
      <c r="I1859" s="21"/>
      <c r="J1859" s="21"/>
      <c r="K1859" s="21"/>
      <c r="L1859" s="21"/>
      <c r="M1859" s="10"/>
      <c r="N1859" s="67"/>
      <c r="O1859" s="11"/>
    </row>
    <row r="1860" spans="1:15" x14ac:dyDescent="0.25">
      <c r="A1860" s="6">
        <v>918</v>
      </c>
      <c r="B1860" s="5" t="s">
        <v>37</v>
      </c>
      <c r="C1860" s="5" t="s">
        <v>13</v>
      </c>
      <c r="D1860" s="5" t="s">
        <v>259</v>
      </c>
      <c r="E1860" s="5" t="s">
        <v>260</v>
      </c>
      <c r="F1860" s="5" t="s">
        <v>38</v>
      </c>
      <c r="G1860" s="22">
        <v>0</v>
      </c>
      <c r="H1860" s="22">
        <v>0</v>
      </c>
      <c r="I1860" s="22">
        <v>0</v>
      </c>
      <c r="J1860" s="22">
        <v>0.72</v>
      </c>
      <c r="K1860" s="22">
        <v>0</v>
      </c>
      <c r="L1860" s="22">
        <v>0.72</v>
      </c>
      <c r="M1860" s="10"/>
      <c r="O1860" s="11"/>
    </row>
    <row r="1861" spans="1:15" x14ac:dyDescent="0.25">
      <c r="A1861" s="6"/>
      <c r="B1861" s="5"/>
      <c r="C1861" s="5"/>
      <c r="D1861" s="5" t="s">
        <v>259</v>
      </c>
      <c r="E1861" s="5" t="s">
        <v>260</v>
      </c>
      <c r="F1861" s="5" t="s">
        <v>38</v>
      </c>
      <c r="G1861" s="14">
        <f t="shared" ref="G1861:L1861" si="468">SUBTOTAL(9,G1860:G1860)</f>
        <v>0</v>
      </c>
      <c r="H1861" s="14">
        <f t="shared" si="468"/>
        <v>0</v>
      </c>
      <c r="I1861" s="14">
        <f t="shared" si="468"/>
        <v>0</v>
      </c>
      <c r="J1861" s="14">
        <f t="shared" si="468"/>
        <v>0.72</v>
      </c>
      <c r="K1861" s="14">
        <f t="shared" si="468"/>
        <v>0</v>
      </c>
      <c r="L1861" s="14">
        <f t="shared" si="468"/>
        <v>0.72</v>
      </c>
      <c r="M1861" s="10">
        <v>2570</v>
      </c>
      <c r="N1861" s="69"/>
      <c r="O1861" s="11">
        <f>O1858+1</f>
        <v>452</v>
      </c>
    </row>
    <row r="1862" spans="1:15" s="4" customFormat="1" x14ac:dyDescent="0.25">
      <c r="A1862" s="10"/>
      <c r="B1862"/>
      <c r="C1862"/>
      <c r="D1862"/>
      <c r="E1862"/>
      <c r="F1862"/>
      <c r="G1862" s="21"/>
      <c r="H1862" s="21"/>
      <c r="I1862" s="21"/>
      <c r="J1862" s="21"/>
      <c r="K1862" s="21"/>
      <c r="L1862" s="21"/>
      <c r="M1862" s="10"/>
      <c r="N1862" s="67"/>
      <c r="O1862" s="11"/>
    </row>
    <row r="1863" spans="1:15" x14ac:dyDescent="0.25">
      <c r="A1863" s="6">
        <v>919</v>
      </c>
      <c r="B1863" s="5" t="s">
        <v>29</v>
      </c>
      <c r="C1863" s="5" t="s">
        <v>13</v>
      </c>
      <c r="D1863" s="5" t="s">
        <v>259</v>
      </c>
      <c r="E1863" s="5" t="s">
        <v>260</v>
      </c>
      <c r="F1863" s="5" t="s">
        <v>30</v>
      </c>
      <c r="G1863" s="22">
        <v>0</v>
      </c>
      <c r="H1863" s="22">
        <v>0</v>
      </c>
      <c r="I1863" s="22">
        <v>0</v>
      </c>
      <c r="J1863" s="22">
        <v>1.36</v>
      </c>
      <c r="K1863" s="22">
        <v>0</v>
      </c>
      <c r="L1863" s="22">
        <v>1.36</v>
      </c>
      <c r="M1863" s="10"/>
      <c r="O1863" s="11"/>
    </row>
    <row r="1864" spans="1:15" x14ac:dyDescent="0.25">
      <c r="A1864" s="6">
        <v>920</v>
      </c>
      <c r="B1864" s="5" t="s">
        <v>29</v>
      </c>
      <c r="C1864" s="5" t="s">
        <v>13</v>
      </c>
      <c r="D1864" s="5" t="s">
        <v>259</v>
      </c>
      <c r="E1864" s="5" t="s">
        <v>260</v>
      </c>
      <c r="F1864" s="5" t="s">
        <v>30</v>
      </c>
      <c r="G1864" s="22">
        <v>0</v>
      </c>
      <c r="H1864" s="22">
        <v>0</v>
      </c>
      <c r="I1864" s="22">
        <v>0</v>
      </c>
      <c r="J1864" s="22">
        <v>4.7300000000000004</v>
      </c>
      <c r="K1864" s="22">
        <v>0</v>
      </c>
      <c r="L1864" s="22">
        <v>4.7300000000000004</v>
      </c>
      <c r="M1864" s="10"/>
      <c r="O1864" s="11"/>
    </row>
    <row r="1865" spans="1:15" s="4" customFormat="1" x14ac:dyDescent="0.25">
      <c r="A1865" s="6"/>
      <c r="B1865" s="5"/>
      <c r="C1865" s="5"/>
      <c r="D1865" s="5" t="s">
        <v>259</v>
      </c>
      <c r="E1865" s="5" t="s">
        <v>260</v>
      </c>
      <c r="F1865" s="5" t="s">
        <v>30</v>
      </c>
      <c r="G1865" s="14">
        <f t="shared" ref="G1865:L1865" si="469">SUBTOTAL(9,G1863:G1864)</f>
        <v>0</v>
      </c>
      <c r="H1865" s="14">
        <f t="shared" si="469"/>
        <v>0</v>
      </c>
      <c r="I1865" s="14">
        <f t="shared" si="469"/>
        <v>0</v>
      </c>
      <c r="J1865" s="14">
        <f t="shared" si="469"/>
        <v>6.0900000000000007</v>
      </c>
      <c r="K1865" s="14">
        <f t="shared" si="469"/>
        <v>0</v>
      </c>
      <c r="L1865" s="14">
        <f t="shared" si="469"/>
        <v>6.0900000000000007</v>
      </c>
      <c r="M1865" s="10">
        <v>2571</v>
      </c>
      <c r="N1865" s="69"/>
      <c r="O1865" s="11">
        <f>O1861+1</f>
        <v>453</v>
      </c>
    </row>
    <row r="1866" spans="1:15" x14ac:dyDescent="0.25">
      <c r="A1866" s="10"/>
      <c r="G1866" s="21"/>
      <c r="H1866" s="21"/>
      <c r="I1866" s="21"/>
      <c r="J1866" s="21"/>
      <c r="K1866" s="21"/>
      <c r="L1866" s="21"/>
      <c r="M1866" s="10"/>
      <c r="O1866" s="11"/>
    </row>
    <row r="1867" spans="1:15" x14ac:dyDescent="0.25">
      <c r="A1867" s="6">
        <v>921</v>
      </c>
      <c r="B1867" s="5" t="s">
        <v>18</v>
      </c>
      <c r="C1867" s="5" t="s">
        <v>17</v>
      </c>
      <c r="D1867" s="5" t="s">
        <v>259</v>
      </c>
      <c r="E1867" s="5" t="s">
        <v>260</v>
      </c>
      <c r="F1867" s="5" t="s">
        <v>19</v>
      </c>
      <c r="G1867" s="22">
        <v>4.71</v>
      </c>
      <c r="H1867" s="22">
        <v>0</v>
      </c>
      <c r="I1867" s="22">
        <v>0</v>
      </c>
      <c r="J1867" s="22">
        <v>0</v>
      </c>
      <c r="K1867" s="22">
        <v>-4.18</v>
      </c>
      <c r="L1867" s="22">
        <v>0.53</v>
      </c>
      <c r="M1867" s="10"/>
      <c r="O1867" s="11"/>
    </row>
    <row r="1868" spans="1:15" s="4" customFormat="1" x14ac:dyDescent="0.25">
      <c r="A1868" s="6"/>
      <c r="B1868" s="5"/>
      <c r="C1868" s="5"/>
      <c r="D1868" s="5" t="s">
        <v>259</v>
      </c>
      <c r="E1868" s="5" t="s">
        <v>260</v>
      </c>
      <c r="F1868" s="5" t="s">
        <v>19</v>
      </c>
      <c r="G1868" s="14">
        <f t="shared" ref="G1868:L1868" si="470">SUBTOTAL(9,G1867:G1867)</f>
        <v>4.71</v>
      </c>
      <c r="H1868" s="14">
        <f t="shared" si="470"/>
        <v>0</v>
      </c>
      <c r="I1868" s="14">
        <f t="shared" si="470"/>
        <v>0</v>
      </c>
      <c r="J1868" s="14">
        <f t="shared" si="470"/>
        <v>0</v>
      </c>
      <c r="K1868" s="14">
        <f t="shared" si="470"/>
        <v>-4.18</v>
      </c>
      <c r="L1868" s="14">
        <f t="shared" si="470"/>
        <v>0.53</v>
      </c>
      <c r="M1868" s="10">
        <v>2572</v>
      </c>
      <c r="N1868" s="69"/>
      <c r="O1868" s="11">
        <f>O1865+1</f>
        <v>454</v>
      </c>
    </row>
    <row r="1869" spans="1:15" x14ac:dyDescent="0.25">
      <c r="A1869" s="10"/>
      <c r="G1869" s="21"/>
      <c r="H1869" s="21"/>
      <c r="I1869" s="21"/>
      <c r="J1869" s="21"/>
      <c r="K1869" s="21"/>
      <c r="L1869" s="21"/>
      <c r="M1869" s="10"/>
      <c r="O1869" s="11"/>
    </row>
    <row r="1870" spans="1:15" x14ac:dyDescent="0.25">
      <c r="A1870" s="6">
        <v>922</v>
      </c>
      <c r="B1870" s="5" t="s">
        <v>22</v>
      </c>
      <c r="C1870" s="5" t="s">
        <v>13</v>
      </c>
      <c r="D1870" s="5" t="s">
        <v>259</v>
      </c>
      <c r="E1870" s="5" t="s">
        <v>260</v>
      </c>
      <c r="F1870" s="5" t="s">
        <v>23</v>
      </c>
      <c r="G1870" s="22">
        <v>0</v>
      </c>
      <c r="H1870" s="22">
        <v>0</v>
      </c>
      <c r="I1870" s="22">
        <v>0</v>
      </c>
      <c r="J1870" s="22">
        <v>535.88</v>
      </c>
      <c r="K1870" s="22">
        <v>0</v>
      </c>
      <c r="L1870" s="22">
        <v>535.88</v>
      </c>
      <c r="M1870" s="10"/>
      <c r="O1870" s="11"/>
    </row>
    <row r="1871" spans="1:15" s="4" customFormat="1" x14ac:dyDescent="0.25">
      <c r="A1871" s="6"/>
      <c r="B1871" s="5"/>
      <c r="C1871" s="5"/>
      <c r="D1871" s="5" t="s">
        <v>259</v>
      </c>
      <c r="E1871" s="5" t="s">
        <v>260</v>
      </c>
      <c r="F1871" s="5" t="s">
        <v>23</v>
      </c>
      <c r="G1871" s="14">
        <f t="shared" ref="G1871:L1871" si="471">SUBTOTAL(9,G1870:G1870)</f>
        <v>0</v>
      </c>
      <c r="H1871" s="14">
        <f t="shared" si="471"/>
        <v>0</v>
      </c>
      <c r="I1871" s="14">
        <f t="shared" si="471"/>
        <v>0</v>
      </c>
      <c r="J1871" s="14">
        <f t="shared" si="471"/>
        <v>535.88</v>
      </c>
      <c r="K1871" s="14">
        <f t="shared" si="471"/>
        <v>0</v>
      </c>
      <c r="L1871" s="14">
        <f t="shared" si="471"/>
        <v>535.88</v>
      </c>
      <c r="M1871" s="10">
        <v>2573</v>
      </c>
      <c r="N1871" s="69"/>
      <c r="O1871" s="11">
        <f>O1868+1</f>
        <v>455</v>
      </c>
    </row>
    <row r="1872" spans="1:15" x14ac:dyDescent="0.25">
      <c r="A1872" s="10"/>
      <c r="G1872" s="21"/>
      <c r="H1872" s="21"/>
      <c r="I1872" s="21"/>
      <c r="J1872" s="21"/>
      <c r="K1872" s="21"/>
      <c r="L1872" s="21"/>
      <c r="M1872" s="10"/>
      <c r="O1872" s="11"/>
    </row>
    <row r="1873" spans="1:15" x14ac:dyDescent="0.25">
      <c r="A1873" s="6">
        <v>923</v>
      </c>
      <c r="B1873" s="5" t="s">
        <v>22</v>
      </c>
      <c r="C1873" s="5" t="s">
        <v>13</v>
      </c>
      <c r="D1873" s="5" t="s">
        <v>259</v>
      </c>
      <c r="E1873" s="5" t="s">
        <v>260</v>
      </c>
      <c r="F1873" s="5" t="s">
        <v>24</v>
      </c>
      <c r="G1873" s="22">
        <v>0</v>
      </c>
      <c r="H1873" s="22">
        <v>0</v>
      </c>
      <c r="I1873" s="22">
        <v>0</v>
      </c>
      <c r="J1873" s="22">
        <v>1.04</v>
      </c>
      <c r="K1873" s="22">
        <v>0</v>
      </c>
      <c r="L1873" s="22">
        <v>1.04</v>
      </c>
      <c r="M1873" s="10"/>
      <c r="O1873" s="11"/>
    </row>
    <row r="1874" spans="1:15" s="4" customFormat="1" x14ac:dyDescent="0.25">
      <c r="A1874" s="6"/>
      <c r="B1874" s="5"/>
      <c r="C1874" s="5"/>
      <c r="D1874" s="5" t="s">
        <v>259</v>
      </c>
      <c r="E1874" s="5" t="s">
        <v>260</v>
      </c>
      <c r="F1874" s="5" t="s">
        <v>24</v>
      </c>
      <c r="G1874" s="14">
        <f t="shared" ref="G1874:L1874" si="472">SUBTOTAL(9,G1873:G1873)</f>
        <v>0</v>
      </c>
      <c r="H1874" s="14">
        <f t="shared" si="472"/>
        <v>0</v>
      </c>
      <c r="I1874" s="14">
        <f t="shared" si="472"/>
        <v>0</v>
      </c>
      <c r="J1874" s="14">
        <f t="shared" si="472"/>
        <v>1.04</v>
      </c>
      <c r="K1874" s="14">
        <f t="shared" si="472"/>
        <v>0</v>
      </c>
      <c r="L1874" s="14">
        <f t="shared" si="472"/>
        <v>1.04</v>
      </c>
      <c r="M1874" s="10">
        <v>2574</v>
      </c>
      <c r="N1874" s="69"/>
      <c r="O1874" s="11">
        <f>O1871+1</f>
        <v>456</v>
      </c>
    </row>
    <row r="1875" spans="1:15" x14ac:dyDescent="0.25">
      <c r="A1875" s="10"/>
      <c r="G1875" s="21"/>
      <c r="H1875" s="21"/>
      <c r="I1875" s="21"/>
      <c r="J1875" s="21"/>
      <c r="K1875" s="21"/>
      <c r="L1875" s="21"/>
      <c r="M1875" s="10"/>
      <c r="O1875" s="11"/>
    </row>
    <row r="1876" spans="1:15" x14ac:dyDescent="0.25">
      <c r="A1876" s="6">
        <v>924</v>
      </c>
      <c r="B1876" s="5" t="s">
        <v>550</v>
      </c>
      <c r="C1876" s="5" t="s">
        <v>17</v>
      </c>
      <c r="D1876" s="5" t="s">
        <v>259</v>
      </c>
      <c r="E1876" s="5" t="s">
        <v>260</v>
      </c>
      <c r="F1876" s="5" t="s">
        <v>551</v>
      </c>
      <c r="G1876" s="22">
        <v>5502.38</v>
      </c>
      <c r="H1876" s="22">
        <v>0</v>
      </c>
      <c r="I1876" s="22">
        <v>0</v>
      </c>
      <c r="J1876" s="22">
        <v>0</v>
      </c>
      <c r="K1876" s="22">
        <v>-110.05</v>
      </c>
      <c r="L1876" s="22">
        <v>5392.33</v>
      </c>
      <c r="M1876" s="10"/>
      <c r="O1876" s="11"/>
    </row>
    <row r="1877" spans="1:15" s="4" customFormat="1" x14ac:dyDescent="0.25">
      <c r="A1877" s="6">
        <v>925</v>
      </c>
      <c r="B1877" s="5" t="s">
        <v>550</v>
      </c>
      <c r="C1877" s="5" t="s">
        <v>49</v>
      </c>
      <c r="D1877" s="5" t="s">
        <v>259</v>
      </c>
      <c r="E1877" s="5" t="s">
        <v>260</v>
      </c>
      <c r="F1877" s="5" t="s">
        <v>551</v>
      </c>
      <c r="G1877" s="22">
        <v>1.72</v>
      </c>
      <c r="H1877" s="22">
        <v>0</v>
      </c>
      <c r="I1877" s="22">
        <v>0</v>
      </c>
      <c r="J1877" s="22">
        <v>0</v>
      </c>
      <c r="K1877" s="22">
        <v>0</v>
      </c>
      <c r="L1877" s="22">
        <v>1.72</v>
      </c>
      <c r="M1877" s="10"/>
      <c r="N1877" s="70">
        <v>1.72</v>
      </c>
      <c r="O1877" s="11"/>
    </row>
    <row r="1878" spans="1:15" x14ac:dyDescent="0.25">
      <c r="A1878" s="6">
        <v>926</v>
      </c>
      <c r="B1878" s="5" t="s">
        <v>550</v>
      </c>
      <c r="C1878" s="5" t="s">
        <v>13</v>
      </c>
      <c r="D1878" s="5" t="s">
        <v>259</v>
      </c>
      <c r="E1878" s="5" t="s">
        <v>260</v>
      </c>
      <c r="F1878" s="5" t="s">
        <v>551</v>
      </c>
      <c r="G1878" s="22">
        <v>0</v>
      </c>
      <c r="H1878" s="22">
        <v>0</v>
      </c>
      <c r="I1878" s="22">
        <v>0</v>
      </c>
      <c r="J1878" s="22">
        <v>5668.1</v>
      </c>
      <c r="K1878" s="22">
        <v>0</v>
      </c>
      <c r="L1878" s="22">
        <v>5668.1</v>
      </c>
      <c r="M1878" s="10"/>
      <c r="O1878" s="11"/>
    </row>
    <row r="1879" spans="1:15" x14ac:dyDescent="0.25">
      <c r="A1879" s="6">
        <v>927</v>
      </c>
      <c r="B1879" s="5" t="s">
        <v>550</v>
      </c>
      <c r="C1879" s="5" t="s">
        <v>17</v>
      </c>
      <c r="D1879" s="5" t="s">
        <v>259</v>
      </c>
      <c r="E1879" s="5" t="s">
        <v>260</v>
      </c>
      <c r="F1879" s="5" t="s">
        <v>551</v>
      </c>
      <c r="G1879" s="22">
        <v>41731.82</v>
      </c>
      <c r="H1879" s="22">
        <v>0</v>
      </c>
      <c r="I1879" s="22">
        <v>0</v>
      </c>
      <c r="J1879" s="22">
        <v>0</v>
      </c>
      <c r="K1879" s="22">
        <v>-834.63</v>
      </c>
      <c r="L1879" s="22">
        <v>40897.19</v>
      </c>
      <c r="M1879" s="10"/>
      <c r="O1879" s="11"/>
    </row>
    <row r="1880" spans="1:15" s="4" customFormat="1" x14ac:dyDescent="0.25">
      <c r="A1880" s="6"/>
      <c r="B1880" s="5"/>
      <c r="C1880" s="5"/>
      <c r="D1880" s="5" t="s">
        <v>259</v>
      </c>
      <c r="E1880" s="5" t="s">
        <v>260</v>
      </c>
      <c r="F1880" s="5" t="s">
        <v>551</v>
      </c>
      <c r="G1880" s="14">
        <f t="shared" ref="G1880:L1880" si="473">SUBTOTAL(9,G1876:G1879)</f>
        <v>47235.92</v>
      </c>
      <c r="H1880" s="14">
        <f t="shared" si="473"/>
        <v>0</v>
      </c>
      <c r="I1880" s="14">
        <f t="shared" si="473"/>
        <v>0</v>
      </c>
      <c r="J1880" s="14">
        <f t="shared" si="473"/>
        <v>5668.1</v>
      </c>
      <c r="K1880" s="14">
        <f t="shared" si="473"/>
        <v>-944.68</v>
      </c>
      <c r="L1880" s="14">
        <f t="shared" si="473"/>
        <v>51959.340000000004</v>
      </c>
      <c r="M1880" s="10">
        <v>2575</v>
      </c>
      <c r="N1880" s="71">
        <f>SUBTOTAL(9,N1876:N1879)</f>
        <v>1.72</v>
      </c>
      <c r="O1880" s="11">
        <f>O1874+1</f>
        <v>457</v>
      </c>
    </row>
    <row r="1881" spans="1:15" x14ac:dyDescent="0.25">
      <c r="A1881" s="10"/>
      <c r="G1881" s="21"/>
      <c r="H1881" s="21"/>
      <c r="I1881" s="21"/>
      <c r="J1881" s="21"/>
      <c r="K1881" s="21"/>
      <c r="L1881" s="21"/>
      <c r="M1881" s="10"/>
      <c r="O1881" s="11"/>
    </row>
    <row r="1882" spans="1:15" x14ac:dyDescent="0.25">
      <c r="A1882" s="6">
        <v>928</v>
      </c>
      <c r="B1882" s="5" t="s">
        <v>550</v>
      </c>
      <c r="C1882" s="5" t="s">
        <v>17</v>
      </c>
      <c r="D1882" s="5" t="s">
        <v>259</v>
      </c>
      <c r="E1882" s="5" t="s">
        <v>260</v>
      </c>
      <c r="F1882" s="5" t="s">
        <v>552</v>
      </c>
      <c r="G1882" s="22">
        <v>0.4</v>
      </c>
      <c r="H1882" s="22">
        <v>0</v>
      </c>
      <c r="I1882" s="22">
        <v>0</v>
      </c>
      <c r="J1882" s="22">
        <v>0</v>
      </c>
      <c r="K1882" s="22">
        <v>-0.01</v>
      </c>
      <c r="L1882" s="22">
        <v>0.39</v>
      </c>
      <c r="M1882" s="10"/>
      <c r="O1882" s="11"/>
    </row>
    <row r="1883" spans="1:15" s="4" customFormat="1" x14ac:dyDescent="0.25">
      <c r="A1883" s="6">
        <v>929</v>
      </c>
      <c r="B1883" s="5" t="s">
        <v>550</v>
      </c>
      <c r="C1883" s="5" t="s">
        <v>13</v>
      </c>
      <c r="D1883" s="5" t="s">
        <v>259</v>
      </c>
      <c r="E1883" s="5" t="s">
        <v>260</v>
      </c>
      <c r="F1883" s="5" t="s">
        <v>552</v>
      </c>
      <c r="G1883" s="22">
        <v>0</v>
      </c>
      <c r="H1883" s="22">
        <v>0</v>
      </c>
      <c r="I1883" s="22">
        <v>0</v>
      </c>
      <c r="J1883" s="22">
        <v>0.41</v>
      </c>
      <c r="K1883" s="22">
        <v>0</v>
      </c>
      <c r="L1883" s="22">
        <v>0.41</v>
      </c>
      <c r="M1883" s="10"/>
      <c r="N1883" s="67"/>
      <c r="O1883" s="11"/>
    </row>
    <row r="1884" spans="1:15" x14ac:dyDescent="0.25">
      <c r="A1884" s="6">
        <v>930</v>
      </c>
      <c r="B1884" s="5" t="s">
        <v>550</v>
      </c>
      <c r="C1884" s="5" t="s">
        <v>17</v>
      </c>
      <c r="D1884" s="5" t="s">
        <v>259</v>
      </c>
      <c r="E1884" s="5" t="s">
        <v>260</v>
      </c>
      <c r="F1884" s="5" t="s">
        <v>552</v>
      </c>
      <c r="G1884" s="22">
        <v>3</v>
      </c>
      <c r="H1884" s="22">
        <v>0</v>
      </c>
      <c r="I1884" s="22">
        <v>0</v>
      </c>
      <c r="J1884" s="22">
        <v>0</v>
      </c>
      <c r="K1884" s="22">
        <v>-0.06</v>
      </c>
      <c r="L1884" s="22">
        <v>2.94</v>
      </c>
      <c r="M1884" s="10"/>
      <c r="O1884" s="11"/>
    </row>
    <row r="1885" spans="1:15" x14ac:dyDescent="0.25">
      <c r="A1885" s="6"/>
      <c r="B1885" s="5"/>
      <c r="C1885" s="5"/>
      <c r="D1885" s="5" t="s">
        <v>259</v>
      </c>
      <c r="E1885" s="5" t="s">
        <v>260</v>
      </c>
      <c r="F1885" s="5" t="s">
        <v>552</v>
      </c>
      <c r="G1885" s="14">
        <f t="shared" ref="G1885:L1885" si="474">SUBTOTAL(9,G1882:G1884)</f>
        <v>3.4</v>
      </c>
      <c r="H1885" s="14">
        <f t="shared" si="474"/>
        <v>0</v>
      </c>
      <c r="I1885" s="14">
        <f t="shared" si="474"/>
        <v>0</v>
      </c>
      <c r="J1885" s="14">
        <f t="shared" si="474"/>
        <v>0.41</v>
      </c>
      <c r="K1885" s="14">
        <f t="shared" si="474"/>
        <v>-6.9999999999999993E-2</v>
      </c>
      <c r="L1885" s="14">
        <f t="shared" si="474"/>
        <v>3.74</v>
      </c>
      <c r="M1885" s="10">
        <v>2576</v>
      </c>
      <c r="N1885" s="69"/>
      <c r="O1885" s="11">
        <f>O1880+1</f>
        <v>458</v>
      </c>
    </row>
    <row r="1886" spans="1:15" s="4" customFormat="1" x14ac:dyDescent="0.25">
      <c r="A1886" s="10"/>
      <c r="B1886"/>
      <c r="C1886"/>
      <c r="D1886"/>
      <c r="E1886"/>
      <c r="F1886"/>
      <c r="G1886" s="21"/>
      <c r="H1886" s="21"/>
      <c r="I1886" s="21"/>
      <c r="J1886" s="21"/>
      <c r="K1886" s="21"/>
      <c r="L1886" s="21"/>
      <c r="M1886" s="10"/>
      <c r="N1886" s="67"/>
      <c r="O1886" s="11"/>
    </row>
    <row r="1887" spans="1:15" x14ac:dyDescent="0.25">
      <c r="A1887" s="6">
        <v>931</v>
      </c>
      <c r="B1887" s="5" t="s">
        <v>18</v>
      </c>
      <c r="C1887" s="5" t="s">
        <v>17</v>
      </c>
      <c r="D1887" s="5" t="s">
        <v>261</v>
      </c>
      <c r="E1887" s="5" t="s">
        <v>262</v>
      </c>
      <c r="F1887" s="5" t="s">
        <v>19</v>
      </c>
      <c r="G1887" s="22">
        <v>0</v>
      </c>
      <c r="H1887" s="22">
        <v>0</v>
      </c>
      <c r="I1887" s="22">
        <v>0.3</v>
      </c>
      <c r="J1887" s="22">
        <v>0</v>
      </c>
      <c r="K1887" s="22">
        <v>-0.04</v>
      </c>
      <c r="L1887" s="22">
        <v>0.26</v>
      </c>
      <c r="M1887" s="10"/>
      <c r="O1887" s="11"/>
    </row>
    <row r="1888" spans="1:15" x14ac:dyDescent="0.25">
      <c r="A1888" s="6"/>
      <c r="B1888" s="5"/>
      <c r="C1888" s="5"/>
      <c r="D1888" s="5" t="s">
        <v>261</v>
      </c>
      <c r="E1888" s="5" t="s">
        <v>262</v>
      </c>
      <c r="F1888" s="5" t="s">
        <v>19</v>
      </c>
      <c r="G1888" s="14">
        <f t="shared" ref="G1888:L1888" si="475">SUBTOTAL(9,G1887:G1887)</f>
        <v>0</v>
      </c>
      <c r="H1888" s="14">
        <f t="shared" si="475"/>
        <v>0</v>
      </c>
      <c r="I1888" s="14">
        <f t="shared" si="475"/>
        <v>0.3</v>
      </c>
      <c r="J1888" s="14">
        <f t="shared" si="475"/>
        <v>0</v>
      </c>
      <c r="K1888" s="14">
        <f t="shared" si="475"/>
        <v>-0.04</v>
      </c>
      <c r="L1888" s="14">
        <f t="shared" si="475"/>
        <v>0.26</v>
      </c>
      <c r="M1888" s="10">
        <v>2577</v>
      </c>
      <c r="N1888" s="69"/>
      <c r="O1888" s="11">
        <f>O1885+1</f>
        <v>459</v>
      </c>
    </row>
    <row r="1889" spans="1:15" s="4" customFormat="1" x14ac:dyDescent="0.25">
      <c r="A1889" s="10"/>
      <c r="B1889"/>
      <c r="C1889"/>
      <c r="D1889"/>
      <c r="E1889"/>
      <c r="F1889"/>
      <c r="G1889" s="21"/>
      <c r="H1889" s="21"/>
      <c r="I1889" s="21"/>
      <c r="J1889" s="21"/>
      <c r="K1889" s="21"/>
      <c r="L1889" s="21"/>
      <c r="M1889" s="10"/>
      <c r="N1889" s="67"/>
      <c r="O1889" s="11"/>
    </row>
    <row r="1890" spans="1:15" x14ac:dyDescent="0.25">
      <c r="A1890" s="6">
        <v>932</v>
      </c>
      <c r="B1890" s="5" t="s">
        <v>550</v>
      </c>
      <c r="C1890" s="5" t="s">
        <v>17</v>
      </c>
      <c r="D1890" s="5" t="s">
        <v>261</v>
      </c>
      <c r="E1890" s="5" t="s">
        <v>262</v>
      </c>
      <c r="F1890" s="5" t="s">
        <v>551</v>
      </c>
      <c r="G1890" s="22">
        <v>0</v>
      </c>
      <c r="H1890" s="22">
        <v>0</v>
      </c>
      <c r="I1890" s="22">
        <v>286.3</v>
      </c>
      <c r="J1890" s="22">
        <v>0</v>
      </c>
      <c r="K1890" s="22">
        <v>-5.73</v>
      </c>
      <c r="L1890" s="22">
        <v>280.57</v>
      </c>
      <c r="M1890" s="10"/>
      <c r="O1890" s="11"/>
    </row>
    <row r="1891" spans="1:15" x14ac:dyDescent="0.25">
      <c r="A1891" s="6">
        <v>933</v>
      </c>
      <c r="B1891" s="5" t="s">
        <v>550</v>
      </c>
      <c r="C1891" s="5" t="s">
        <v>17</v>
      </c>
      <c r="D1891" s="5" t="s">
        <v>261</v>
      </c>
      <c r="E1891" s="5" t="s">
        <v>262</v>
      </c>
      <c r="F1891" s="5" t="s">
        <v>551</v>
      </c>
      <c r="G1891" s="22">
        <v>0</v>
      </c>
      <c r="H1891" s="22">
        <v>0</v>
      </c>
      <c r="I1891" s="22">
        <v>610.70000000000005</v>
      </c>
      <c r="J1891" s="22">
        <v>0</v>
      </c>
      <c r="K1891" s="22">
        <v>-12.21</v>
      </c>
      <c r="L1891" s="22">
        <v>598.49</v>
      </c>
      <c r="M1891" s="10"/>
      <c r="O1891" s="11"/>
    </row>
    <row r="1892" spans="1:15" s="4" customFormat="1" x14ac:dyDescent="0.25">
      <c r="A1892" s="6">
        <v>934</v>
      </c>
      <c r="B1892" s="5" t="s">
        <v>550</v>
      </c>
      <c r="C1892" s="5" t="s">
        <v>49</v>
      </c>
      <c r="D1892" s="5" t="s">
        <v>261</v>
      </c>
      <c r="E1892" s="5" t="s">
        <v>262</v>
      </c>
      <c r="F1892" s="5" t="s">
        <v>551</v>
      </c>
      <c r="G1892" s="22">
        <v>0</v>
      </c>
      <c r="H1892" s="22">
        <v>0</v>
      </c>
      <c r="I1892" s="22">
        <v>0.09</v>
      </c>
      <c r="J1892" s="22">
        <v>0</v>
      </c>
      <c r="K1892" s="22">
        <v>0</v>
      </c>
      <c r="L1892" s="22">
        <v>0.09</v>
      </c>
      <c r="M1892" s="10"/>
      <c r="N1892" s="70">
        <v>0.09</v>
      </c>
      <c r="O1892" s="11"/>
    </row>
    <row r="1893" spans="1:15" s="4" customFormat="1" x14ac:dyDescent="0.25">
      <c r="A1893" s="6">
        <v>935</v>
      </c>
      <c r="B1893" s="5" t="s">
        <v>550</v>
      </c>
      <c r="C1893" s="5" t="s">
        <v>49</v>
      </c>
      <c r="D1893" s="5" t="s">
        <v>261</v>
      </c>
      <c r="E1893" s="5" t="s">
        <v>262</v>
      </c>
      <c r="F1893" s="5" t="s">
        <v>551</v>
      </c>
      <c r="G1893" s="22">
        <v>0</v>
      </c>
      <c r="H1893" s="22">
        <v>0</v>
      </c>
      <c r="I1893" s="22">
        <v>0.19</v>
      </c>
      <c r="J1893" s="22">
        <v>0</v>
      </c>
      <c r="K1893" s="22">
        <v>0</v>
      </c>
      <c r="L1893" s="22">
        <v>0.19</v>
      </c>
      <c r="M1893" s="10"/>
      <c r="N1893" s="70">
        <v>0.19</v>
      </c>
      <c r="O1893" s="11"/>
    </row>
    <row r="1894" spans="1:15" s="4" customFormat="1" x14ac:dyDescent="0.25">
      <c r="A1894" s="6">
        <v>936</v>
      </c>
      <c r="B1894" s="5" t="s">
        <v>550</v>
      </c>
      <c r="C1894" s="5" t="s">
        <v>17</v>
      </c>
      <c r="D1894" s="5" t="s">
        <v>261</v>
      </c>
      <c r="E1894" s="5" t="s">
        <v>262</v>
      </c>
      <c r="F1894" s="5" t="s">
        <v>551</v>
      </c>
      <c r="G1894" s="22">
        <v>0</v>
      </c>
      <c r="H1894" s="22">
        <v>0</v>
      </c>
      <c r="I1894" s="22">
        <v>59.36</v>
      </c>
      <c r="J1894" s="22">
        <v>0</v>
      </c>
      <c r="K1894" s="22">
        <v>-1.19</v>
      </c>
      <c r="L1894" s="22">
        <v>58.17</v>
      </c>
      <c r="M1894" s="10"/>
      <c r="N1894" s="67"/>
      <c r="O1894" s="11"/>
    </row>
    <row r="1895" spans="1:15" x14ac:dyDescent="0.25">
      <c r="A1895" s="6"/>
      <c r="B1895" s="5"/>
      <c r="C1895" s="5"/>
      <c r="D1895" s="5" t="s">
        <v>261</v>
      </c>
      <c r="E1895" s="5" t="s">
        <v>262</v>
      </c>
      <c r="F1895" s="5" t="s">
        <v>551</v>
      </c>
      <c r="G1895" s="14">
        <f t="shared" ref="G1895:L1895" si="476">SUBTOTAL(9,G1890:G1894)</f>
        <v>0</v>
      </c>
      <c r="H1895" s="14">
        <f t="shared" si="476"/>
        <v>0</v>
      </c>
      <c r="I1895" s="14">
        <f t="shared" si="476"/>
        <v>956.6400000000001</v>
      </c>
      <c r="J1895" s="14">
        <f t="shared" si="476"/>
        <v>0</v>
      </c>
      <c r="K1895" s="14">
        <f t="shared" si="476"/>
        <v>-19.130000000000003</v>
      </c>
      <c r="L1895" s="14">
        <f t="shared" si="476"/>
        <v>937.51</v>
      </c>
      <c r="M1895" s="10">
        <v>2578</v>
      </c>
      <c r="N1895" s="71">
        <f>SUBTOTAL(9,N1890:N1894)</f>
        <v>0.28000000000000003</v>
      </c>
      <c r="O1895" s="11">
        <f>O1888+1</f>
        <v>460</v>
      </c>
    </row>
    <row r="1896" spans="1:15" x14ac:dyDescent="0.25">
      <c r="A1896" s="10"/>
      <c r="G1896" s="21"/>
      <c r="H1896" s="21"/>
      <c r="I1896" s="21"/>
      <c r="J1896" s="21"/>
      <c r="K1896" s="21"/>
      <c r="L1896" s="21"/>
      <c r="M1896" s="10"/>
      <c r="O1896" s="11"/>
    </row>
    <row r="1897" spans="1:15" s="4" customFormat="1" x14ac:dyDescent="0.25">
      <c r="A1897" s="6">
        <v>937</v>
      </c>
      <c r="B1897" s="5" t="s">
        <v>550</v>
      </c>
      <c r="C1897" s="5" t="s">
        <v>17</v>
      </c>
      <c r="D1897" s="5" t="s">
        <v>261</v>
      </c>
      <c r="E1897" s="5" t="s">
        <v>262</v>
      </c>
      <c r="F1897" s="5" t="s">
        <v>552</v>
      </c>
      <c r="G1897" s="22">
        <v>0</v>
      </c>
      <c r="H1897" s="22">
        <v>0</v>
      </c>
      <c r="I1897" s="22">
        <v>0.02</v>
      </c>
      <c r="J1897" s="22">
        <v>0</v>
      </c>
      <c r="K1897" s="22">
        <v>0</v>
      </c>
      <c r="L1897" s="22">
        <v>0.02</v>
      </c>
      <c r="M1897" s="10"/>
      <c r="N1897" s="67"/>
      <c r="O1897" s="11"/>
    </row>
    <row r="1898" spans="1:15" x14ac:dyDescent="0.25">
      <c r="A1898" s="6">
        <v>938</v>
      </c>
      <c r="B1898" s="5" t="s">
        <v>550</v>
      </c>
      <c r="C1898" s="5" t="s">
        <v>17</v>
      </c>
      <c r="D1898" s="5" t="s">
        <v>261</v>
      </c>
      <c r="E1898" s="5" t="s">
        <v>262</v>
      </c>
      <c r="F1898" s="5" t="s">
        <v>552</v>
      </c>
      <c r="G1898" s="22">
        <v>0</v>
      </c>
      <c r="H1898" s="22">
        <v>0</v>
      </c>
      <c r="I1898" s="22">
        <v>0.05</v>
      </c>
      <c r="J1898" s="22">
        <v>0</v>
      </c>
      <c r="K1898" s="22">
        <v>0</v>
      </c>
      <c r="L1898" s="22">
        <v>0.05</v>
      </c>
      <c r="M1898" s="10"/>
      <c r="O1898" s="11"/>
    </row>
    <row r="1899" spans="1:15" x14ac:dyDescent="0.25">
      <c r="A1899" s="6">
        <v>939</v>
      </c>
      <c r="B1899" s="5" t="s">
        <v>550</v>
      </c>
      <c r="C1899" s="5" t="s">
        <v>17</v>
      </c>
      <c r="D1899" s="5" t="s">
        <v>261</v>
      </c>
      <c r="E1899" s="5" t="s">
        <v>262</v>
      </c>
      <c r="F1899" s="5" t="s">
        <v>552</v>
      </c>
      <c r="G1899" s="22">
        <v>0</v>
      </c>
      <c r="H1899" s="22">
        <v>0</v>
      </c>
      <c r="I1899" s="22">
        <v>0</v>
      </c>
      <c r="J1899" s="22">
        <v>0</v>
      </c>
      <c r="K1899" s="22">
        <v>0</v>
      </c>
      <c r="L1899" s="22">
        <v>0</v>
      </c>
      <c r="M1899" s="10"/>
      <c r="O1899" s="11"/>
    </row>
    <row r="1900" spans="1:15" s="4" customFormat="1" x14ac:dyDescent="0.25">
      <c r="A1900" s="6"/>
      <c r="B1900" s="5"/>
      <c r="C1900" s="5"/>
      <c r="D1900" s="5" t="s">
        <v>261</v>
      </c>
      <c r="E1900" s="5" t="s">
        <v>262</v>
      </c>
      <c r="F1900" s="5" t="s">
        <v>552</v>
      </c>
      <c r="G1900" s="14">
        <f t="shared" ref="G1900:L1900" si="477">SUBTOTAL(9,G1897:G1899)</f>
        <v>0</v>
      </c>
      <c r="H1900" s="14">
        <f t="shared" si="477"/>
        <v>0</v>
      </c>
      <c r="I1900" s="14">
        <f t="shared" si="477"/>
        <v>7.0000000000000007E-2</v>
      </c>
      <c r="J1900" s="14">
        <f t="shared" si="477"/>
        <v>0</v>
      </c>
      <c r="K1900" s="14">
        <f t="shared" si="477"/>
        <v>0</v>
      </c>
      <c r="L1900" s="14">
        <f t="shared" si="477"/>
        <v>7.0000000000000007E-2</v>
      </c>
      <c r="M1900" s="10">
        <v>2579</v>
      </c>
      <c r="N1900" s="69"/>
      <c r="O1900" s="11">
        <f>O1895+1</f>
        <v>461</v>
      </c>
    </row>
    <row r="1901" spans="1:15" x14ac:dyDescent="0.25">
      <c r="A1901" s="10"/>
      <c r="G1901" s="21"/>
      <c r="H1901" s="21"/>
      <c r="I1901" s="21"/>
      <c r="J1901" s="21"/>
      <c r="K1901" s="21"/>
      <c r="L1901" s="21"/>
      <c r="M1901" s="10"/>
      <c r="O1901" s="11"/>
    </row>
    <row r="1902" spans="1:15" x14ac:dyDescent="0.25">
      <c r="A1902" s="6">
        <v>940</v>
      </c>
      <c r="B1902" s="5" t="s">
        <v>559</v>
      </c>
      <c r="C1902" s="5" t="s">
        <v>17</v>
      </c>
      <c r="D1902" s="5" t="s">
        <v>263</v>
      </c>
      <c r="E1902" s="5" t="s">
        <v>264</v>
      </c>
      <c r="F1902" s="5" t="s">
        <v>560</v>
      </c>
      <c r="G1902" s="22">
        <v>2.09</v>
      </c>
      <c r="H1902" s="22">
        <v>0</v>
      </c>
      <c r="I1902" s="22">
        <v>0</v>
      </c>
      <c r="J1902" s="22">
        <v>0</v>
      </c>
      <c r="K1902" s="22">
        <v>-0.04</v>
      </c>
      <c r="L1902" s="22">
        <v>2.0499999999999998</v>
      </c>
      <c r="M1902" s="10"/>
      <c r="O1902" s="11"/>
    </row>
    <row r="1903" spans="1:15" s="4" customFormat="1" x14ac:dyDescent="0.25">
      <c r="A1903" s="6">
        <v>941</v>
      </c>
      <c r="B1903" s="5" t="s">
        <v>559</v>
      </c>
      <c r="C1903" s="5" t="s">
        <v>13</v>
      </c>
      <c r="D1903" s="5" t="s">
        <v>263</v>
      </c>
      <c r="E1903" s="5" t="s">
        <v>264</v>
      </c>
      <c r="F1903" s="5" t="s">
        <v>560</v>
      </c>
      <c r="G1903" s="22">
        <v>0</v>
      </c>
      <c r="H1903" s="22">
        <v>0</v>
      </c>
      <c r="I1903" s="22">
        <v>0</v>
      </c>
      <c r="J1903" s="22">
        <v>0.25</v>
      </c>
      <c r="K1903" s="22">
        <v>0</v>
      </c>
      <c r="L1903" s="22">
        <v>0.25</v>
      </c>
      <c r="M1903" s="10"/>
      <c r="N1903" s="67"/>
      <c r="O1903" s="11"/>
    </row>
    <row r="1904" spans="1:15" x14ac:dyDescent="0.25">
      <c r="A1904" s="6"/>
      <c r="B1904" s="5"/>
      <c r="C1904" s="5"/>
      <c r="D1904" s="5" t="s">
        <v>263</v>
      </c>
      <c r="E1904" s="5" t="s">
        <v>264</v>
      </c>
      <c r="F1904" s="5" t="s">
        <v>560</v>
      </c>
      <c r="G1904" s="14">
        <f t="shared" ref="G1904:L1904" si="478">SUBTOTAL(9,G1902:G1903)</f>
        <v>2.09</v>
      </c>
      <c r="H1904" s="14">
        <f t="shared" si="478"/>
        <v>0</v>
      </c>
      <c r="I1904" s="14">
        <f t="shared" si="478"/>
        <v>0</v>
      </c>
      <c r="J1904" s="14">
        <f t="shared" si="478"/>
        <v>0.25</v>
      </c>
      <c r="K1904" s="14">
        <f t="shared" si="478"/>
        <v>-0.04</v>
      </c>
      <c r="L1904" s="14">
        <f t="shared" si="478"/>
        <v>2.2999999999999998</v>
      </c>
      <c r="M1904" s="10">
        <v>2580</v>
      </c>
      <c r="N1904" s="69"/>
      <c r="O1904" s="11">
        <f>O1900+1</f>
        <v>462</v>
      </c>
    </row>
    <row r="1905" spans="1:15" x14ac:dyDescent="0.25">
      <c r="A1905" s="10"/>
      <c r="G1905" s="21"/>
      <c r="H1905" s="21"/>
      <c r="I1905" s="21"/>
      <c r="J1905" s="21"/>
      <c r="K1905" s="21"/>
      <c r="L1905" s="21"/>
      <c r="M1905" s="10"/>
      <c r="O1905" s="11"/>
    </row>
    <row r="1906" spans="1:15" s="4" customFormat="1" x14ac:dyDescent="0.25">
      <c r="A1906" s="6">
        <v>942</v>
      </c>
      <c r="B1906" s="5" t="s">
        <v>18</v>
      </c>
      <c r="C1906" s="5" t="s">
        <v>17</v>
      </c>
      <c r="D1906" s="5" t="s">
        <v>263</v>
      </c>
      <c r="E1906" s="5" t="s">
        <v>264</v>
      </c>
      <c r="F1906" s="5" t="s">
        <v>19</v>
      </c>
      <c r="G1906" s="22">
        <v>1.77</v>
      </c>
      <c r="H1906" s="22">
        <v>0</v>
      </c>
      <c r="I1906" s="22">
        <v>0</v>
      </c>
      <c r="J1906" s="22">
        <v>0</v>
      </c>
      <c r="K1906" s="22">
        <v>-1.57</v>
      </c>
      <c r="L1906" s="22">
        <v>0.2</v>
      </c>
      <c r="M1906" s="10"/>
      <c r="N1906" s="67"/>
      <c r="O1906" s="11"/>
    </row>
    <row r="1907" spans="1:15" x14ac:dyDescent="0.25">
      <c r="A1907" s="6"/>
      <c r="B1907" s="5"/>
      <c r="C1907" s="5"/>
      <c r="D1907" s="5" t="s">
        <v>263</v>
      </c>
      <c r="E1907" s="5" t="s">
        <v>264</v>
      </c>
      <c r="F1907" s="5" t="s">
        <v>19</v>
      </c>
      <c r="G1907" s="14">
        <f t="shared" ref="G1907:L1907" si="479">SUBTOTAL(9,G1906:G1906)</f>
        <v>1.77</v>
      </c>
      <c r="H1907" s="14">
        <f t="shared" si="479"/>
        <v>0</v>
      </c>
      <c r="I1907" s="14">
        <f t="shared" si="479"/>
        <v>0</v>
      </c>
      <c r="J1907" s="14">
        <f t="shared" si="479"/>
        <v>0</v>
      </c>
      <c r="K1907" s="14">
        <f t="shared" si="479"/>
        <v>-1.57</v>
      </c>
      <c r="L1907" s="14">
        <f t="shared" si="479"/>
        <v>0.2</v>
      </c>
      <c r="M1907" s="10">
        <v>2581</v>
      </c>
      <c r="N1907" s="69"/>
      <c r="O1907" s="11">
        <f>O1904+1</f>
        <v>463</v>
      </c>
    </row>
    <row r="1908" spans="1:15" x14ac:dyDescent="0.25">
      <c r="A1908" s="10"/>
      <c r="G1908" s="21"/>
      <c r="H1908" s="21"/>
      <c r="I1908" s="21"/>
      <c r="J1908" s="21"/>
      <c r="K1908" s="21"/>
      <c r="L1908" s="21"/>
      <c r="M1908" s="10"/>
      <c r="O1908" s="11"/>
    </row>
    <row r="1909" spans="1:15" s="4" customFormat="1" x14ac:dyDescent="0.25">
      <c r="A1909" s="6">
        <v>943</v>
      </c>
      <c r="B1909" s="5" t="s">
        <v>550</v>
      </c>
      <c r="C1909" s="5" t="s">
        <v>17</v>
      </c>
      <c r="D1909" s="5" t="s">
        <v>263</v>
      </c>
      <c r="E1909" s="5" t="s">
        <v>264</v>
      </c>
      <c r="F1909" s="5" t="s">
        <v>551</v>
      </c>
      <c r="G1909" s="22">
        <v>20191.2</v>
      </c>
      <c r="H1909" s="22">
        <v>0</v>
      </c>
      <c r="I1909" s="22">
        <v>0</v>
      </c>
      <c r="J1909" s="22">
        <v>0</v>
      </c>
      <c r="K1909" s="22">
        <v>-403.82</v>
      </c>
      <c r="L1909" s="22">
        <v>19787.38</v>
      </c>
      <c r="M1909" s="10"/>
      <c r="N1909" s="67"/>
      <c r="O1909" s="11"/>
    </row>
    <row r="1910" spans="1:15" x14ac:dyDescent="0.25">
      <c r="A1910" s="6">
        <v>944</v>
      </c>
      <c r="B1910" s="5" t="s">
        <v>550</v>
      </c>
      <c r="C1910" s="5" t="s">
        <v>13</v>
      </c>
      <c r="D1910" s="5" t="s">
        <v>263</v>
      </c>
      <c r="E1910" s="5" t="s">
        <v>264</v>
      </c>
      <c r="F1910" s="5" t="s">
        <v>551</v>
      </c>
      <c r="G1910" s="22">
        <v>0</v>
      </c>
      <c r="H1910" s="22">
        <v>0</v>
      </c>
      <c r="I1910" s="22">
        <v>0</v>
      </c>
      <c r="J1910" s="22">
        <v>2422.94</v>
      </c>
      <c r="K1910" s="22">
        <v>0</v>
      </c>
      <c r="L1910" s="22">
        <v>2422.94</v>
      </c>
      <c r="M1910" s="10"/>
      <c r="O1910" s="11"/>
    </row>
    <row r="1911" spans="1:15" x14ac:dyDescent="0.25">
      <c r="A1911" s="6"/>
      <c r="B1911" s="5"/>
      <c r="C1911" s="5"/>
      <c r="D1911" s="5" t="s">
        <v>263</v>
      </c>
      <c r="E1911" s="5" t="s">
        <v>264</v>
      </c>
      <c r="F1911" s="5" t="s">
        <v>551</v>
      </c>
      <c r="G1911" s="14">
        <f t="shared" ref="G1911:L1911" si="480">SUBTOTAL(9,G1909:G1910)</f>
        <v>20191.2</v>
      </c>
      <c r="H1911" s="14">
        <f t="shared" si="480"/>
        <v>0</v>
      </c>
      <c r="I1911" s="14">
        <f t="shared" si="480"/>
        <v>0</v>
      </c>
      <c r="J1911" s="14">
        <f t="shared" si="480"/>
        <v>2422.94</v>
      </c>
      <c r="K1911" s="14">
        <f t="shared" si="480"/>
        <v>-403.82</v>
      </c>
      <c r="L1911" s="14">
        <f t="shared" si="480"/>
        <v>22210.32</v>
      </c>
      <c r="M1911" s="10">
        <v>2582</v>
      </c>
      <c r="N1911" s="69"/>
      <c r="O1911" s="11">
        <f>O1907+1</f>
        <v>464</v>
      </c>
    </row>
    <row r="1912" spans="1:15" s="4" customFormat="1" x14ac:dyDescent="0.25">
      <c r="A1912" s="10"/>
      <c r="B1912"/>
      <c r="C1912"/>
      <c r="D1912"/>
      <c r="E1912"/>
      <c r="F1912"/>
      <c r="G1912" s="21"/>
      <c r="H1912" s="21"/>
      <c r="I1912" s="21"/>
      <c r="J1912" s="21"/>
      <c r="K1912" s="21"/>
      <c r="L1912" s="21"/>
      <c r="M1912" s="10"/>
      <c r="N1912" s="67"/>
      <c r="O1912" s="11"/>
    </row>
    <row r="1913" spans="1:15" x14ac:dyDescent="0.25">
      <c r="A1913" s="6">
        <v>945</v>
      </c>
      <c r="B1913" s="5" t="s">
        <v>550</v>
      </c>
      <c r="C1913" s="5" t="s">
        <v>17</v>
      </c>
      <c r="D1913" s="5" t="s">
        <v>263</v>
      </c>
      <c r="E1913" s="5" t="s">
        <v>264</v>
      </c>
      <c r="F1913" s="5" t="s">
        <v>552</v>
      </c>
      <c r="G1913" s="22">
        <v>1.45</v>
      </c>
      <c r="H1913" s="22">
        <v>0</v>
      </c>
      <c r="I1913" s="22">
        <v>0</v>
      </c>
      <c r="J1913" s="22">
        <v>0</v>
      </c>
      <c r="K1913" s="22">
        <v>-0.03</v>
      </c>
      <c r="L1913" s="22">
        <v>1.42</v>
      </c>
      <c r="M1913" s="10"/>
      <c r="O1913" s="11"/>
    </row>
    <row r="1914" spans="1:15" x14ac:dyDescent="0.25">
      <c r="A1914" s="6">
        <v>946</v>
      </c>
      <c r="B1914" s="5" t="s">
        <v>550</v>
      </c>
      <c r="C1914" s="5" t="s">
        <v>13</v>
      </c>
      <c r="D1914" s="5" t="s">
        <v>263</v>
      </c>
      <c r="E1914" s="5" t="s">
        <v>264</v>
      </c>
      <c r="F1914" s="5" t="s">
        <v>552</v>
      </c>
      <c r="G1914" s="22">
        <v>0</v>
      </c>
      <c r="H1914" s="22">
        <v>0</v>
      </c>
      <c r="I1914" s="22">
        <v>0</v>
      </c>
      <c r="J1914" s="22">
        <v>0.17</v>
      </c>
      <c r="K1914" s="22">
        <v>0</v>
      </c>
      <c r="L1914" s="22">
        <v>0.17</v>
      </c>
      <c r="M1914" s="10"/>
      <c r="O1914" s="11"/>
    </row>
    <row r="1915" spans="1:15" s="4" customFormat="1" x14ac:dyDescent="0.25">
      <c r="A1915" s="6"/>
      <c r="B1915" s="5"/>
      <c r="C1915" s="5"/>
      <c r="D1915" s="5" t="s">
        <v>263</v>
      </c>
      <c r="E1915" s="5" t="s">
        <v>264</v>
      </c>
      <c r="F1915" s="5" t="s">
        <v>552</v>
      </c>
      <c r="G1915" s="14">
        <f t="shared" ref="G1915:L1915" si="481">SUBTOTAL(9,G1913:G1914)</f>
        <v>1.45</v>
      </c>
      <c r="H1915" s="14">
        <f t="shared" si="481"/>
        <v>0</v>
      </c>
      <c r="I1915" s="14">
        <f t="shared" si="481"/>
        <v>0</v>
      </c>
      <c r="J1915" s="14">
        <f t="shared" si="481"/>
        <v>0.17</v>
      </c>
      <c r="K1915" s="14">
        <f t="shared" si="481"/>
        <v>-0.03</v>
      </c>
      <c r="L1915" s="14">
        <f t="shared" si="481"/>
        <v>1.5899999999999999</v>
      </c>
      <c r="M1915" s="10">
        <v>2583</v>
      </c>
      <c r="N1915" s="69"/>
      <c r="O1915" s="11">
        <f>O1911+1</f>
        <v>465</v>
      </c>
    </row>
    <row r="1916" spans="1:15" s="4" customFormat="1" x14ac:dyDescent="0.25">
      <c r="A1916" s="10"/>
      <c r="B1916"/>
      <c r="C1916"/>
      <c r="D1916"/>
      <c r="E1916"/>
      <c r="F1916"/>
      <c r="G1916" s="21"/>
      <c r="H1916" s="21"/>
      <c r="I1916" s="21"/>
      <c r="J1916" s="21"/>
      <c r="K1916" s="21"/>
      <c r="L1916" s="21"/>
      <c r="M1916" s="10"/>
      <c r="N1916" s="67"/>
      <c r="O1916" s="11"/>
    </row>
    <row r="1917" spans="1:15" x14ac:dyDescent="0.25">
      <c r="A1917" s="6">
        <v>947</v>
      </c>
      <c r="B1917" s="5" t="s">
        <v>555</v>
      </c>
      <c r="C1917" s="5" t="s">
        <v>17</v>
      </c>
      <c r="D1917" s="5" t="s">
        <v>265</v>
      </c>
      <c r="E1917" s="5" t="s">
        <v>266</v>
      </c>
      <c r="F1917" s="5" t="s">
        <v>556</v>
      </c>
      <c r="G1917" s="22">
        <v>35.520000000000003</v>
      </c>
      <c r="H1917" s="22">
        <v>0</v>
      </c>
      <c r="I1917" s="22">
        <v>0</v>
      </c>
      <c r="J1917" s="22">
        <v>0</v>
      </c>
      <c r="K1917" s="22">
        <v>-0.71</v>
      </c>
      <c r="L1917" s="22">
        <v>34.81</v>
      </c>
      <c r="M1917" s="10"/>
      <c r="O1917" s="11"/>
    </row>
    <row r="1918" spans="1:15" x14ac:dyDescent="0.25">
      <c r="A1918" s="6">
        <v>948</v>
      </c>
      <c r="B1918" s="5" t="s">
        <v>555</v>
      </c>
      <c r="C1918" s="5" t="s">
        <v>13</v>
      </c>
      <c r="D1918" s="5" t="s">
        <v>265</v>
      </c>
      <c r="E1918" s="5" t="s">
        <v>266</v>
      </c>
      <c r="F1918" s="5" t="s">
        <v>556</v>
      </c>
      <c r="G1918" s="22">
        <v>0</v>
      </c>
      <c r="H1918" s="22">
        <v>0</v>
      </c>
      <c r="I1918" s="22">
        <v>0</v>
      </c>
      <c r="J1918" s="22">
        <v>4.26</v>
      </c>
      <c r="K1918" s="22">
        <v>0</v>
      </c>
      <c r="L1918" s="22">
        <v>4.26</v>
      </c>
      <c r="M1918" s="10"/>
      <c r="O1918" s="11"/>
    </row>
    <row r="1919" spans="1:15" s="4" customFormat="1" x14ac:dyDescent="0.25">
      <c r="A1919" s="6"/>
      <c r="B1919" s="5"/>
      <c r="C1919" s="5"/>
      <c r="D1919" s="5" t="s">
        <v>265</v>
      </c>
      <c r="E1919" s="5" t="s">
        <v>266</v>
      </c>
      <c r="F1919" s="5" t="s">
        <v>556</v>
      </c>
      <c r="G1919" s="14">
        <f t="shared" ref="G1919:L1919" si="482">SUBTOTAL(9,G1917:G1918)</f>
        <v>35.520000000000003</v>
      </c>
      <c r="H1919" s="14">
        <f t="shared" si="482"/>
        <v>0</v>
      </c>
      <c r="I1919" s="14">
        <f t="shared" si="482"/>
        <v>0</v>
      </c>
      <c r="J1919" s="14">
        <f t="shared" si="482"/>
        <v>4.26</v>
      </c>
      <c r="K1919" s="14">
        <f t="shared" si="482"/>
        <v>-0.71</v>
      </c>
      <c r="L1919" s="14">
        <f t="shared" si="482"/>
        <v>39.07</v>
      </c>
      <c r="M1919" s="10">
        <v>2584</v>
      </c>
      <c r="N1919" s="69"/>
      <c r="O1919" s="11">
        <f>O1915+1</f>
        <v>466</v>
      </c>
    </row>
    <row r="1920" spans="1:15" s="4" customFormat="1" x14ac:dyDescent="0.25">
      <c r="A1920" s="10"/>
      <c r="B1920"/>
      <c r="C1920"/>
      <c r="D1920"/>
      <c r="E1920"/>
      <c r="F1920"/>
      <c r="G1920" s="21"/>
      <c r="H1920" s="21"/>
      <c r="I1920" s="21"/>
      <c r="J1920" s="21"/>
      <c r="K1920" s="21"/>
      <c r="L1920" s="21"/>
      <c r="M1920" s="10"/>
      <c r="N1920" s="67"/>
      <c r="O1920" s="11"/>
    </row>
    <row r="1921" spans="1:15" x14ac:dyDescent="0.25">
      <c r="A1921" s="6">
        <v>949</v>
      </c>
      <c r="B1921" s="5" t="s">
        <v>557</v>
      </c>
      <c r="C1921" s="5" t="s">
        <v>17</v>
      </c>
      <c r="D1921" s="5" t="s">
        <v>265</v>
      </c>
      <c r="E1921" s="5" t="s">
        <v>266</v>
      </c>
      <c r="F1921" s="5" t="s">
        <v>558</v>
      </c>
      <c r="G1921" s="22">
        <v>27.48</v>
      </c>
      <c r="H1921" s="22">
        <v>0</v>
      </c>
      <c r="I1921" s="22">
        <v>0</v>
      </c>
      <c r="J1921" s="22">
        <v>0</v>
      </c>
      <c r="K1921" s="22">
        <v>-0.55000000000000004</v>
      </c>
      <c r="L1921" s="22">
        <v>26.93</v>
      </c>
      <c r="M1921" s="10"/>
      <c r="O1921" s="11"/>
    </row>
    <row r="1922" spans="1:15" x14ac:dyDescent="0.25">
      <c r="A1922" s="6">
        <v>950</v>
      </c>
      <c r="B1922" s="5" t="s">
        <v>557</v>
      </c>
      <c r="C1922" s="5" t="s">
        <v>13</v>
      </c>
      <c r="D1922" s="5" t="s">
        <v>265</v>
      </c>
      <c r="E1922" s="5" t="s">
        <v>266</v>
      </c>
      <c r="F1922" s="5" t="s">
        <v>558</v>
      </c>
      <c r="G1922" s="22">
        <v>0</v>
      </c>
      <c r="H1922" s="22">
        <v>0</v>
      </c>
      <c r="I1922" s="22">
        <v>0</v>
      </c>
      <c r="J1922" s="22">
        <v>3.3</v>
      </c>
      <c r="K1922" s="22">
        <v>0</v>
      </c>
      <c r="L1922" s="22">
        <v>3.3</v>
      </c>
      <c r="M1922" s="10"/>
      <c r="O1922" s="11"/>
    </row>
    <row r="1923" spans="1:15" s="4" customFormat="1" x14ac:dyDescent="0.25">
      <c r="A1923" s="6"/>
      <c r="B1923" s="5"/>
      <c r="C1923" s="5"/>
      <c r="D1923" s="5" t="s">
        <v>265</v>
      </c>
      <c r="E1923" s="5" t="s">
        <v>266</v>
      </c>
      <c r="F1923" s="5" t="s">
        <v>558</v>
      </c>
      <c r="G1923" s="14">
        <f t="shared" ref="G1923:L1923" si="483">SUBTOTAL(9,G1921:G1922)</f>
        <v>27.48</v>
      </c>
      <c r="H1923" s="14">
        <f t="shared" si="483"/>
        <v>0</v>
      </c>
      <c r="I1923" s="14">
        <f t="shared" si="483"/>
        <v>0</v>
      </c>
      <c r="J1923" s="14">
        <f t="shared" si="483"/>
        <v>3.3</v>
      </c>
      <c r="K1923" s="14">
        <f t="shared" si="483"/>
        <v>-0.55000000000000004</v>
      </c>
      <c r="L1923" s="14">
        <f t="shared" si="483"/>
        <v>30.23</v>
      </c>
      <c r="M1923" s="10">
        <v>2585</v>
      </c>
      <c r="N1923" s="69"/>
      <c r="O1923" s="11">
        <f>O1919+1</f>
        <v>467</v>
      </c>
    </row>
    <row r="1924" spans="1:15" s="4" customFormat="1" x14ac:dyDescent="0.25">
      <c r="A1924" s="10"/>
      <c r="B1924"/>
      <c r="C1924"/>
      <c r="D1924"/>
      <c r="E1924"/>
      <c r="F1924"/>
      <c r="G1924" s="21"/>
      <c r="H1924" s="21"/>
      <c r="I1924" s="21"/>
      <c r="J1924" s="21"/>
      <c r="K1924" s="21"/>
      <c r="L1924" s="21"/>
      <c r="M1924" s="10"/>
      <c r="N1924" s="67"/>
      <c r="O1924" s="11"/>
    </row>
    <row r="1925" spans="1:15" x14ac:dyDescent="0.25">
      <c r="A1925" s="6">
        <v>951</v>
      </c>
      <c r="B1925" s="5" t="s">
        <v>18</v>
      </c>
      <c r="C1925" s="5" t="s">
        <v>17</v>
      </c>
      <c r="D1925" s="5" t="s">
        <v>265</v>
      </c>
      <c r="E1925" s="5" t="s">
        <v>266</v>
      </c>
      <c r="F1925" s="5" t="s">
        <v>19</v>
      </c>
      <c r="G1925" s="22">
        <v>0.05</v>
      </c>
      <c r="H1925" s="22">
        <v>0</v>
      </c>
      <c r="I1925" s="22">
        <v>0</v>
      </c>
      <c r="J1925" s="22">
        <v>0</v>
      </c>
      <c r="K1925" s="22">
        <v>-0.05</v>
      </c>
      <c r="L1925" s="22">
        <v>0</v>
      </c>
      <c r="M1925" s="10"/>
      <c r="O1925" s="11"/>
    </row>
    <row r="1926" spans="1:15" x14ac:dyDescent="0.25">
      <c r="A1926" s="18"/>
      <c r="B1926" s="19"/>
      <c r="C1926" s="19"/>
      <c r="D1926" s="5" t="s">
        <v>265</v>
      </c>
      <c r="E1926" s="5" t="s">
        <v>266</v>
      </c>
      <c r="F1926" s="5" t="s">
        <v>19</v>
      </c>
      <c r="G1926" s="14">
        <f t="shared" ref="G1926:L1926" si="484">SUBTOTAL(9,G1925:G1925)</f>
        <v>0.05</v>
      </c>
      <c r="H1926" s="14">
        <f t="shared" si="484"/>
        <v>0</v>
      </c>
      <c r="I1926" s="14">
        <f t="shared" si="484"/>
        <v>0</v>
      </c>
      <c r="J1926" s="14">
        <f t="shared" si="484"/>
        <v>0</v>
      </c>
      <c r="K1926" s="14">
        <f t="shared" si="484"/>
        <v>-0.05</v>
      </c>
      <c r="L1926" s="14">
        <f t="shared" si="484"/>
        <v>0</v>
      </c>
      <c r="M1926" s="15">
        <v>2586</v>
      </c>
      <c r="O1926" s="11">
        <f>O1923+1</f>
        <v>468</v>
      </c>
    </row>
    <row r="1927" spans="1:15" s="4" customFormat="1" x14ac:dyDescent="0.25">
      <c r="A1927" s="10"/>
      <c r="B1927"/>
      <c r="C1927"/>
      <c r="D1927"/>
      <c r="E1927"/>
      <c r="F1927"/>
      <c r="G1927" s="21"/>
      <c r="H1927" s="21"/>
      <c r="I1927" s="21"/>
      <c r="J1927" s="21"/>
      <c r="K1927" s="21"/>
      <c r="L1927" s="21"/>
      <c r="M1927" s="10"/>
      <c r="N1927" s="67"/>
      <c r="O1927" s="11"/>
    </row>
    <row r="1928" spans="1:15" s="4" customFormat="1" x14ac:dyDescent="0.25">
      <c r="A1928" s="6">
        <v>952</v>
      </c>
      <c r="B1928" s="5" t="s">
        <v>550</v>
      </c>
      <c r="C1928" s="5" t="s">
        <v>17</v>
      </c>
      <c r="D1928" s="5" t="s">
        <v>265</v>
      </c>
      <c r="E1928" s="5" t="s">
        <v>266</v>
      </c>
      <c r="F1928" s="5" t="s">
        <v>551</v>
      </c>
      <c r="G1928" s="22">
        <v>2571.15</v>
      </c>
      <c r="H1928" s="22">
        <v>0</v>
      </c>
      <c r="I1928" s="22">
        <v>0</v>
      </c>
      <c r="J1928" s="22">
        <v>0</v>
      </c>
      <c r="K1928" s="22">
        <v>-51.42</v>
      </c>
      <c r="L1928" s="22">
        <v>2519.73</v>
      </c>
      <c r="M1928" s="10"/>
      <c r="N1928" s="67"/>
      <c r="O1928" s="11"/>
    </row>
    <row r="1929" spans="1:15" x14ac:dyDescent="0.25">
      <c r="A1929" s="6">
        <v>953</v>
      </c>
      <c r="B1929" s="5" t="s">
        <v>550</v>
      </c>
      <c r="C1929" s="5" t="s">
        <v>17</v>
      </c>
      <c r="D1929" s="5" t="s">
        <v>265</v>
      </c>
      <c r="E1929" s="5" t="s">
        <v>266</v>
      </c>
      <c r="F1929" s="5" t="s">
        <v>551</v>
      </c>
      <c r="G1929" s="22">
        <v>2436.98</v>
      </c>
      <c r="H1929" s="22">
        <v>0</v>
      </c>
      <c r="I1929" s="22">
        <v>0</v>
      </c>
      <c r="J1929" s="22">
        <v>0</v>
      </c>
      <c r="K1929" s="22">
        <v>-48.74</v>
      </c>
      <c r="L1929" s="22">
        <v>2388.2399999999998</v>
      </c>
      <c r="M1929" s="10"/>
      <c r="O1929" s="11"/>
    </row>
    <row r="1930" spans="1:15" x14ac:dyDescent="0.25">
      <c r="A1930" s="6">
        <v>954</v>
      </c>
      <c r="B1930" s="5" t="s">
        <v>550</v>
      </c>
      <c r="C1930" s="5" t="s">
        <v>13</v>
      </c>
      <c r="D1930" s="5" t="s">
        <v>265</v>
      </c>
      <c r="E1930" s="5" t="s">
        <v>266</v>
      </c>
      <c r="F1930" s="5" t="s">
        <v>551</v>
      </c>
      <c r="G1930" s="22">
        <v>0</v>
      </c>
      <c r="H1930" s="22">
        <v>0</v>
      </c>
      <c r="I1930" s="22">
        <v>0</v>
      </c>
      <c r="J1930" s="22">
        <v>308.54000000000002</v>
      </c>
      <c r="K1930" s="22">
        <v>0</v>
      </c>
      <c r="L1930" s="22">
        <v>308.54000000000002</v>
      </c>
      <c r="M1930" s="10"/>
      <c r="O1930" s="11"/>
    </row>
    <row r="1931" spans="1:15" s="4" customFormat="1" x14ac:dyDescent="0.25">
      <c r="A1931" s="6">
        <v>955</v>
      </c>
      <c r="B1931" s="5" t="s">
        <v>550</v>
      </c>
      <c r="C1931" s="5" t="s">
        <v>13</v>
      </c>
      <c r="D1931" s="5" t="s">
        <v>265</v>
      </c>
      <c r="E1931" s="5" t="s">
        <v>266</v>
      </c>
      <c r="F1931" s="5" t="s">
        <v>551</v>
      </c>
      <c r="G1931" s="22">
        <v>0</v>
      </c>
      <c r="H1931" s="22">
        <v>0</v>
      </c>
      <c r="I1931" s="22">
        <v>0</v>
      </c>
      <c r="J1931" s="22">
        <v>292.44</v>
      </c>
      <c r="K1931" s="22">
        <v>0</v>
      </c>
      <c r="L1931" s="22">
        <v>292.44</v>
      </c>
      <c r="M1931" s="10"/>
      <c r="N1931" s="67"/>
      <c r="O1931" s="11"/>
    </row>
    <row r="1932" spans="1:15" s="4" customFormat="1" x14ac:dyDescent="0.25">
      <c r="A1932" s="6"/>
      <c r="B1932" s="5"/>
      <c r="C1932" s="5"/>
      <c r="D1932" s="5" t="s">
        <v>265</v>
      </c>
      <c r="E1932" s="5" t="s">
        <v>266</v>
      </c>
      <c r="F1932" s="5" t="s">
        <v>551</v>
      </c>
      <c r="G1932" s="14">
        <f t="shared" ref="G1932:L1932" si="485">SUBTOTAL(9,G1928:G1931)</f>
        <v>5008.13</v>
      </c>
      <c r="H1932" s="14">
        <f t="shared" si="485"/>
        <v>0</v>
      </c>
      <c r="I1932" s="14">
        <f t="shared" si="485"/>
        <v>0</v>
      </c>
      <c r="J1932" s="14">
        <f t="shared" si="485"/>
        <v>600.98</v>
      </c>
      <c r="K1932" s="14">
        <f t="shared" si="485"/>
        <v>-100.16</v>
      </c>
      <c r="L1932" s="14">
        <f t="shared" si="485"/>
        <v>5508.9499999999989</v>
      </c>
      <c r="M1932" s="10">
        <v>2587</v>
      </c>
      <c r="N1932" s="69"/>
      <c r="O1932" s="11">
        <f>O1926+1</f>
        <v>469</v>
      </c>
    </row>
    <row r="1933" spans="1:15" x14ac:dyDescent="0.25">
      <c r="A1933" s="10"/>
      <c r="G1933" s="21"/>
      <c r="H1933" s="21"/>
      <c r="I1933" s="21"/>
      <c r="J1933" s="21"/>
      <c r="K1933" s="21"/>
      <c r="L1933" s="21"/>
      <c r="M1933" s="10"/>
      <c r="O1933" s="11"/>
    </row>
    <row r="1934" spans="1:15" x14ac:dyDescent="0.25">
      <c r="A1934" s="6">
        <v>956</v>
      </c>
      <c r="B1934" s="5" t="s">
        <v>550</v>
      </c>
      <c r="C1934" s="5" t="s">
        <v>17</v>
      </c>
      <c r="D1934" s="5" t="s">
        <v>265</v>
      </c>
      <c r="E1934" s="5" t="s">
        <v>266</v>
      </c>
      <c r="F1934" s="5" t="s">
        <v>552</v>
      </c>
      <c r="G1934" s="22">
        <v>0.18</v>
      </c>
      <c r="H1934" s="22">
        <v>0</v>
      </c>
      <c r="I1934" s="22">
        <v>0</v>
      </c>
      <c r="J1934" s="22">
        <v>0</v>
      </c>
      <c r="K1934" s="22">
        <v>0</v>
      </c>
      <c r="L1934" s="22">
        <v>0.18</v>
      </c>
      <c r="M1934" s="10"/>
      <c r="O1934" s="11"/>
    </row>
    <row r="1935" spans="1:15" s="4" customFormat="1" x14ac:dyDescent="0.25">
      <c r="A1935" s="6">
        <v>957</v>
      </c>
      <c r="B1935" s="5" t="s">
        <v>550</v>
      </c>
      <c r="C1935" s="5" t="s">
        <v>17</v>
      </c>
      <c r="D1935" s="5" t="s">
        <v>265</v>
      </c>
      <c r="E1935" s="5" t="s">
        <v>266</v>
      </c>
      <c r="F1935" s="5" t="s">
        <v>552</v>
      </c>
      <c r="G1935" s="22">
        <v>0.18</v>
      </c>
      <c r="H1935" s="22">
        <v>0</v>
      </c>
      <c r="I1935" s="22">
        <v>0</v>
      </c>
      <c r="J1935" s="22">
        <v>0</v>
      </c>
      <c r="K1935" s="22">
        <v>0</v>
      </c>
      <c r="L1935" s="22">
        <v>0.18</v>
      </c>
      <c r="M1935" s="10"/>
      <c r="N1935" s="67"/>
      <c r="O1935" s="11"/>
    </row>
    <row r="1936" spans="1:15" x14ac:dyDescent="0.25">
      <c r="A1936" s="6">
        <v>958</v>
      </c>
      <c r="B1936" s="5" t="s">
        <v>550</v>
      </c>
      <c r="C1936" s="5" t="s">
        <v>13</v>
      </c>
      <c r="D1936" s="5" t="s">
        <v>265</v>
      </c>
      <c r="E1936" s="5" t="s">
        <v>266</v>
      </c>
      <c r="F1936" s="5" t="s">
        <v>552</v>
      </c>
      <c r="G1936" s="22">
        <v>0</v>
      </c>
      <c r="H1936" s="22">
        <v>0</v>
      </c>
      <c r="I1936" s="22">
        <v>0</v>
      </c>
      <c r="J1936" s="22">
        <v>0.02</v>
      </c>
      <c r="K1936" s="22">
        <v>0</v>
      </c>
      <c r="L1936" s="22">
        <v>0.02</v>
      </c>
      <c r="M1936" s="10"/>
      <c r="O1936" s="11"/>
    </row>
    <row r="1937" spans="1:15" x14ac:dyDescent="0.25">
      <c r="A1937" s="6">
        <v>959</v>
      </c>
      <c r="B1937" s="5" t="s">
        <v>550</v>
      </c>
      <c r="C1937" s="5" t="s">
        <v>13</v>
      </c>
      <c r="D1937" s="5" t="s">
        <v>265</v>
      </c>
      <c r="E1937" s="5" t="s">
        <v>266</v>
      </c>
      <c r="F1937" s="5" t="s">
        <v>552</v>
      </c>
      <c r="G1937" s="22">
        <v>0</v>
      </c>
      <c r="H1937" s="22">
        <v>0</v>
      </c>
      <c r="I1937" s="22">
        <v>0</v>
      </c>
      <c r="J1937" s="22">
        <v>0.02</v>
      </c>
      <c r="K1937" s="22">
        <v>0</v>
      </c>
      <c r="L1937" s="22">
        <v>0.02</v>
      </c>
      <c r="M1937" s="10"/>
      <c r="O1937" s="11"/>
    </row>
    <row r="1938" spans="1:15" s="4" customFormat="1" x14ac:dyDescent="0.25">
      <c r="A1938" s="6"/>
      <c r="B1938" s="5"/>
      <c r="C1938" s="5"/>
      <c r="D1938" s="5" t="s">
        <v>265</v>
      </c>
      <c r="E1938" s="5" t="s">
        <v>266</v>
      </c>
      <c r="F1938" s="5" t="s">
        <v>552</v>
      </c>
      <c r="G1938" s="14">
        <f t="shared" ref="G1938:L1938" si="486">SUBTOTAL(9,G1934:G1937)</f>
        <v>0.36</v>
      </c>
      <c r="H1938" s="14">
        <f t="shared" si="486"/>
        <v>0</v>
      </c>
      <c r="I1938" s="14">
        <f t="shared" si="486"/>
        <v>0</v>
      </c>
      <c r="J1938" s="14">
        <f t="shared" si="486"/>
        <v>0.04</v>
      </c>
      <c r="K1938" s="14">
        <f t="shared" si="486"/>
        <v>0</v>
      </c>
      <c r="L1938" s="14">
        <f t="shared" si="486"/>
        <v>0.4</v>
      </c>
      <c r="M1938" s="10">
        <v>2588</v>
      </c>
      <c r="N1938" s="69"/>
      <c r="O1938" s="11">
        <f>O1932+1</f>
        <v>470</v>
      </c>
    </row>
    <row r="1939" spans="1:15" x14ac:dyDescent="0.25">
      <c r="A1939" s="10"/>
      <c r="G1939" s="21"/>
      <c r="H1939" s="21"/>
      <c r="I1939" s="21"/>
      <c r="J1939" s="21"/>
      <c r="K1939" s="21"/>
      <c r="L1939" s="21"/>
      <c r="M1939" s="10"/>
      <c r="O1939" s="11"/>
    </row>
    <row r="1940" spans="1:15" x14ac:dyDescent="0.25">
      <c r="A1940" s="6">
        <v>960</v>
      </c>
      <c r="B1940" s="5" t="s">
        <v>18</v>
      </c>
      <c r="C1940" s="5" t="s">
        <v>17</v>
      </c>
      <c r="D1940" s="5" t="s">
        <v>267</v>
      </c>
      <c r="E1940" s="5" t="s">
        <v>268</v>
      </c>
      <c r="F1940" s="5" t="s">
        <v>19</v>
      </c>
      <c r="G1940" s="22">
        <v>0.05</v>
      </c>
      <c r="H1940" s="22">
        <v>0</v>
      </c>
      <c r="I1940" s="22">
        <v>0</v>
      </c>
      <c r="J1940" s="22">
        <v>0</v>
      </c>
      <c r="K1940" s="22">
        <v>-0.04</v>
      </c>
      <c r="L1940" s="22">
        <v>0.01</v>
      </c>
      <c r="M1940" s="10"/>
      <c r="O1940" s="11"/>
    </row>
    <row r="1941" spans="1:15" s="4" customFormat="1" x14ac:dyDescent="0.25">
      <c r="A1941" s="6"/>
      <c r="B1941" s="5"/>
      <c r="C1941" s="5"/>
      <c r="D1941" s="5" t="s">
        <v>267</v>
      </c>
      <c r="E1941" s="5" t="s">
        <v>268</v>
      </c>
      <c r="F1941" s="5" t="s">
        <v>19</v>
      </c>
      <c r="G1941" s="14">
        <f t="shared" ref="G1941:L1941" si="487">SUBTOTAL(9,G1940:G1940)</f>
        <v>0.05</v>
      </c>
      <c r="H1941" s="14">
        <f t="shared" si="487"/>
        <v>0</v>
      </c>
      <c r="I1941" s="14">
        <f t="shared" si="487"/>
        <v>0</v>
      </c>
      <c r="J1941" s="14">
        <f t="shared" si="487"/>
        <v>0</v>
      </c>
      <c r="K1941" s="14">
        <f t="shared" si="487"/>
        <v>-0.04</v>
      </c>
      <c r="L1941" s="14">
        <f t="shared" si="487"/>
        <v>0.01</v>
      </c>
      <c r="M1941" s="10">
        <v>2589</v>
      </c>
      <c r="N1941" s="69"/>
      <c r="O1941" s="11">
        <f>O1938+1</f>
        <v>471</v>
      </c>
    </row>
    <row r="1942" spans="1:15" s="4" customFormat="1" x14ac:dyDescent="0.25">
      <c r="A1942" s="10"/>
      <c r="B1942"/>
      <c r="C1942"/>
      <c r="D1942"/>
      <c r="E1942"/>
      <c r="F1942"/>
      <c r="G1942" s="21"/>
      <c r="H1942" s="21"/>
      <c r="I1942" s="21"/>
      <c r="J1942" s="21"/>
      <c r="K1942" s="21"/>
      <c r="L1942" s="21"/>
      <c r="M1942" s="10"/>
      <c r="N1942" s="67"/>
      <c r="O1942" s="11"/>
    </row>
    <row r="1943" spans="1:15" x14ac:dyDescent="0.25">
      <c r="A1943" s="6">
        <v>961</v>
      </c>
      <c r="B1943" s="5" t="s">
        <v>550</v>
      </c>
      <c r="C1943" s="5" t="s">
        <v>17</v>
      </c>
      <c r="D1943" s="5" t="s">
        <v>267</v>
      </c>
      <c r="E1943" s="5" t="s">
        <v>268</v>
      </c>
      <c r="F1943" s="5" t="s">
        <v>551</v>
      </c>
      <c r="G1943" s="22">
        <v>1492.73</v>
      </c>
      <c r="H1943" s="22">
        <v>0</v>
      </c>
      <c r="I1943" s="22">
        <v>0</v>
      </c>
      <c r="J1943" s="22">
        <v>0</v>
      </c>
      <c r="K1943" s="22">
        <v>-29.85</v>
      </c>
      <c r="L1943" s="22">
        <v>1462.88</v>
      </c>
      <c r="M1943" s="10"/>
      <c r="O1943" s="11"/>
    </row>
    <row r="1944" spans="1:15" x14ac:dyDescent="0.25">
      <c r="A1944" s="6">
        <v>962</v>
      </c>
      <c r="B1944" s="5" t="s">
        <v>550</v>
      </c>
      <c r="C1944" s="5" t="s">
        <v>13</v>
      </c>
      <c r="D1944" s="5" t="s">
        <v>267</v>
      </c>
      <c r="E1944" s="5" t="s">
        <v>268</v>
      </c>
      <c r="F1944" s="5" t="s">
        <v>551</v>
      </c>
      <c r="G1944" s="22">
        <v>0</v>
      </c>
      <c r="H1944" s="22">
        <v>0</v>
      </c>
      <c r="I1944" s="22">
        <v>0</v>
      </c>
      <c r="J1944" s="22">
        <v>179.13</v>
      </c>
      <c r="K1944" s="22">
        <v>0</v>
      </c>
      <c r="L1944" s="22">
        <v>179.13</v>
      </c>
      <c r="M1944" s="10"/>
      <c r="O1944" s="11"/>
    </row>
    <row r="1945" spans="1:15" s="4" customFormat="1" x14ac:dyDescent="0.25">
      <c r="A1945" s="6"/>
      <c r="B1945" s="5"/>
      <c r="C1945" s="5"/>
      <c r="D1945" s="5" t="s">
        <v>267</v>
      </c>
      <c r="E1945" s="5" t="s">
        <v>268</v>
      </c>
      <c r="F1945" s="5" t="s">
        <v>551</v>
      </c>
      <c r="G1945" s="14">
        <f t="shared" ref="G1945:L1945" si="488">SUBTOTAL(9,G1943:G1944)</f>
        <v>1492.73</v>
      </c>
      <c r="H1945" s="14">
        <f t="shared" si="488"/>
        <v>0</v>
      </c>
      <c r="I1945" s="14">
        <f t="shared" si="488"/>
        <v>0</v>
      </c>
      <c r="J1945" s="14">
        <f t="shared" si="488"/>
        <v>179.13</v>
      </c>
      <c r="K1945" s="14">
        <f t="shared" si="488"/>
        <v>-29.85</v>
      </c>
      <c r="L1945" s="14">
        <f t="shared" si="488"/>
        <v>1642.0100000000002</v>
      </c>
      <c r="M1945" s="10">
        <v>2590</v>
      </c>
      <c r="N1945" s="69"/>
      <c r="O1945" s="11">
        <f>O1941+1</f>
        <v>472</v>
      </c>
    </row>
    <row r="1946" spans="1:15" s="4" customFormat="1" x14ac:dyDescent="0.25">
      <c r="A1946" s="10"/>
      <c r="B1946"/>
      <c r="C1946"/>
      <c r="D1946"/>
      <c r="E1946"/>
      <c r="F1946"/>
      <c r="G1946" s="21"/>
      <c r="H1946" s="21"/>
      <c r="I1946" s="21"/>
      <c r="J1946" s="21"/>
      <c r="K1946" s="21"/>
      <c r="L1946" s="21"/>
      <c r="M1946" s="10"/>
      <c r="N1946" s="67"/>
      <c r="O1946" s="11"/>
    </row>
    <row r="1947" spans="1:15" x14ac:dyDescent="0.25">
      <c r="A1947" s="6">
        <v>963</v>
      </c>
      <c r="B1947" s="5" t="s">
        <v>550</v>
      </c>
      <c r="C1947" s="5" t="s">
        <v>17</v>
      </c>
      <c r="D1947" s="5" t="s">
        <v>267</v>
      </c>
      <c r="E1947" s="5" t="s">
        <v>268</v>
      </c>
      <c r="F1947" s="5" t="s">
        <v>552</v>
      </c>
      <c r="G1947" s="22">
        <v>0.11</v>
      </c>
      <c r="H1947" s="22">
        <v>0</v>
      </c>
      <c r="I1947" s="22">
        <v>0</v>
      </c>
      <c r="J1947" s="22">
        <v>0</v>
      </c>
      <c r="K1947" s="22">
        <v>0</v>
      </c>
      <c r="L1947" s="22">
        <v>0.11</v>
      </c>
      <c r="M1947" s="10"/>
      <c r="O1947" s="11"/>
    </row>
    <row r="1948" spans="1:15" x14ac:dyDescent="0.25">
      <c r="A1948" s="6">
        <v>964</v>
      </c>
      <c r="B1948" s="5" t="s">
        <v>550</v>
      </c>
      <c r="C1948" s="5" t="s">
        <v>13</v>
      </c>
      <c r="D1948" s="5" t="s">
        <v>267</v>
      </c>
      <c r="E1948" s="5" t="s">
        <v>268</v>
      </c>
      <c r="F1948" s="5" t="s">
        <v>552</v>
      </c>
      <c r="G1948" s="22">
        <v>0</v>
      </c>
      <c r="H1948" s="22">
        <v>0</v>
      </c>
      <c r="I1948" s="22">
        <v>0</v>
      </c>
      <c r="J1948" s="22">
        <v>0.01</v>
      </c>
      <c r="K1948" s="22">
        <v>0</v>
      </c>
      <c r="L1948" s="22">
        <v>0.01</v>
      </c>
      <c r="M1948" s="10"/>
      <c r="O1948" s="11"/>
    </row>
    <row r="1949" spans="1:15" s="4" customFormat="1" x14ac:dyDescent="0.25">
      <c r="A1949" s="6"/>
      <c r="B1949" s="5"/>
      <c r="C1949" s="5"/>
      <c r="D1949" s="5" t="s">
        <v>267</v>
      </c>
      <c r="E1949" s="5" t="s">
        <v>268</v>
      </c>
      <c r="F1949" s="5" t="s">
        <v>552</v>
      </c>
      <c r="G1949" s="14">
        <f t="shared" ref="G1949:L1949" si="489">SUBTOTAL(9,G1947:G1948)</f>
        <v>0.11</v>
      </c>
      <c r="H1949" s="14">
        <f t="shared" si="489"/>
        <v>0</v>
      </c>
      <c r="I1949" s="14">
        <f t="shared" si="489"/>
        <v>0</v>
      </c>
      <c r="J1949" s="14">
        <f t="shared" si="489"/>
        <v>0.01</v>
      </c>
      <c r="K1949" s="14">
        <f t="shared" si="489"/>
        <v>0</v>
      </c>
      <c r="L1949" s="14">
        <f t="shared" si="489"/>
        <v>0.12</v>
      </c>
      <c r="M1949" s="10">
        <v>2591</v>
      </c>
      <c r="N1949" s="69"/>
      <c r="O1949" s="11">
        <f>O1945+1</f>
        <v>473</v>
      </c>
    </row>
    <row r="1950" spans="1:15" s="4" customFormat="1" x14ac:dyDescent="0.25">
      <c r="A1950" s="10"/>
      <c r="B1950"/>
      <c r="C1950"/>
      <c r="D1950"/>
      <c r="E1950"/>
      <c r="F1950"/>
      <c r="G1950" s="21"/>
      <c r="H1950" s="21"/>
      <c r="I1950" s="21"/>
      <c r="J1950" s="21"/>
      <c r="K1950" s="21"/>
      <c r="L1950" s="21"/>
      <c r="M1950" s="10"/>
      <c r="N1950" s="67"/>
      <c r="O1950" s="11"/>
    </row>
    <row r="1951" spans="1:15" x14ac:dyDescent="0.25">
      <c r="A1951" s="6">
        <v>965</v>
      </c>
      <c r="B1951" s="5" t="s">
        <v>555</v>
      </c>
      <c r="C1951" s="5" t="s">
        <v>17</v>
      </c>
      <c r="D1951" s="5" t="s">
        <v>269</v>
      </c>
      <c r="E1951" s="5" t="s">
        <v>268</v>
      </c>
      <c r="F1951" s="5" t="s">
        <v>556</v>
      </c>
      <c r="G1951" s="22">
        <v>185.67</v>
      </c>
      <c r="H1951" s="22">
        <v>0</v>
      </c>
      <c r="I1951" s="22">
        <v>0</v>
      </c>
      <c r="J1951" s="22">
        <v>0</v>
      </c>
      <c r="K1951" s="22">
        <v>-3.71</v>
      </c>
      <c r="L1951" s="22">
        <v>181.96</v>
      </c>
      <c r="M1951" s="10"/>
      <c r="O1951" s="11"/>
    </row>
    <row r="1952" spans="1:15" x14ac:dyDescent="0.25">
      <c r="A1952" s="6">
        <v>966</v>
      </c>
      <c r="B1952" s="5" t="s">
        <v>555</v>
      </c>
      <c r="C1952" s="5" t="s">
        <v>13</v>
      </c>
      <c r="D1952" s="5" t="s">
        <v>269</v>
      </c>
      <c r="E1952" s="5" t="s">
        <v>268</v>
      </c>
      <c r="F1952" s="5" t="s">
        <v>556</v>
      </c>
      <c r="G1952" s="22">
        <v>0</v>
      </c>
      <c r="H1952" s="22">
        <v>0</v>
      </c>
      <c r="I1952" s="22">
        <v>0</v>
      </c>
      <c r="J1952" s="22">
        <v>22.28</v>
      </c>
      <c r="K1952" s="22">
        <v>0</v>
      </c>
      <c r="L1952" s="22">
        <v>22.28</v>
      </c>
      <c r="M1952" s="10"/>
      <c r="O1952" s="11"/>
    </row>
    <row r="1953" spans="1:15" s="4" customFormat="1" x14ac:dyDescent="0.25">
      <c r="A1953" s="6"/>
      <c r="B1953" s="5"/>
      <c r="C1953" s="5"/>
      <c r="D1953" s="5" t="s">
        <v>269</v>
      </c>
      <c r="E1953" s="5" t="s">
        <v>268</v>
      </c>
      <c r="F1953" s="5" t="s">
        <v>556</v>
      </c>
      <c r="G1953" s="14">
        <f t="shared" ref="G1953:L1953" si="490">SUBTOTAL(9,G1951:G1952)</f>
        <v>185.67</v>
      </c>
      <c r="H1953" s="14">
        <f t="shared" si="490"/>
        <v>0</v>
      </c>
      <c r="I1953" s="14">
        <f t="shared" si="490"/>
        <v>0</v>
      </c>
      <c r="J1953" s="14">
        <f t="shared" si="490"/>
        <v>22.28</v>
      </c>
      <c r="K1953" s="14">
        <f t="shared" si="490"/>
        <v>-3.71</v>
      </c>
      <c r="L1953" s="14">
        <f t="shared" si="490"/>
        <v>204.24</v>
      </c>
      <c r="M1953" s="10">
        <v>2592</v>
      </c>
      <c r="N1953" s="69"/>
      <c r="O1953" s="11">
        <f>O1949+1</f>
        <v>474</v>
      </c>
    </row>
    <row r="1954" spans="1:15" s="4" customFormat="1" x14ac:dyDescent="0.25">
      <c r="A1954" s="10"/>
      <c r="B1954"/>
      <c r="C1954"/>
      <c r="D1954"/>
      <c r="E1954"/>
      <c r="F1954"/>
      <c r="G1954" s="21"/>
      <c r="H1954" s="21"/>
      <c r="I1954" s="21"/>
      <c r="J1954" s="21"/>
      <c r="K1954" s="21"/>
      <c r="L1954" s="21"/>
      <c r="M1954" s="10"/>
      <c r="N1954" s="67"/>
      <c r="O1954" s="11"/>
    </row>
    <row r="1955" spans="1:15" x14ac:dyDescent="0.25">
      <c r="A1955" s="6">
        <v>967</v>
      </c>
      <c r="B1955" s="5" t="s">
        <v>557</v>
      </c>
      <c r="C1955" s="5" t="s">
        <v>17</v>
      </c>
      <c r="D1955" s="5" t="s">
        <v>269</v>
      </c>
      <c r="E1955" s="5" t="s">
        <v>268</v>
      </c>
      <c r="F1955" s="5" t="s">
        <v>558</v>
      </c>
      <c r="G1955" s="37">
        <v>102.4</v>
      </c>
      <c r="H1955" s="22">
        <v>0</v>
      </c>
      <c r="I1955" s="22">
        <v>0</v>
      </c>
      <c r="J1955" s="22">
        <v>0</v>
      </c>
      <c r="K1955" s="22">
        <v>-2.0499999999999998</v>
      </c>
      <c r="L1955" s="22">
        <v>100.35</v>
      </c>
      <c r="M1955" s="10"/>
      <c r="O1955" s="11"/>
    </row>
    <row r="1956" spans="1:15" x14ac:dyDescent="0.25">
      <c r="A1956" s="6">
        <v>968</v>
      </c>
      <c r="B1956" s="5" t="s">
        <v>557</v>
      </c>
      <c r="C1956" s="5" t="s">
        <v>13</v>
      </c>
      <c r="D1956" s="5" t="s">
        <v>269</v>
      </c>
      <c r="E1956" s="5" t="s">
        <v>268</v>
      </c>
      <c r="F1956" s="5" t="s">
        <v>558</v>
      </c>
      <c r="G1956" s="22">
        <v>0</v>
      </c>
      <c r="H1956" s="22">
        <v>0</v>
      </c>
      <c r="I1956" s="22">
        <v>0</v>
      </c>
      <c r="J1956" s="22">
        <v>12.29</v>
      </c>
      <c r="K1956" s="22">
        <v>0</v>
      </c>
      <c r="L1956" s="22">
        <v>12.29</v>
      </c>
      <c r="M1956" s="10"/>
      <c r="O1956" s="11"/>
    </row>
    <row r="1957" spans="1:15" s="4" customFormat="1" x14ac:dyDescent="0.25">
      <c r="A1957" s="6"/>
      <c r="B1957" s="5"/>
      <c r="C1957" s="5"/>
      <c r="D1957" s="5" t="s">
        <v>269</v>
      </c>
      <c r="E1957" s="5" t="s">
        <v>268</v>
      </c>
      <c r="F1957" s="5" t="s">
        <v>558</v>
      </c>
      <c r="G1957" s="14">
        <f t="shared" ref="G1957:L1957" si="491">SUBTOTAL(9,G1955:G1956)</f>
        <v>102.4</v>
      </c>
      <c r="H1957" s="14">
        <f t="shared" si="491"/>
        <v>0</v>
      </c>
      <c r="I1957" s="14">
        <f t="shared" si="491"/>
        <v>0</v>
      </c>
      <c r="J1957" s="14">
        <f t="shared" si="491"/>
        <v>12.29</v>
      </c>
      <c r="K1957" s="14">
        <f t="shared" si="491"/>
        <v>-2.0499999999999998</v>
      </c>
      <c r="L1957" s="14">
        <f t="shared" si="491"/>
        <v>112.63999999999999</v>
      </c>
      <c r="M1957" s="10">
        <v>2593</v>
      </c>
      <c r="N1957" s="69"/>
      <c r="O1957" s="11">
        <f>O1953+1</f>
        <v>475</v>
      </c>
    </row>
    <row r="1958" spans="1:15" s="4" customFormat="1" x14ac:dyDescent="0.25">
      <c r="A1958" s="10"/>
      <c r="B1958"/>
      <c r="C1958"/>
      <c r="D1958"/>
      <c r="E1958"/>
      <c r="F1958"/>
      <c r="G1958" s="21"/>
      <c r="H1958" s="21"/>
      <c r="I1958" s="21"/>
      <c r="J1958" s="21"/>
      <c r="K1958" s="21"/>
      <c r="L1958" s="21"/>
      <c r="M1958" s="10"/>
      <c r="N1958" s="67"/>
      <c r="O1958" s="11"/>
    </row>
    <row r="1959" spans="1:15" x14ac:dyDescent="0.25">
      <c r="A1959" s="6">
        <v>969</v>
      </c>
      <c r="B1959" s="5" t="s">
        <v>18</v>
      </c>
      <c r="C1959" s="5" t="s">
        <v>17</v>
      </c>
      <c r="D1959" s="5" t="s">
        <v>269</v>
      </c>
      <c r="E1959" s="5" t="s">
        <v>268</v>
      </c>
      <c r="F1959" s="5" t="s">
        <v>19</v>
      </c>
      <c r="G1959" s="22">
        <v>0.18</v>
      </c>
      <c r="H1959" s="22">
        <v>0</v>
      </c>
      <c r="I1959" s="22">
        <v>0</v>
      </c>
      <c r="J1959" s="22">
        <v>0</v>
      </c>
      <c r="K1959" s="22">
        <v>-0.16</v>
      </c>
      <c r="L1959" s="22">
        <v>0.02</v>
      </c>
      <c r="M1959" s="10"/>
      <c r="O1959" s="11"/>
    </row>
    <row r="1960" spans="1:15" x14ac:dyDescent="0.25">
      <c r="A1960" s="6"/>
      <c r="B1960" s="5"/>
      <c r="C1960" s="5"/>
      <c r="D1960" s="5" t="s">
        <v>269</v>
      </c>
      <c r="E1960" s="5" t="s">
        <v>268</v>
      </c>
      <c r="F1960" s="5" t="s">
        <v>19</v>
      </c>
      <c r="G1960" s="14">
        <f t="shared" ref="G1960:L1960" si="492">SUBTOTAL(9,G1959:G1959)</f>
        <v>0.18</v>
      </c>
      <c r="H1960" s="14">
        <f t="shared" si="492"/>
        <v>0</v>
      </c>
      <c r="I1960" s="14">
        <f t="shared" si="492"/>
        <v>0</v>
      </c>
      <c r="J1960" s="14">
        <f t="shared" si="492"/>
        <v>0</v>
      </c>
      <c r="K1960" s="14">
        <f t="shared" si="492"/>
        <v>-0.16</v>
      </c>
      <c r="L1960" s="14">
        <f t="shared" si="492"/>
        <v>0.02</v>
      </c>
      <c r="M1960" s="10">
        <v>2594</v>
      </c>
      <c r="N1960" s="69"/>
      <c r="O1960" s="11">
        <f>O1957+1</f>
        <v>476</v>
      </c>
    </row>
    <row r="1961" spans="1:15" s="4" customFormat="1" x14ac:dyDescent="0.25">
      <c r="A1961" s="10"/>
      <c r="B1961"/>
      <c r="C1961"/>
      <c r="D1961"/>
      <c r="E1961"/>
      <c r="F1961"/>
      <c r="G1961" s="21"/>
      <c r="H1961" s="21"/>
      <c r="I1961" s="21"/>
      <c r="J1961" s="21"/>
      <c r="K1961" s="21"/>
      <c r="L1961" s="21"/>
      <c r="M1961" s="10"/>
      <c r="N1961" s="67"/>
      <c r="O1961" s="11"/>
    </row>
    <row r="1962" spans="1:15" s="4" customFormat="1" x14ac:dyDescent="0.25">
      <c r="A1962" s="6">
        <v>970</v>
      </c>
      <c r="B1962" s="5" t="s">
        <v>550</v>
      </c>
      <c r="C1962" s="5" t="s">
        <v>17</v>
      </c>
      <c r="D1962" s="5" t="s">
        <v>269</v>
      </c>
      <c r="E1962" s="5" t="s">
        <v>268</v>
      </c>
      <c r="F1962" s="5" t="s">
        <v>551</v>
      </c>
      <c r="G1962" s="22">
        <v>937.01</v>
      </c>
      <c r="H1962" s="22">
        <v>0</v>
      </c>
      <c r="I1962" s="22">
        <v>0</v>
      </c>
      <c r="J1962" s="22">
        <v>0</v>
      </c>
      <c r="K1962" s="22">
        <v>-18.739999999999998</v>
      </c>
      <c r="L1962" s="22">
        <v>918.27</v>
      </c>
      <c r="M1962" s="10"/>
      <c r="N1962" s="67"/>
      <c r="O1962" s="11"/>
    </row>
    <row r="1963" spans="1:15" x14ac:dyDescent="0.25">
      <c r="A1963" s="6">
        <v>971</v>
      </c>
      <c r="B1963" s="5" t="s">
        <v>550</v>
      </c>
      <c r="C1963" s="5" t="s">
        <v>13</v>
      </c>
      <c r="D1963" s="5" t="s">
        <v>269</v>
      </c>
      <c r="E1963" s="5" t="s">
        <v>268</v>
      </c>
      <c r="F1963" s="5" t="s">
        <v>551</v>
      </c>
      <c r="G1963" s="22">
        <v>0</v>
      </c>
      <c r="H1963" s="22">
        <v>0</v>
      </c>
      <c r="I1963" s="22">
        <v>0</v>
      </c>
      <c r="J1963" s="22">
        <v>112.44</v>
      </c>
      <c r="K1963" s="22">
        <v>0</v>
      </c>
      <c r="L1963" s="22">
        <v>112.44</v>
      </c>
      <c r="M1963" s="10"/>
      <c r="O1963" s="11"/>
    </row>
    <row r="1964" spans="1:15" x14ac:dyDescent="0.25">
      <c r="A1964" s="6"/>
      <c r="B1964" s="5"/>
      <c r="C1964" s="5"/>
      <c r="D1964" s="5" t="s">
        <v>269</v>
      </c>
      <c r="E1964" s="5" t="s">
        <v>268</v>
      </c>
      <c r="F1964" s="5" t="s">
        <v>551</v>
      </c>
      <c r="G1964" s="14">
        <f t="shared" ref="G1964:L1964" si="493">SUBTOTAL(9,G1962:G1963)</f>
        <v>937.01</v>
      </c>
      <c r="H1964" s="14">
        <f t="shared" si="493"/>
        <v>0</v>
      </c>
      <c r="I1964" s="14">
        <f t="shared" si="493"/>
        <v>0</v>
      </c>
      <c r="J1964" s="14">
        <f t="shared" si="493"/>
        <v>112.44</v>
      </c>
      <c r="K1964" s="14">
        <f t="shared" si="493"/>
        <v>-18.739999999999998</v>
      </c>
      <c r="L1964" s="14">
        <f t="shared" si="493"/>
        <v>1030.71</v>
      </c>
      <c r="M1964" s="10">
        <v>2595</v>
      </c>
      <c r="N1964" s="69"/>
      <c r="O1964" s="11">
        <f>O1960+1</f>
        <v>477</v>
      </c>
    </row>
    <row r="1965" spans="1:15" s="4" customFormat="1" x14ac:dyDescent="0.25">
      <c r="A1965" s="10"/>
      <c r="B1965"/>
      <c r="C1965"/>
      <c r="D1965"/>
      <c r="E1965"/>
      <c r="F1965"/>
      <c r="G1965" s="21"/>
      <c r="H1965" s="21"/>
      <c r="I1965" s="21"/>
      <c r="J1965" s="21"/>
      <c r="K1965" s="21"/>
      <c r="L1965" s="21"/>
      <c r="M1965" s="10"/>
      <c r="N1965" s="67"/>
      <c r="O1965" s="11"/>
    </row>
    <row r="1966" spans="1:15" x14ac:dyDescent="0.25">
      <c r="A1966" s="6">
        <v>972</v>
      </c>
      <c r="B1966" s="5" t="s">
        <v>550</v>
      </c>
      <c r="C1966" s="5" t="s">
        <v>17</v>
      </c>
      <c r="D1966" s="5" t="s">
        <v>269</v>
      </c>
      <c r="E1966" s="5" t="s">
        <v>268</v>
      </c>
      <c r="F1966" s="5" t="s">
        <v>552</v>
      </c>
      <c r="G1966" s="22">
        <v>7.0000000000000007E-2</v>
      </c>
      <c r="H1966" s="22">
        <v>0</v>
      </c>
      <c r="I1966" s="22">
        <v>0</v>
      </c>
      <c r="J1966" s="22">
        <v>0</v>
      </c>
      <c r="K1966" s="22">
        <v>0</v>
      </c>
      <c r="L1966" s="22">
        <v>7.0000000000000007E-2</v>
      </c>
      <c r="M1966" s="10"/>
      <c r="O1966" s="11"/>
    </row>
    <row r="1967" spans="1:15" x14ac:dyDescent="0.25">
      <c r="A1967" s="6">
        <v>973</v>
      </c>
      <c r="B1967" s="5" t="s">
        <v>550</v>
      </c>
      <c r="C1967" s="5" t="s">
        <v>13</v>
      </c>
      <c r="D1967" s="5" t="s">
        <v>269</v>
      </c>
      <c r="E1967" s="5" t="s">
        <v>268</v>
      </c>
      <c r="F1967" s="5" t="s">
        <v>552</v>
      </c>
      <c r="G1967" s="22">
        <v>0</v>
      </c>
      <c r="H1967" s="22">
        <v>0</v>
      </c>
      <c r="I1967" s="22">
        <v>0</v>
      </c>
      <c r="J1967" s="22">
        <v>0.01</v>
      </c>
      <c r="K1967" s="22">
        <v>0</v>
      </c>
      <c r="L1967" s="22">
        <v>0.01</v>
      </c>
      <c r="M1967" s="10"/>
      <c r="O1967" s="11"/>
    </row>
    <row r="1968" spans="1:15" s="4" customFormat="1" x14ac:dyDescent="0.25">
      <c r="A1968" s="6"/>
      <c r="B1968" s="5"/>
      <c r="C1968" s="5"/>
      <c r="D1968" s="5" t="s">
        <v>269</v>
      </c>
      <c r="E1968" s="5" t="s">
        <v>268</v>
      </c>
      <c r="F1968" s="5" t="s">
        <v>552</v>
      </c>
      <c r="G1968" s="14">
        <f t="shared" ref="G1968:L1968" si="494">SUBTOTAL(9,G1966:G1967)</f>
        <v>7.0000000000000007E-2</v>
      </c>
      <c r="H1968" s="14">
        <f t="shared" si="494"/>
        <v>0</v>
      </c>
      <c r="I1968" s="14">
        <f t="shared" si="494"/>
        <v>0</v>
      </c>
      <c r="J1968" s="14">
        <f t="shared" si="494"/>
        <v>0.01</v>
      </c>
      <c r="K1968" s="14">
        <f t="shared" si="494"/>
        <v>0</v>
      </c>
      <c r="L1968" s="14">
        <f t="shared" si="494"/>
        <v>0.08</v>
      </c>
      <c r="M1968" s="10">
        <v>2596</v>
      </c>
      <c r="N1968" s="69"/>
      <c r="O1968" s="11">
        <f>O1964+1</f>
        <v>478</v>
      </c>
    </row>
    <row r="1969" spans="1:15" x14ac:dyDescent="0.25">
      <c r="A1969" s="10"/>
      <c r="G1969" s="21"/>
      <c r="H1969" s="21"/>
      <c r="I1969" s="21"/>
      <c r="J1969" s="21"/>
      <c r="K1969" s="21"/>
      <c r="L1969" s="21"/>
      <c r="M1969" s="10"/>
      <c r="O1969" s="11"/>
    </row>
    <row r="1970" spans="1:15" x14ac:dyDescent="0.25">
      <c r="A1970" s="6">
        <v>974</v>
      </c>
      <c r="B1970" s="5" t="s">
        <v>555</v>
      </c>
      <c r="C1970" s="5" t="s">
        <v>17</v>
      </c>
      <c r="D1970" s="5" t="s">
        <v>270</v>
      </c>
      <c r="E1970" s="5" t="s">
        <v>271</v>
      </c>
      <c r="F1970" s="5" t="s">
        <v>556</v>
      </c>
      <c r="G1970" s="22">
        <v>1377.68</v>
      </c>
      <c r="H1970" s="22">
        <v>0</v>
      </c>
      <c r="I1970" s="22">
        <v>0</v>
      </c>
      <c r="J1970" s="22">
        <v>0</v>
      </c>
      <c r="K1970" s="22">
        <v>-27.55</v>
      </c>
      <c r="L1970" s="22">
        <v>1350.13</v>
      </c>
      <c r="M1970" s="10"/>
      <c r="O1970" s="11"/>
    </row>
    <row r="1971" spans="1:15" s="4" customFormat="1" x14ac:dyDescent="0.25">
      <c r="A1971" s="6">
        <v>975</v>
      </c>
      <c r="B1971" s="5" t="s">
        <v>555</v>
      </c>
      <c r="C1971" s="5" t="s">
        <v>13</v>
      </c>
      <c r="D1971" s="5" t="s">
        <v>270</v>
      </c>
      <c r="E1971" s="5" t="s">
        <v>271</v>
      </c>
      <c r="F1971" s="5" t="s">
        <v>556</v>
      </c>
      <c r="G1971" s="22">
        <v>0</v>
      </c>
      <c r="H1971" s="22">
        <v>0</v>
      </c>
      <c r="I1971" s="22">
        <v>0</v>
      </c>
      <c r="J1971" s="22">
        <v>165.32</v>
      </c>
      <c r="K1971" s="22">
        <v>0</v>
      </c>
      <c r="L1971" s="22">
        <v>165.32</v>
      </c>
      <c r="M1971" s="10"/>
      <c r="N1971" s="67"/>
      <c r="O1971" s="11"/>
    </row>
    <row r="1972" spans="1:15" s="4" customFormat="1" x14ac:dyDescent="0.25">
      <c r="A1972" s="6"/>
      <c r="B1972" s="5"/>
      <c r="C1972" s="5"/>
      <c r="D1972" s="5" t="s">
        <v>270</v>
      </c>
      <c r="E1972" s="5" t="s">
        <v>271</v>
      </c>
      <c r="F1972" s="5" t="s">
        <v>556</v>
      </c>
      <c r="G1972" s="14">
        <f t="shared" ref="G1972:L1972" si="495">SUBTOTAL(9,G1970:G1971)</f>
        <v>1377.68</v>
      </c>
      <c r="H1972" s="14">
        <f t="shared" si="495"/>
        <v>0</v>
      </c>
      <c r="I1972" s="14">
        <f t="shared" si="495"/>
        <v>0</v>
      </c>
      <c r="J1972" s="14">
        <f t="shared" si="495"/>
        <v>165.32</v>
      </c>
      <c r="K1972" s="14">
        <f t="shared" si="495"/>
        <v>-27.55</v>
      </c>
      <c r="L1972" s="14">
        <f t="shared" si="495"/>
        <v>1515.45</v>
      </c>
      <c r="M1972" s="10">
        <v>2597</v>
      </c>
      <c r="N1972" s="69"/>
      <c r="O1972" s="11">
        <f>O1968+1</f>
        <v>479</v>
      </c>
    </row>
    <row r="1973" spans="1:15" x14ac:dyDescent="0.25">
      <c r="A1973" s="10"/>
      <c r="F1973" s="16"/>
      <c r="G1973" s="21"/>
      <c r="H1973" s="21"/>
      <c r="I1973" s="21"/>
      <c r="J1973" s="21"/>
      <c r="K1973" s="21"/>
      <c r="L1973" s="21"/>
      <c r="M1973" s="10"/>
      <c r="O1973" s="11"/>
    </row>
    <row r="1974" spans="1:15" x14ac:dyDescent="0.25">
      <c r="A1974" s="6">
        <v>976</v>
      </c>
      <c r="B1974" s="5" t="s">
        <v>557</v>
      </c>
      <c r="C1974" s="5" t="s">
        <v>17</v>
      </c>
      <c r="D1974" s="5" t="s">
        <v>270</v>
      </c>
      <c r="E1974" s="5" t="s">
        <v>271</v>
      </c>
      <c r="F1974" s="5" t="s">
        <v>558</v>
      </c>
      <c r="G1974" s="22">
        <v>853.63</v>
      </c>
      <c r="H1974" s="22">
        <v>0</v>
      </c>
      <c r="I1974" s="22">
        <v>0</v>
      </c>
      <c r="J1974" s="22">
        <v>0</v>
      </c>
      <c r="K1974" s="22">
        <v>-17.07</v>
      </c>
      <c r="L1974" s="22">
        <v>836.56</v>
      </c>
      <c r="M1974" s="10"/>
      <c r="O1974" s="11"/>
    </row>
    <row r="1975" spans="1:15" s="4" customFormat="1" x14ac:dyDescent="0.25">
      <c r="A1975" s="6">
        <v>977</v>
      </c>
      <c r="B1975" s="5" t="s">
        <v>557</v>
      </c>
      <c r="C1975" s="5" t="s">
        <v>13</v>
      </c>
      <c r="D1975" s="5" t="s">
        <v>270</v>
      </c>
      <c r="E1975" s="5" t="s">
        <v>271</v>
      </c>
      <c r="F1975" s="5" t="s">
        <v>558</v>
      </c>
      <c r="G1975" s="22">
        <v>0</v>
      </c>
      <c r="H1975" s="22">
        <v>0</v>
      </c>
      <c r="I1975" s="22">
        <v>0</v>
      </c>
      <c r="J1975" s="22">
        <v>102.44</v>
      </c>
      <c r="K1975" s="22">
        <v>0</v>
      </c>
      <c r="L1975" s="22">
        <v>102.44</v>
      </c>
      <c r="M1975" s="10"/>
      <c r="N1975" s="67"/>
      <c r="O1975" s="11"/>
    </row>
    <row r="1976" spans="1:15" s="4" customFormat="1" x14ac:dyDescent="0.25">
      <c r="A1976" s="6"/>
      <c r="B1976" s="5"/>
      <c r="C1976" s="5"/>
      <c r="D1976" s="5" t="s">
        <v>270</v>
      </c>
      <c r="E1976" s="5" t="s">
        <v>271</v>
      </c>
      <c r="F1976" s="5" t="s">
        <v>558</v>
      </c>
      <c r="G1976" s="14">
        <f t="shared" ref="G1976:L1976" si="496">SUBTOTAL(9,G1974:G1975)</f>
        <v>853.63</v>
      </c>
      <c r="H1976" s="14">
        <f t="shared" si="496"/>
        <v>0</v>
      </c>
      <c r="I1976" s="14">
        <f t="shared" si="496"/>
        <v>0</v>
      </c>
      <c r="J1976" s="14">
        <f t="shared" si="496"/>
        <v>102.44</v>
      </c>
      <c r="K1976" s="14">
        <f t="shared" si="496"/>
        <v>-17.07</v>
      </c>
      <c r="L1976" s="14">
        <f t="shared" si="496"/>
        <v>939</v>
      </c>
      <c r="M1976" s="10">
        <v>2598</v>
      </c>
      <c r="N1976" s="69"/>
      <c r="O1976" s="11">
        <f>O1972+1</f>
        <v>480</v>
      </c>
    </row>
    <row r="1977" spans="1:15" x14ac:dyDescent="0.25">
      <c r="A1977" s="10"/>
      <c r="G1977" s="21"/>
      <c r="H1977" s="21"/>
      <c r="I1977" s="21"/>
      <c r="J1977" s="21"/>
      <c r="K1977" s="21"/>
      <c r="L1977" s="21"/>
      <c r="M1977" s="10"/>
      <c r="O1977" s="11"/>
    </row>
    <row r="1978" spans="1:15" x14ac:dyDescent="0.25">
      <c r="A1978" s="6">
        <v>978</v>
      </c>
      <c r="B1978" s="5" t="s">
        <v>37</v>
      </c>
      <c r="C1978" s="5" t="s">
        <v>13</v>
      </c>
      <c r="D1978" s="5" t="s">
        <v>270</v>
      </c>
      <c r="E1978" s="5" t="s">
        <v>271</v>
      </c>
      <c r="F1978" s="5" t="s">
        <v>38</v>
      </c>
      <c r="G1978" s="22">
        <v>0</v>
      </c>
      <c r="H1978" s="22">
        <v>0</v>
      </c>
      <c r="I1978" s="22">
        <v>0</v>
      </c>
      <c r="J1978" s="22">
        <v>0.48</v>
      </c>
      <c r="K1978" s="22">
        <v>0</v>
      </c>
      <c r="L1978" s="22">
        <v>0.48</v>
      </c>
      <c r="M1978" s="10"/>
      <c r="O1978" s="11"/>
    </row>
    <row r="1979" spans="1:15" s="4" customFormat="1" x14ac:dyDescent="0.25">
      <c r="A1979" s="6"/>
      <c r="B1979" s="5"/>
      <c r="C1979" s="5"/>
      <c r="D1979" s="5" t="s">
        <v>270</v>
      </c>
      <c r="E1979" s="5" t="s">
        <v>271</v>
      </c>
      <c r="F1979" s="5" t="s">
        <v>38</v>
      </c>
      <c r="G1979" s="14">
        <f t="shared" ref="G1979:L1979" si="497">SUBTOTAL(9,G1978:G1978)</f>
        <v>0</v>
      </c>
      <c r="H1979" s="14">
        <f t="shared" si="497"/>
        <v>0</v>
      </c>
      <c r="I1979" s="14">
        <f t="shared" si="497"/>
        <v>0</v>
      </c>
      <c r="J1979" s="14">
        <f t="shared" si="497"/>
        <v>0.48</v>
      </c>
      <c r="K1979" s="14">
        <f t="shared" si="497"/>
        <v>0</v>
      </c>
      <c r="L1979" s="14">
        <f t="shared" si="497"/>
        <v>0.48</v>
      </c>
      <c r="M1979" s="10">
        <v>2599</v>
      </c>
      <c r="N1979" s="69"/>
      <c r="O1979" s="11">
        <f>O1976+1</f>
        <v>481</v>
      </c>
    </row>
    <row r="1980" spans="1:15" s="4" customFormat="1" x14ac:dyDescent="0.25">
      <c r="A1980" s="10"/>
      <c r="B1980"/>
      <c r="C1980"/>
      <c r="D1980"/>
      <c r="E1980"/>
      <c r="F1980"/>
      <c r="G1980" s="21"/>
      <c r="H1980" s="21"/>
      <c r="I1980" s="21"/>
      <c r="J1980" s="21"/>
      <c r="K1980" s="21"/>
      <c r="L1980" s="21"/>
      <c r="M1980" s="10"/>
      <c r="N1980" s="67"/>
      <c r="O1980" s="11"/>
    </row>
    <row r="1981" spans="1:15" x14ac:dyDescent="0.25">
      <c r="A1981" s="6">
        <v>979</v>
      </c>
      <c r="B1981" s="5" t="s">
        <v>29</v>
      </c>
      <c r="C1981" s="5" t="s">
        <v>13</v>
      </c>
      <c r="D1981" s="5" t="s">
        <v>270</v>
      </c>
      <c r="E1981" s="5" t="s">
        <v>271</v>
      </c>
      <c r="F1981" s="5" t="s">
        <v>30</v>
      </c>
      <c r="G1981" s="22">
        <v>0</v>
      </c>
      <c r="H1981" s="22">
        <v>0</v>
      </c>
      <c r="I1981" s="22">
        <v>0</v>
      </c>
      <c r="J1981" s="22">
        <v>0.42</v>
      </c>
      <c r="K1981" s="22">
        <v>0</v>
      </c>
      <c r="L1981" s="22">
        <v>0.42</v>
      </c>
      <c r="M1981" s="10"/>
      <c r="O1981" s="11"/>
    </row>
    <row r="1982" spans="1:15" x14ac:dyDescent="0.25">
      <c r="A1982" s="6"/>
      <c r="B1982" s="5"/>
      <c r="C1982" s="5"/>
      <c r="D1982" s="5" t="s">
        <v>270</v>
      </c>
      <c r="E1982" s="5" t="s">
        <v>271</v>
      </c>
      <c r="F1982" s="5" t="s">
        <v>30</v>
      </c>
      <c r="G1982" s="14">
        <f t="shared" ref="G1982:L1982" si="498">SUBTOTAL(9,G1981:G1981)</f>
        <v>0</v>
      </c>
      <c r="H1982" s="14">
        <f t="shared" si="498"/>
        <v>0</v>
      </c>
      <c r="I1982" s="14">
        <f t="shared" si="498"/>
        <v>0</v>
      </c>
      <c r="J1982" s="14">
        <f t="shared" si="498"/>
        <v>0.42</v>
      </c>
      <c r="K1982" s="14">
        <f t="shared" si="498"/>
        <v>0</v>
      </c>
      <c r="L1982" s="14">
        <f t="shared" si="498"/>
        <v>0.42</v>
      </c>
      <c r="M1982" s="10">
        <v>2600</v>
      </c>
      <c r="N1982" s="69"/>
      <c r="O1982" s="11">
        <f>O1979+1</f>
        <v>482</v>
      </c>
    </row>
    <row r="1983" spans="1:15" s="4" customFormat="1" x14ac:dyDescent="0.25">
      <c r="A1983" s="10"/>
      <c r="B1983"/>
      <c r="C1983"/>
      <c r="D1983"/>
      <c r="E1983"/>
      <c r="F1983"/>
      <c r="G1983" s="21"/>
      <c r="H1983" s="21"/>
      <c r="I1983" s="21"/>
      <c r="J1983" s="21"/>
      <c r="K1983" s="21"/>
      <c r="L1983" s="21"/>
      <c r="M1983" s="10"/>
      <c r="N1983" s="67"/>
      <c r="O1983" s="11"/>
    </row>
    <row r="1984" spans="1:15" s="4" customFormat="1" x14ac:dyDescent="0.25">
      <c r="A1984" s="6">
        <v>980</v>
      </c>
      <c r="B1984" s="5" t="s">
        <v>559</v>
      </c>
      <c r="C1984" s="5" t="s">
        <v>17</v>
      </c>
      <c r="D1984" s="5" t="s">
        <v>270</v>
      </c>
      <c r="E1984" s="5" t="s">
        <v>271</v>
      </c>
      <c r="F1984" s="5" t="s">
        <v>560</v>
      </c>
      <c r="G1984" s="22">
        <v>730.41</v>
      </c>
      <c r="H1984" s="22">
        <v>0</v>
      </c>
      <c r="I1984" s="22">
        <v>0</v>
      </c>
      <c r="J1984" s="22">
        <v>0</v>
      </c>
      <c r="K1984" s="22">
        <v>-14.61</v>
      </c>
      <c r="L1984" s="22">
        <v>715.8</v>
      </c>
      <c r="M1984" s="10"/>
      <c r="N1984" s="67"/>
      <c r="O1984" s="11"/>
    </row>
    <row r="1985" spans="1:15" x14ac:dyDescent="0.25">
      <c r="A1985" s="6">
        <v>981</v>
      </c>
      <c r="B1985" s="5" t="s">
        <v>559</v>
      </c>
      <c r="C1985" s="5" t="s">
        <v>13</v>
      </c>
      <c r="D1985" s="5" t="s">
        <v>270</v>
      </c>
      <c r="E1985" s="5" t="s">
        <v>271</v>
      </c>
      <c r="F1985" s="5" t="s">
        <v>560</v>
      </c>
      <c r="G1985" s="22">
        <v>0</v>
      </c>
      <c r="H1985" s="22">
        <v>0</v>
      </c>
      <c r="I1985" s="22">
        <v>0</v>
      </c>
      <c r="J1985" s="22">
        <v>74.239999999999995</v>
      </c>
      <c r="K1985" s="22">
        <v>0</v>
      </c>
      <c r="L1985" s="22">
        <v>74.239999999999995</v>
      </c>
      <c r="M1985" s="10"/>
      <c r="O1985" s="11"/>
    </row>
    <row r="1986" spans="1:15" x14ac:dyDescent="0.25">
      <c r="A1986" s="6"/>
      <c r="B1986" s="5"/>
      <c r="C1986" s="5"/>
      <c r="D1986" s="5" t="s">
        <v>270</v>
      </c>
      <c r="E1986" s="5" t="s">
        <v>271</v>
      </c>
      <c r="F1986" s="5" t="s">
        <v>560</v>
      </c>
      <c r="G1986" s="14">
        <f t="shared" ref="G1986:L1986" si="499">SUBTOTAL(9,G1984:G1985)</f>
        <v>730.41</v>
      </c>
      <c r="H1986" s="14">
        <f t="shared" si="499"/>
        <v>0</v>
      </c>
      <c r="I1986" s="14">
        <f t="shared" si="499"/>
        <v>0</v>
      </c>
      <c r="J1986" s="14">
        <f t="shared" si="499"/>
        <v>74.239999999999995</v>
      </c>
      <c r="K1986" s="14">
        <f t="shared" si="499"/>
        <v>-14.61</v>
      </c>
      <c r="L1986" s="14">
        <f t="shared" si="499"/>
        <v>790.04</v>
      </c>
      <c r="M1986" s="10">
        <v>2601</v>
      </c>
      <c r="N1986" s="69"/>
      <c r="O1986" s="11">
        <f>O1982+1</f>
        <v>483</v>
      </c>
    </row>
    <row r="1987" spans="1:15" s="4" customFormat="1" x14ac:dyDescent="0.25">
      <c r="A1987" s="10"/>
      <c r="B1987"/>
      <c r="C1987"/>
      <c r="D1987"/>
      <c r="E1987"/>
      <c r="F1987"/>
      <c r="G1987" s="21"/>
      <c r="H1987" s="21"/>
      <c r="I1987" s="21"/>
      <c r="J1987" s="21"/>
      <c r="K1987" s="21"/>
      <c r="L1987" s="21"/>
      <c r="M1987" s="10"/>
      <c r="N1987" s="67"/>
      <c r="O1987" s="11"/>
    </row>
    <row r="1988" spans="1:15" s="4" customFormat="1" x14ac:dyDescent="0.25">
      <c r="A1988" s="6">
        <v>982</v>
      </c>
      <c r="B1988" s="5" t="s">
        <v>18</v>
      </c>
      <c r="C1988" s="5" t="s">
        <v>17</v>
      </c>
      <c r="D1988" s="5" t="s">
        <v>270</v>
      </c>
      <c r="E1988" s="5" t="s">
        <v>271</v>
      </c>
      <c r="F1988" s="5" t="s">
        <v>19</v>
      </c>
      <c r="G1988" s="22">
        <v>0.28999999999999998</v>
      </c>
      <c r="H1988" s="22">
        <v>0</v>
      </c>
      <c r="I1988" s="22">
        <v>0</v>
      </c>
      <c r="J1988" s="22">
        <v>0</v>
      </c>
      <c r="K1988" s="22">
        <v>-0.26</v>
      </c>
      <c r="L1988" s="22">
        <v>0.03</v>
      </c>
      <c r="M1988" s="10"/>
      <c r="N1988" s="67"/>
      <c r="O1988" s="11"/>
    </row>
    <row r="1989" spans="1:15" x14ac:dyDescent="0.25">
      <c r="A1989" s="6"/>
      <c r="B1989" s="5"/>
      <c r="C1989" s="5"/>
      <c r="D1989" s="5" t="s">
        <v>270</v>
      </c>
      <c r="E1989" s="5" t="s">
        <v>271</v>
      </c>
      <c r="F1989" s="5" t="s">
        <v>19</v>
      </c>
      <c r="G1989" s="14">
        <f t="shared" ref="G1989:L1989" si="500">SUBTOTAL(9,G1988:G1988)</f>
        <v>0.28999999999999998</v>
      </c>
      <c r="H1989" s="14">
        <f t="shared" si="500"/>
        <v>0</v>
      </c>
      <c r="I1989" s="14">
        <f t="shared" si="500"/>
        <v>0</v>
      </c>
      <c r="J1989" s="14">
        <f t="shared" si="500"/>
        <v>0</v>
      </c>
      <c r="K1989" s="14">
        <f t="shared" si="500"/>
        <v>-0.26</v>
      </c>
      <c r="L1989" s="14">
        <f t="shared" si="500"/>
        <v>0.03</v>
      </c>
      <c r="M1989" s="10">
        <v>2602</v>
      </c>
      <c r="N1989" s="69"/>
      <c r="O1989" s="11">
        <f>O1986+1</f>
        <v>484</v>
      </c>
    </row>
    <row r="1990" spans="1:15" x14ac:dyDescent="0.25">
      <c r="A1990" s="10"/>
      <c r="G1990" s="21"/>
      <c r="H1990" s="21"/>
      <c r="I1990" s="21"/>
      <c r="J1990" s="21"/>
      <c r="K1990" s="21"/>
      <c r="L1990" s="21"/>
      <c r="M1990" s="10"/>
      <c r="O1990" s="11"/>
    </row>
    <row r="1991" spans="1:15" s="4" customFormat="1" x14ac:dyDescent="0.25">
      <c r="A1991" s="6">
        <v>983</v>
      </c>
      <c r="B1991" s="5" t="s">
        <v>550</v>
      </c>
      <c r="C1991" s="5" t="s">
        <v>17</v>
      </c>
      <c r="D1991" s="5" t="s">
        <v>270</v>
      </c>
      <c r="E1991" s="5" t="s">
        <v>271</v>
      </c>
      <c r="F1991" s="5" t="s">
        <v>551</v>
      </c>
      <c r="G1991" s="22">
        <v>39788.19</v>
      </c>
      <c r="H1991" s="22">
        <v>0</v>
      </c>
      <c r="I1991" s="22">
        <v>0</v>
      </c>
      <c r="J1991" s="22">
        <v>0</v>
      </c>
      <c r="K1991" s="22">
        <v>-795.76</v>
      </c>
      <c r="L1991" s="22">
        <v>38992.43</v>
      </c>
      <c r="M1991" s="10"/>
      <c r="N1991" s="67"/>
      <c r="O1991" s="11"/>
    </row>
    <row r="1992" spans="1:15" s="4" customFormat="1" x14ac:dyDescent="0.25">
      <c r="A1992" s="6">
        <v>984</v>
      </c>
      <c r="B1992" s="5" t="s">
        <v>550</v>
      </c>
      <c r="C1992" s="5" t="s">
        <v>13</v>
      </c>
      <c r="D1992" s="5" t="s">
        <v>270</v>
      </c>
      <c r="E1992" s="5" t="s">
        <v>271</v>
      </c>
      <c r="F1992" s="5" t="s">
        <v>551</v>
      </c>
      <c r="G1992" s="22">
        <v>0</v>
      </c>
      <c r="H1992" s="22">
        <v>0</v>
      </c>
      <c r="I1992" s="22">
        <v>0</v>
      </c>
      <c r="J1992" s="22">
        <v>4774.58</v>
      </c>
      <c r="K1992" s="22">
        <v>0</v>
      </c>
      <c r="L1992" s="22">
        <v>4774.58</v>
      </c>
      <c r="M1992" s="10"/>
      <c r="N1992" s="67"/>
      <c r="O1992" s="11"/>
    </row>
    <row r="1993" spans="1:15" x14ac:dyDescent="0.25">
      <c r="A1993" s="6"/>
      <c r="B1993" s="5"/>
      <c r="C1993" s="5"/>
      <c r="D1993" s="5" t="s">
        <v>270</v>
      </c>
      <c r="E1993" s="5" t="s">
        <v>271</v>
      </c>
      <c r="F1993" s="5" t="s">
        <v>551</v>
      </c>
      <c r="G1993" s="14">
        <f t="shared" ref="G1993:L1993" si="501">SUBTOTAL(9,G1991:G1992)</f>
        <v>39788.19</v>
      </c>
      <c r="H1993" s="14">
        <f t="shared" si="501"/>
        <v>0</v>
      </c>
      <c r="I1993" s="14">
        <f t="shared" si="501"/>
        <v>0</v>
      </c>
      <c r="J1993" s="14">
        <f t="shared" si="501"/>
        <v>4774.58</v>
      </c>
      <c r="K1993" s="14">
        <f t="shared" si="501"/>
        <v>-795.76</v>
      </c>
      <c r="L1993" s="14">
        <f t="shared" si="501"/>
        <v>43767.01</v>
      </c>
      <c r="M1993" s="10">
        <v>2603</v>
      </c>
      <c r="N1993" s="69"/>
      <c r="O1993" s="11">
        <f>O1989+1</f>
        <v>485</v>
      </c>
    </row>
    <row r="1994" spans="1:15" x14ac:dyDescent="0.25">
      <c r="A1994" s="10"/>
      <c r="G1994" s="21"/>
      <c r="H1994" s="21"/>
      <c r="I1994" s="21"/>
      <c r="J1994" s="21"/>
      <c r="K1994" s="21"/>
      <c r="L1994" s="21"/>
      <c r="M1994" s="10"/>
      <c r="O1994" s="11"/>
    </row>
    <row r="1995" spans="1:15" s="4" customFormat="1" x14ac:dyDescent="0.25">
      <c r="A1995" s="6">
        <v>985</v>
      </c>
      <c r="B1995" s="5" t="s">
        <v>550</v>
      </c>
      <c r="C1995" s="5" t="s">
        <v>17</v>
      </c>
      <c r="D1995" s="5" t="s">
        <v>270</v>
      </c>
      <c r="E1995" s="5" t="s">
        <v>271</v>
      </c>
      <c r="F1995" s="5" t="s">
        <v>552</v>
      </c>
      <c r="G1995" s="22">
        <v>2.86</v>
      </c>
      <c r="H1995" s="22">
        <v>0</v>
      </c>
      <c r="I1995" s="22">
        <v>0</v>
      </c>
      <c r="J1995" s="22">
        <v>0</v>
      </c>
      <c r="K1995" s="22">
        <v>-0.06</v>
      </c>
      <c r="L1995" s="22">
        <v>2.8</v>
      </c>
      <c r="M1995" s="10"/>
      <c r="N1995" s="67"/>
      <c r="O1995" s="11"/>
    </row>
    <row r="1996" spans="1:15" x14ac:dyDescent="0.25">
      <c r="A1996" s="6">
        <v>986</v>
      </c>
      <c r="B1996" s="5" t="s">
        <v>550</v>
      </c>
      <c r="C1996" s="5" t="s">
        <v>13</v>
      </c>
      <c r="D1996" s="5" t="s">
        <v>270</v>
      </c>
      <c r="E1996" s="5" t="s">
        <v>271</v>
      </c>
      <c r="F1996" s="5" t="s">
        <v>552</v>
      </c>
      <c r="G1996" s="22">
        <v>0</v>
      </c>
      <c r="H1996" s="22">
        <v>0</v>
      </c>
      <c r="I1996" s="22">
        <v>0</v>
      </c>
      <c r="J1996" s="22">
        <v>0.34</v>
      </c>
      <c r="K1996" s="22">
        <v>0</v>
      </c>
      <c r="L1996" s="22">
        <v>0.34</v>
      </c>
      <c r="M1996" s="10"/>
      <c r="O1996" s="11"/>
    </row>
    <row r="1997" spans="1:15" x14ac:dyDescent="0.25">
      <c r="A1997" s="6"/>
      <c r="B1997" s="5"/>
      <c r="C1997" s="5"/>
      <c r="D1997" s="5" t="s">
        <v>270</v>
      </c>
      <c r="E1997" s="5" t="s">
        <v>271</v>
      </c>
      <c r="F1997" s="5" t="s">
        <v>552</v>
      </c>
      <c r="G1997" s="14">
        <f t="shared" ref="G1997:L1997" si="502">SUBTOTAL(9,G1995:G1996)</f>
        <v>2.86</v>
      </c>
      <c r="H1997" s="14">
        <f t="shared" si="502"/>
        <v>0</v>
      </c>
      <c r="I1997" s="14">
        <f t="shared" si="502"/>
        <v>0</v>
      </c>
      <c r="J1997" s="14">
        <f t="shared" si="502"/>
        <v>0.34</v>
      </c>
      <c r="K1997" s="14">
        <f t="shared" si="502"/>
        <v>-0.06</v>
      </c>
      <c r="L1997" s="14">
        <f t="shared" si="502"/>
        <v>3.1399999999999997</v>
      </c>
      <c r="M1997" s="10">
        <v>2604</v>
      </c>
      <c r="N1997" s="69"/>
      <c r="O1997" s="11">
        <f>O1993+1</f>
        <v>486</v>
      </c>
    </row>
    <row r="1998" spans="1:15" s="4" customFormat="1" x14ac:dyDescent="0.25">
      <c r="A1998" s="10"/>
      <c r="B1998"/>
      <c r="C1998"/>
      <c r="D1998"/>
      <c r="E1998"/>
      <c r="F1998"/>
      <c r="G1998" s="21"/>
      <c r="H1998" s="21"/>
      <c r="I1998" s="21"/>
      <c r="J1998" s="21"/>
      <c r="K1998" s="21"/>
      <c r="L1998" s="21"/>
      <c r="M1998" s="10"/>
      <c r="N1998" s="67"/>
      <c r="O1998" s="11"/>
    </row>
    <row r="1999" spans="1:15" x14ac:dyDescent="0.25">
      <c r="A1999" s="6">
        <v>987</v>
      </c>
      <c r="B1999" s="5" t="s">
        <v>555</v>
      </c>
      <c r="C1999" s="5" t="s">
        <v>17</v>
      </c>
      <c r="D1999" s="5" t="s">
        <v>272</v>
      </c>
      <c r="E1999" s="5" t="s">
        <v>273</v>
      </c>
      <c r="F1999" s="5" t="s">
        <v>556</v>
      </c>
      <c r="G1999" s="22">
        <v>356.8</v>
      </c>
      <c r="H1999" s="22">
        <v>0</v>
      </c>
      <c r="I1999" s="22">
        <v>0</v>
      </c>
      <c r="J1999" s="22">
        <v>0</v>
      </c>
      <c r="K1999" s="22">
        <v>-7.14</v>
      </c>
      <c r="L1999" s="22">
        <v>349.66</v>
      </c>
      <c r="M1999" s="10"/>
      <c r="O1999" s="11"/>
    </row>
    <row r="2000" spans="1:15" x14ac:dyDescent="0.25">
      <c r="A2000" s="6">
        <v>988</v>
      </c>
      <c r="B2000" s="5" t="s">
        <v>555</v>
      </c>
      <c r="C2000" s="5" t="s">
        <v>13</v>
      </c>
      <c r="D2000" s="5" t="s">
        <v>272</v>
      </c>
      <c r="E2000" s="5" t="s">
        <v>273</v>
      </c>
      <c r="F2000" s="5" t="s">
        <v>556</v>
      </c>
      <c r="G2000" s="22">
        <v>0</v>
      </c>
      <c r="H2000" s="22">
        <v>0</v>
      </c>
      <c r="I2000" s="22">
        <v>0</v>
      </c>
      <c r="J2000" s="22">
        <v>42.82</v>
      </c>
      <c r="K2000" s="22">
        <v>0</v>
      </c>
      <c r="L2000" s="22">
        <v>42.82</v>
      </c>
      <c r="M2000" s="10"/>
      <c r="O2000" s="11"/>
    </row>
    <row r="2001" spans="1:15" s="4" customFormat="1" x14ac:dyDescent="0.25">
      <c r="A2001" s="6"/>
      <c r="B2001" s="5"/>
      <c r="C2001" s="5"/>
      <c r="D2001" s="5" t="s">
        <v>272</v>
      </c>
      <c r="E2001" s="5" t="s">
        <v>273</v>
      </c>
      <c r="F2001" s="5" t="s">
        <v>556</v>
      </c>
      <c r="G2001" s="14">
        <f t="shared" ref="G2001:L2001" si="503">SUBTOTAL(9,G1999:G2000)</f>
        <v>356.8</v>
      </c>
      <c r="H2001" s="14">
        <f t="shared" si="503"/>
        <v>0</v>
      </c>
      <c r="I2001" s="14">
        <f t="shared" si="503"/>
        <v>0</v>
      </c>
      <c r="J2001" s="14">
        <f t="shared" si="503"/>
        <v>42.82</v>
      </c>
      <c r="K2001" s="14">
        <f t="shared" si="503"/>
        <v>-7.14</v>
      </c>
      <c r="L2001" s="14">
        <f t="shared" si="503"/>
        <v>392.48</v>
      </c>
      <c r="M2001" s="10">
        <v>2605</v>
      </c>
      <c r="N2001" s="69"/>
      <c r="O2001" s="11">
        <f>O1997+1</f>
        <v>487</v>
      </c>
    </row>
    <row r="2002" spans="1:15" s="4" customFormat="1" x14ac:dyDescent="0.25">
      <c r="A2002" s="10"/>
      <c r="B2002"/>
      <c r="C2002"/>
      <c r="D2002"/>
      <c r="E2002"/>
      <c r="F2002"/>
      <c r="G2002" s="21"/>
      <c r="H2002" s="21"/>
      <c r="I2002" s="21"/>
      <c r="J2002" s="21"/>
      <c r="K2002" s="21"/>
      <c r="L2002" s="21"/>
      <c r="M2002" s="10"/>
      <c r="N2002" s="67"/>
      <c r="O2002" s="11"/>
    </row>
    <row r="2003" spans="1:15" x14ac:dyDescent="0.25">
      <c r="A2003" s="6">
        <v>989</v>
      </c>
      <c r="B2003" s="5" t="s">
        <v>557</v>
      </c>
      <c r="C2003" s="5" t="s">
        <v>17</v>
      </c>
      <c r="D2003" s="5" t="s">
        <v>272</v>
      </c>
      <c r="E2003" s="5" t="s">
        <v>273</v>
      </c>
      <c r="F2003" s="5" t="s">
        <v>558</v>
      </c>
      <c r="G2003" s="22">
        <v>280.33</v>
      </c>
      <c r="H2003" s="22">
        <v>0</v>
      </c>
      <c r="I2003" s="22">
        <v>0</v>
      </c>
      <c r="J2003" s="22">
        <v>0</v>
      </c>
      <c r="K2003" s="22">
        <v>-5.61</v>
      </c>
      <c r="L2003" s="22">
        <v>274.72000000000003</v>
      </c>
      <c r="M2003" s="10"/>
      <c r="O2003" s="11"/>
    </row>
    <row r="2004" spans="1:15" x14ac:dyDescent="0.25">
      <c r="A2004" s="6">
        <v>990</v>
      </c>
      <c r="B2004" s="5" t="s">
        <v>557</v>
      </c>
      <c r="C2004" s="5" t="s">
        <v>13</v>
      </c>
      <c r="D2004" s="5" t="s">
        <v>272</v>
      </c>
      <c r="E2004" s="5" t="s">
        <v>273</v>
      </c>
      <c r="F2004" s="5" t="s">
        <v>558</v>
      </c>
      <c r="G2004" s="22">
        <v>0</v>
      </c>
      <c r="H2004" s="22">
        <v>0</v>
      </c>
      <c r="I2004" s="22">
        <v>0</v>
      </c>
      <c r="J2004" s="22">
        <v>33.64</v>
      </c>
      <c r="K2004" s="22">
        <v>0</v>
      </c>
      <c r="L2004" s="22">
        <v>33.64</v>
      </c>
      <c r="M2004" s="10"/>
      <c r="O2004" s="11"/>
    </row>
    <row r="2005" spans="1:15" s="4" customFormat="1" x14ac:dyDescent="0.25">
      <c r="A2005" s="6"/>
      <c r="B2005" s="5"/>
      <c r="C2005" s="5"/>
      <c r="D2005" s="5" t="s">
        <v>272</v>
      </c>
      <c r="E2005" s="5" t="s">
        <v>273</v>
      </c>
      <c r="F2005" s="5" t="s">
        <v>558</v>
      </c>
      <c r="G2005" s="14">
        <f t="shared" ref="G2005:L2005" si="504">SUBTOTAL(9,G2003:G2004)</f>
        <v>280.33</v>
      </c>
      <c r="H2005" s="14">
        <f t="shared" si="504"/>
        <v>0</v>
      </c>
      <c r="I2005" s="14">
        <f t="shared" si="504"/>
        <v>0</v>
      </c>
      <c r="J2005" s="14">
        <f t="shared" si="504"/>
        <v>33.64</v>
      </c>
      <c r="K2005" s="14">
        <f t="shared" si="504"/>
        <v>-5.61</v>
      </c>
      <c r="L2005" s="14">
        <f t="shared" si="504"/>
        <v>308.36</v>
      </c>
      <c r="M2005" s="10">
        <v>2606</v>
      </c>
      <c r="N2005" s="69"/>
      <c r="O2005" s="11">
        <f>O2001+1</f>
        <v>488</v>
      </c>
    </row>
    <row r="2006" spans="1:15" s="4" customFormat="1" x14ac:dyDescent="0.25">
      <c r="A2006" s="10"/>
      <c r="B2006"/>
      <c r="C2006"/>
      <c r="D2006"/>
      <c r="E2006"/>
      <c r="F2006"/>
      <c r="G2006" s="21"/>
      <c r="H2006" s="21"/>
      <c r="I2006" s="21"/>
      <c r="J2006" s="21"/>
      <c r="K2006" s="21"/>
      <c r="L2006" s="21"/>
      <c r="M2006" s="10"/>
      <c r="N2006" s="67"/>
      <c r="O2006" s="11"/>
    </row>
    <row r="2007" spans="1:15" x14ac:dyDescent="0.25">
      <c r="A2007" s="6">
        <v>991</v>
      </c>
      <c r="B2007" s="5" t="s">
        <v>18</v>
      </c>
      <c r="C2007" s="5" t="s">
        <v>17</v>
      </c>
      <c r="D2007" s="5" t="s">
        <v>272</v>
      </c>
      <c r="E2007" s="5" t="s">
        <v>273</v>
      </c>
      <c r="F2007" s="5" t="s">
        <v>19</v>
      </c>
      <c r="G2007" s="22">
        <v>0.32</v>
      </c>
      <c r="H2007" s="22">
        <v>0</v>
      </c>
      <c r="I2007" s="22">
        <v>0</v>
      </c>
      <c r="J2007" s="22">
        <v>0</v>
      </c>
      <c r="K2007" s="22">
        <v>-0.28000000000000003</v>
      </c>
      <c r="L2007" s="22">
        <v>0.04</v>
      </c>
      <c r="M2007" s="10"/>
      <c r="O2007" s="11"/>
    </row>
    <row r="2008" spans="1:15" x14ac:dyDescent="0.25">
      <c r="A2008" s="6"/>
      <c r="B2008" s="5"/>
      <c r="C2008" s="5"/>
      <c r="D2008" s="5" t="s">
        <v>272</v>
      </c>
      <c r="E2008" s="5" t="s">
        <v>273</v>
      </c>
      <c r="F2008" s="5" t="s">
        <v>19</v>
      </c>
      <c r="G2008" s="14">
        <f t="shared" ref="G2008:L2008" si="505">SUBTOTAL(9,G2007:G2007)</f>
        <v>0.32</v>
      </c>
      <c r="H2008" s="14">
        <f t="shared" si="505"/>
        <v>0</v>
      </c>
      <c r="I2008" s="14">
        <f t="shared" si="505"/>
        <v>0</v>
      </c>
      <c r="J2008" s="14">
        <f t="shared" si="505"/>
        <v>0</v>
      </c>
      <c r="K2008" s="14">
        <f t="shared" si="505"/>
        <v>-0.28000000000000003</v>
      </c>
      <c r="L2008" s="14">
        <f t="shared" si="505"/>
        <v>0.04</v>
      </c>
      <c r="M2008" s="10">
        <v>2607</v>
      </c>
      <c r="N2008" s="69"/>
      <c r="O2008" s="11">
        <f>O2005+1</f>
        <v>489</v>
      </c>
    </row>
    <row r="2009" spans="1:15" s="4" customFormat="1" x14ac:dyDescent="0.25">
      <c r="A2009" s="10"/>
      <c r="B2009"/>
      <c r="C2009"/>
      <c r="D2009"/>
      <c r="E2009"/>
      <c r="F2009"/>
      <c r="G2009" s="21"/>
      <c r="H2009" s="21"/>
      <c r="I2009" s="21"/>
      <c r="J2009" s="21"/>
      <c r="K2009" s="21"/>
      <c r="L2009" s="21"/>
      <c r="M2009" s="10"/>
      <c r="N2009" s="67"/>
      <c r="O2009" s="11"/>
    </row>
    <row r="2010" spans="1:15" s="4" customFormat="1" x14ac:dyDescent="0.25">
      <c r="A2010" s="6">
        <v>992</v>
      </c>
      <c r="B2010" s="5" t="s">
        <v>550</v>
      </c>
      <c r="C2010" s="5" t="s">
        <v>17</v>
      </c>
      <c r="D2010" s="5" t="s">
        <v>272</v>
      </c>
      <c r="E2010" s="5" t="s">
        <v>273</v>
      </c>
      <c r="F2010" s="5" t="s">
        <v>551</v>
      </c>
      <c r="G2010" s="22">
        <v>7560.19</v>
      </c>
      <c r="H2010" s="22">
        <v>0</v>
      </c>
      <c r="I2010" s="22">
        <v>0</v>
      </c>
      <c r="J2010" s="22">
        <v>0</v>
      </c>
      <c r="K2010" s="22">
        <v>-151.19999999999999</v>
      </c>
      <c r="L2010" s="22">
        <v>7408.99</v>
      </c>
      <c r="M2010" s="10"/>
      <c r="N2010" s="67"/>
      <c r="O2010" s="11"/>
    </row>
    <row r="2011" spans="1:15" x14ac:dyDescent="0.25">
      <c r="A2011" s="6">
        <v>993</v>
      </c>
      <c r="B2011" s="5" t="s">
        <v>550</v>
      </c>
      <c r="C2011" s="5" t="s">
        <v>13</v>
      </c>
      <c r="D2011" s="5" t="s">
        <v>272</v>
      </c>
      <c r="E2011" s="5" t="s">
        <v>273</v>
      </c>
      <c r="F2011" s="5" t="s">
        <v>551</v>
      </c>
      <c r="G2011" s="22">
        <v>0</v>
      </c>
      <c r="H2011" s="22">
        <v>0</v>
      </c>
      <c r="I2011" s="22">
        <v>0</v>
      </c>
      <c r="J2011" s="22">
        <v>907.22</v>
      </c>
      <c r="K2011" s="22">
        <v>0</v>
      </c>
      <c r="L2011" s="22">
        <v>907.22</v>
      </c>
      <c r="M2011" s="10"/>
      <c r="O2011" s="11"/>
    </row>
    <row r="2012" spans="1:15" x14ac:dyDescent="0.25">
      <c r="A2012" s="6"/>
      <c r="B2012" s="5"/>
      <c r="C2012" s="5"/>
      <c r="D2012" s="5" t="s">
        <v>272</v>
      </c>
      <c r="E2012" s="5" t="s">
        <v>273</v>
      </c>
      <c r="F2012" s="5" t="s">
        <v>551</v>
      </c>
      <c r="G2012" s="14">
        <f t="shared" ref="G2012:L2012" si="506">SUBTOTAL(9,G2010:G2011)</f>
        <v>7560.19</v>
      </c>
      <c r="H2012" s="14">
        <f t="shared" si="506"/>
        <v>0</v>
      </c>
      <c r="I2012" s="14">
        <f t="shared" si="506"/>
        <v>0</v>
      </c>
      <c r="J2012" s="14">
        <f t="shared" si="506"/>
        <v>907.22</v>
      </c>
      <c r="K2012" s="14">
        <f t="shared" si="506"/>
        <v>-151.19999999999999</v>
      </c>
      <c r="L2012" s="14">
        <f t="shared" si="506"/>
        <v>8316.2099999999991</v>
      </c>
      <c r="M2012" s="10">
        <v>2608</v>
      </c>
      <c r="N2012" s="69"/>
      <c r="O2012" s="11">
        <f>O2008+1</f>
        <v>490</v>
      </c>
    </row>
    <row r="2013" spans="1:15" s="4" customFormat="1" x14ac:dyDescent="0.25">
      <c r="A2013" s="10"/>
      <c r="B2013"/>
      <c r="C2013"/>
      <c r="D2013"/>
      <c r="E2013"/>
      <c r="F2013"/>
      <c r="G2013" s="21"/>
      <c r="H2013" s="21"/>
      <c r="I2013" s="21"/>
      <c r="J2013" s="21"/>
      <c r="K2013" s="21"/>
      <c r="L2013" s="21"/>
      <c r="M2013" s="10"/>
      <c r="N2013" s="67"/>
      <c r="O2013" s="11"/>
    </row>
    <row r="2014" spans="1:15" s="4" customFormat="1" x14ac:dyDescent="0.25">
      <c r="A2014" s="6">
        <v>994</v>
      </c>
      <c r="B2014" s="5" t="s">
        <v>550</v>
      </c>
      <c r="C2014" s="5" t="s">
        <v>17</v>
      </c>
      <c r="D2014" s="5" t="s">
        <v>272</v>
      </c>
      <c r="E2014" s="5" t="s">
        <v>273</v>
      </c>
      <c r="F2014" s="5" t="s">
        <v>552</v>
      </c>
      <c r="G2014" s="22">
        <v>0.54</v>
      </c>
      <c r="H2014" s="22">
        <v>0</v>
      </c>
      <c r="I2014" s="22">
        <v>0</v>
      </c>
      <c r="J2014" s="22">
        <v>0</v>
      </c>
      <c r="K2014" s="22">
        <v>-0.01</v>
      </c>
      <c r="L2014" s="22">
        <v>0.53</v>
      </c>
      <c r="M2014" s="10"/>
      <c r="N2014" s="67"/>
      <c r="O2014" s="11"/>
    </row>
    <row r="2015" spans="1:15" s="4" customFormat="1" x14ac:dyDescent="0.25">
      <c r="A2015" s="6">
        <v>995</v>
      </c>
      <c r="B2015" s="5" t="s">
        <v>550</v>
      </c>
      <c r="C2015" s="5" t="s">
        <v>13</v>
      </c>
      <c r="D2015" s="5" t="s">
        <v>272</v>
      </c>
      <c r="E2015" s="5" t="s">
        <v>273</v>
      </c>
      <c r="F2015" s="5" t="s">
        <v>552</v>
      </c>
      <c r="G2015" s="22">
        <v>0</v>
      </c>
      <c r="H2015" s="22">
        <v>0</v>
      </c>
      <c r="I2015" s="22">
        <v>0</v>
      </c>
      <c r="J2015" s="22">
        <v>0.06</v>
      </c>
      <c r="K2015" s="22">
        <v>0</v>
      </c>
      <c r="L2015" s="22">
        <v>0.06</v>
      </c>
      <c r="M2015" s="10"/>
      <c r="N2015" s="67"/>
      <c r="O2015" s="11"/>
    </row>
    <row r="2016" spans="1:15" x14ac:dyDescent="0.25">
      <c r="A2016" s="6"/>
      <c r="B2016" s="5"/>
      <c r="C2016" s="5"/>
      <c r="D2016" s="5" t="s">
        <v>272</v>
      </c>
      <c r="E2016" s="5" t="s">
        <v>273</v>
      </c>
      <c r="F2016" s="5" t="s">
        <v>552</v>
      </c>
      <c r="G2016" s="14">
        <f t="shared" ref="G2016:L2016" si="507">SUBTOTAL(9,G2014:G2015)</f>
        <v>0.54</v>
      </c>
      <c r="H2016" s="14">
        <f t="shared" si="507"/>
        <v>0</v>
      </c>
      <c r="I2016" s="14">
        <f t="shared" si="507"/>
        <v>0</v>
      </c>
      <c r="J2016" s="14">
        <f t="shared" si="507"/>
        <v>0.06</v>
      </c>
      <c r="K2016" s="14">
        <f t="shared" si="507"/>
        <v>-0.01</v>
      </c>
      <c r="L2016" s="14">
        <f t="shared" si="507"/>
        <v>0.59000000000000008</v>
      </c>
      <c r="M2016" s="10">
        <v>2609</v>
      </c>
      <c r="N2016" s="69"/>
      <c r="O2016" s="11">
        <f>O2012+1</f>
        <v>491</v>
      </c>
    </row>
    <row r="2017" spans="1:15" x14ac:dyDescent="0.25">
      <c r="A2017" s="10"/>
      <c r="G2017" s="21"/>
      <c r="H2017" s="21"/>
      <c r="I2017" s="21"/>
      <c r="J2017" s="21"/>
      <c r="K2017" s="21"/>
      <c r="L2017" s="21"/>
      <c r="M2017" s="10"/>
      <c r="O2017" s="11"/>
    </row>
    <row r="2018" spans="1:15" s="4" customFormat="1" x14ac:dyDescent="0.25">
      <c r="A2018" s="6">
        <v>996</v>
      </c>
      <c r="B2018" s="5" t="s">
        <v>555</v>
      </c>
      <c r="C2018" s="5" t="s">
        <v>17</v>
      </c>
      <c r="D2018" s="5" t="s">
        <v>274</v>
      </c>
      <c r="E2018" s="5" t="s">
        <v>275</v>
      </c>
      <c r="F2018" s="5" t="s">
        <v>556</v>
      </c>
      <c r="G2018" s="22">
        <v>505.21</v>
      </c>
      <c r="H2018" s="22">
        <v>0</v>
      </c>
      <c r="I2018" s="22">
        <v>0</v>
      </c>
      <c r="J2018" s="22">
        <v>0</v>
      </c>
      <c r="K2018" s="22">
        <v>-10.1</v>
      </c>
      <c r="L2018" s="22">
        <v>495.11</v>
      </c>
      <c r="M2018" s="10"/>
      <c r="N2018" s="67"/>
      <c r="O2018" s="11"/>
    </row>
    <row r="2019" spans="1:15" x14ac:dyDescent="0.25">
      <c r="A2019" s="6"/>
      <c r="B2019" s="5"/>
      <c r="C2019" s="5"/>
      <c r="D2019" s="5" t="s">
        <v>274</v>
      </c>
      <c r="E2019" s="5" t="s">
        <v>275</v>
      </c>
      <c r="F2019" s="5" t="s">
        <v>556</v>
      </c>
      <c r="G2019" s="14">
        <f t="shared" ref="G2019:L2019" si="508">SUBTOTAL(9,G2018:G2018)</f>
        <v>505.21</v>
      </c>
      <c r="H2019" s="14">
        <f t="shared" si="508"/>
        <v>0</v>
      </c>
      <c r="I2019" s="14">
        <f t="shared" si="508"/>
        <v>0</v>
      </c>
      <c r="J2019" s="14">
        <f t="shared" si="508"/>
        <v>0</v>
      </c>
      <c r="K2019" s="14">
        <f t="shared" si="508"/>
        <v>-10.1</v>
      </c>
      <c r="L2019" s="14">
        <f t="shared" si="508"/>
        <v>495.11</v>
      </c>
      <c r="M2019" s="10">
        <v>2610</v>
      </c>
      <c r="N2019" s="69"/>
      <c r="O2019" s="11">
        <f>O2016+1</f>
        <v>492</v>
      </c>
    </row>
    <row r="2020" spans="1:15" x14ac:dyDescent="0.25">
      <c r="A2020" s="10"/>
      <c r="G2020" s="21"/>
      <c r="H2020" s="21"/>
      <c r="I2020" s="21"/>
      <c r="J2020" s="21"/>
      <c r="K2020" s="21"/>
      <c r="L2020" s="21"/>
      <c r="M2020" s="10"/>
      <c r="O2020" s="11"/>
    </row>
    <row r="2021" spans="1:15" s="4" customFormat="1" x14ac:dyDescent="0.25">
      <c r="A2021" s="6">
        <v>997</v>
      </c>
      <c r="B2021" s="5" t="s">
        <v>557</v>
      </c>
      <c r="C2021" s="5" t="s">
        <v>17</v>
      </c>
      <c r="D2021" s="5" t="s">
        <v>274</v>
      </c>
      <c r="E2021" s="5" t="s">
        <v>275</v>
      </c>
      <c r="F2021" s="5" t="s">
        <v>558</v>
      </c>
      <c r="G2021" s="22">
        <v>187.12</v>
      </c>
      <c r="H2021" s="22">
        <v>0</v>
      </c>
      <c r="I2021" s="22">
        <v>0</v>
      </c>
      <c r="J2021" s="22">
        <v>0</v>
      </c>
      <c r="K2021" s="22">
        <v>-3.74</v>
      </c>
      <c r="L2021" s="22">
        <v>183.38</v>
      </c>
      <c r="M2021" s="10"/>
      <c r="N2021" s="67"/>
      <c r="O2021" s="11"/>
    </row>
    <row r="2022" spans="1:15" s="4" customFormat="1" x14ac:dyDescent="0.25">
      <c r="A2022" s="6"/>
      <c r="B2022" s="5"/>
      <c r="C2022" s="5"/>
      <c r="D2022" s="5" t="s">
        <v>274</v>
      </c>
      <c r="E2022" s="5" t="s">
        <v>275</v>
      </c>
      <c r="F2022" s="5" t="s">
        <v>558</v>
      </c>
      <c r="G2022" s="14">
        <f t="shared" ref="G2022:L2022" si="509">SUBTOTAL(9,G2021:G2021)</f>
        <v>187.12</v>
      </c>
      <c r="H2022" s="14">
        <f t="shared" si="509"/>
        <v>0</v>
      </c>
      <c r="I2022" s="14">
        <f t="shared" si="509"/>
        <v>0</v>
      </c>
      <c r="J2022" s="14">
        <f t="shared" si="509"/>
        <v>0</v>
      </c>
      <c r="K2022" s="14">
        <f t="shared" si="509"/>
        <v>-3.74</v>
      </c>
      <c r="L2022" s="14">
        <f t="shared" si="509"/>
        <v>183.38</v>
      </c>
      <c r="M2022" s="10">
        <v>2611</v>
      </c>
      <c r="N2022" s="69"/>
      <c r="O2022" s="11">
        <f>O2019+1</f>
        <v>493</v>
      </c>
    </row>
    <row r="2023" spans="1:15" x14ac:dyDescent="0.25">
      <c r="A2023" s="10"/>
      <c r="G2023" s="21"/>
      <c r="H2023" s="21"/>
      <c r="I2023" s="21"/>
      <c r="J2023" s="21"/>
      <c r="K2023" s="21"/>
      <c r="L2023" s="21"/>
      <c r="M2023" s="10"/>
      <c r="O2023" s="11"/>
    </row>
    <row r="2024" spans="1:15" x14ac:dyDescent="0.25">
      <c r="A2024" s="6">
        <v>998</v>
      </c>
      <c r="B2024" s="5" t="s">
        <v>18</v>
      </c>
      <c r="C2024" s="5" t="s">
        <v>17</v>
      </c>
      <c r="D2024" s="5" t="s">
        <v>274</v>
      </c>
      <c r="E2024" s="5" t="s">
        <v>275</v>
      </c>
      <c r="F2024" s="5" t="s">
        <v>19</v>
      </c>
      <c r="G2024" s="22">
        <v>1.1299999999999999</v>
      </c>
      <c r="H2024" s="22">
        <v>0</v>
      </c>
      <c r="I2024" s="22">
        <v>0</v>
      </c>
      <c r="J2024" s="22">
        <v>0</v>
      </c>
      <c r="K2024" s="22">
        <v>-1</v>
      </c>
      <c r="L2024" s="22">
        <v>0.13</v>
      </c>
      <c r="M2024" s="10"/>
      <c r="O2024" s="11"/>
    </row>
    <row r="2025" spans="1:15" s="4" customFormat="1" x14ac:dyDescent="0.25">
      <c r="A2025" s="6"/>
      <c r="B2025" s="5"/>
      <c r="C2025" s="5"/>
      <c r="D2025" s="5" t="s">
        <v>274</v>
      </c>
      <c r="E2025" s="5" t="s">
        <v>275</v>
      </c>
      <c r="F2025" s="5" t="s">
        <v>19</v>
      </c>
      <c r="G2025" s="14">
        <f t="shared" ref="G2025:L2025" si="510">SUBTOTAL(9,G2024:G2024)</f>
        <v>1.1299999999999999</v>
      </c>
      <c r="H2025" s="14">
        <f t="shared" si="510"/>
        <v>0</v>
      </c>
      <c r="I2025" s="14">
        <f t="shared" si="510"/>
        <v>0</v>
      </c>
      <c r="J2025" s="14">
        <f t="shared" si="510"/>
        <v>0</v>
      </c>
      <c r="K2025" s="14">
        <f t="shared" si="510"/>
        <v>-1</v>
      </c>
      <c r="L2025" s="14">
        <f t="shared" si="510"/>
        <v>0.13</v>
      </c>
      <c r="M2025" s="10">
        <v>2612</v>
      </c>
      <c r="N2025" s="69"/>
      <c r="O2025" s="11">
        <f>O2019+1</f>
        <v>493</v>
      </c>
    </row>
    <row r="2026" spans="1:15" s="4" customFormat="1" x14ac:dyDescent="0.25">
      <c r="A2026" s="10"/>
      <c r="B2026"/>
      <c r="C2026"/>
      <c r="D2026"/>
      <c r="E2026"/>
      <c r="F2026"/>
      <c r="G2026" s="21"/>
      <c r="H2026" s="21"/>
      <c r="I2026" s="21"/>
      <c r="J2026" s="21"/>
      <c r="K2026" s="21"/>
      <c r="L2026" s="21"/>
      <c r="M2026" s="10"/>
      <c r="N2026" s="67"/>
      <c r="O2026" s="11"/>
    </row>
    <row r="2027" spans="1:15" x14ac:dyDescent="0.25">
      <c r="A2027" s="6">
        <v>999</v>
      </c>
      <c r="B2027" s="5" t="s">
        <v>550</v>
      </c>
      <c r="C2027" s="5" t="s">
        <v>17</v>
      </c>
      <c r="D2027" s="5" t="s">
        <v>274</v>
      </c>
      <c r="E2027" s="5" t="s">
        <v>275</v>
      </c>
      <c r="F2027" s="5" t="s">
        <v>551</v>
      </c>
      <c r="G2027" s="22">
        <v>16281</v>
      </c>
      <c r="H2027" s="22">
        <v>0</v>
      </c>
      <c r="I2027" s="22">
        <v>0</v>
      </c>
      <c r="J2027" s="22">
        <v>0</v>
      </c>
      <c r="K2027" s="22">
        <v>-325.62</v>
      </c>
      <c r="L2027" s="22">
        <v>15955.38</v>
      </c>
      <c r="M2027" s="10"/>
      <c r="O2027" s="11"/>
    </row>
    <row r="2028" spans="1:15" x14ac:dyDescent="0.25">
      <c r="A2028" s="6">
        <v>1000</v>
      </c>
      <c r="B2028" s="5" t="s">
        <v>550</v>
      </c>
      <c r="C2028" s="5" t="s">
        <v>13</v>
      </c>
      <c r="D2028" s="5" t="s">
        <v>274</v>
      </c>
      <c r="E2028" s="5" t="s">
        <v>275</v>
      </c>
      <c r="F2028" s="5" t="s">
        <v>551</v>
      </c>
      <c r="G2028" s="22">
        <v>0</v>
      </c>
      <c r="H2028" s="22">
        <v>0</v>
      </c>
      <c r="I2028" s="22">
        <v>0</v>
      </c>
      <c r="J2028" s="22">
        <v>1953.72</v>
      </c>
      <c r="K2028" s="22">
        <v>0</v>
      </c>
      <c r="L2028" s="22">
        <v>1953.72</v>
      </c>
      <c r="M2028" s="10"/>
      <c r="O2028" s="11"/>
    </row>
    <row r="2029" spans="1:15" s="4" customFormat="1" x14ac:dyDescent="0.25">
      <c r="A2029" s="6"/>
      <c r="B2029" s="5"/>
      <c r="C2029" s="5"/>
      <c r="D2029" s="5" t="s">
        <v>274</v>
      </c>
      <c r="E2029" s="5" t="s">
        <v>275</v>
      </c>
      <c r="F2029" s="5" t="s">
        <v>551</v>
      </c>
      <c r="G2029" s="14">
        <f t="shared" ref="G2029:L2029" si="511">SUBTOTAL(9,G2027:G2028)</f>
        <v>16281</v>
      </c>
      <c r="H2029" s="14">
        <f t="shared" si="511"/>
        <v>0</v>
      </c>
      <c r="I2029" s="14">
        <f t="shared" si="511"/>
        <v>0</v>
      </c>
      <c r="J2029" s="14">
        <f t="shared" si="511"/>
        <v>1953.72</v>
      </c>
      <c r="K2029" s="14">
        <f t="shared" si="511"/>
        <v>-325.62</v>
      </c>
      <c r="L2029" s="14">
        <f t="shared" si="511"/>
        <v>17909.099999999999</v>
      </c>
      <c r="M2029" s="10">
        <v>2613</v>
      </c>
      <c r="N2029" s="69"/>
      <c r="O2029" s="11">
        <f>O2025+1</f>
        <v>494</v>
      </c>
    </row>
    <row r="2030" spans="1:15" s="4" customFormat="1" x14ac:dyDescent="0.25">
      <c r="A2030" s="10"/>
      <c r="B2030"/>
      <c r="C2030"/>
      <c r="D2030"/>
      <c r="E2030"/>
      <c r="F2030"/>
      <c r="G2030" s="21"/>
      <c r="H2030" s="21"/>
      <c r="I2030" s="21"/>
      <c r="J2030" s="21"/>
      <c r="K2030" s="21"/>
      <c r="L2030" s="21"/>
      <c r="M2030" s="10"/>
      <c r="N2030" s="67"/>
      <c r="O2030" s="11"/>
    </row>
    <row r="2031" spans="1:15" x14ac:dyDescent="0.25">
      <c r="A2031" s="6">
        <v>1001</v>
      </c>
      <c r="B2031" s="5" t="s">
        <v>550</v>
      </c>
      <c r="C2031" s="5" t="s">
        <v>17</v>
      </c>
      <c r="D2031" s="5" t="s">
        <v>274</v>
      </c>
      <c r="E2031" s="5" t="s">
        <v>275</v>
      </c>
      <c r="F2031" s="5" t="s">
        <v>552</v>
      </c>
      <c r="G2031" s="22">
        <v>1.17</v>
      </c>
      <c r="H2031" s="22">
        <v>0</v>
      </c>
      <c r="I2031" s="22">
        <v>0</v>
      </c>
      <c r="J2031" s="22">
        <v>0</v>
      </c>
      <c r="K2031" s="22">
        <v>-0.02</v>
      </c>
      <c r="L2031" s="22">
        <v>1.1499999999999999</v>
      </c>
      <c r="M2031" s="10"/>
      <c r="O2031" s="11"/>
    </row>
    <row r="2032" spans="1:15" x14ac:dyDescent="0.25">
      <c r="A2032" s="6">
        <v>1002</v>
      </c>
      <c r="B2032" s="5" t="s">
        <v>550</v>
      </c>
      <c r="C2032" s="5" t="s">
        <v>13</v>
      </c>
      <c r="D2032" s="5" t="s">
        <v>274</v>
      </c>
      <c r="E2032" s="5" t="s">
        <v>275</v>
      </c>
      <c r="F2032" s="5" t="s">
        <v>552</v>
      </c>
      <c r="G2032" s="22">
        <v>0</v>
      </c>
      <c r="H2032" s="22">
        <v>0</v>
      </c>
      <c r="I2032" s="22">
        <v>0</v>
      </c>
      <c r="J2032" s="22">
        <v>0.14000000000000001</v>
      </c>
      <c r="K2032" s="22">
        <v>0</v>
      </c>
      <c r="L2032" s="22">
        <v>0.14000000000000001</v>
      </c>
      <c r="M2032" s="10"/>
      <c r="O2032" s="11"/>
    </row>
    <row r="2033" spans="1:15" s="4" customFormat="1" x14ac:dyDescent="0.25">
      <c r="A2033" s="6"/>
      <c r="B2033" s="5"/>
      <c r="C2033" s="5"/>
      <c r="D2033" s="5" t="s">
        <v>274</v>
      </c>
      <c r="E2033" s="5" t="s">
        <v>275</v>
      </c>
      <c r="F2033" s="5" t="s">
        <v>552</v>
      </c>
      <c r="G2033" s="14">
        <f t="shared" ref="G2033:L2033" si="512">SUBTOTAL(9,G2031:G2032)</f>
        <v>1.17</v>
      </c>
      <c r="H2033" s="14">
        <f t="shared" si="512"/>
        <v>0</v>
      </c>
      <c r="I2033" s="14">
        <f t="shared" si="512"/>
        <v>0</v>
      </c>
      <c r="J2033" s="14">
        <f t="shared" si="512"/>
        <v>0.14000000000000001</v>
      </c>
      <c r="K2033" s="14">
        <f t="shared" si="512"/>
        <v>-0.02</v>
      </c>
      <c r="L2033" s="14">
        <f t="shared" si="512"/>
        <v>1.29</v>
      </c>
      <c r="M2033" s="10">
        <v>2614</v>
      </c>
      <c r="N2033" s="69"/>
      <c r="O2033" s="11">
        <f>O2029+1</f>
        <v>495</v>
      </c>
    </row>
    <row r="2034" spans="1:15" x14ac:dyDescent="0.25">
      <c r="A2034" s="10"/>
      <c r="G2034" s="21"/>
      <c r="H2034" s="21"/>
      <c r="I2034" s="21"/>
      <c r="J2034" s="21"/>
      <c r="K2034" s="21"/>
      <c r="L2034" s="21"/>
      <c r="M2034" s="10"/>
      <c r="O2034" s="11"/>
    </row>
    <row r="2035" spans="1:15" x14ac:dyDescent="0.25">
      <c r="A2035" s="6">
        <v>1003</v>
      </c>
      <c r="B2035" s="5" t="s">
        <v>555</v>
      </c>
      <c r="C2035" s="5" t="s">
        <v>17</v>
      </c>
      <c r="D2035" s="5" t="s">
        <v>276</v>
      </c>
      <c r="E2035" s="5" t="s">
        <v>277</v>
      </c>
      <c r="F2035" s="5" t="s">
        <v>556</v>
      </c>
      <c r="G2035" s="22">
        <v>1292.5899999999999</v>
      </c>
      <c r="H2035" s="22">
        <v>0</v>
      </c>
      <c r="I2035" s="22">
        <v>0</v>
      </c>
      <c r="J2035" s="22">
        <v>0</v>
      </c>
      <c r="K2035" s="22">
        <v>-25.85</v>
      </c>
      <c r="L2035" s="22">
        <v>1266.74</v>
      </c>
      <c r="M2035" s="10"/>
      <c r="O2035" s="11"/>
    </row>
    <row r="2036" spans="1:15" s="4" customFormat="1" x14ac:dyDescent="0.25">
      <c r="A2036" s="6">
        <v>1004</v>
      </c>
      <c r="B2036" s="5" t="s">
        <v>555</v>
      </c>
      <c r="C2036" s="5" t="s">
        <v>13</v>
      </c>
      <c r="D2036" s="5" t="s">
        <v>276</v>
      </c>
      <c r="E2036" s="5" t="s">
        <v>277</v>
      </c>
      <c r="F2036" s="5" t="s">
        <v>556</v>
      </c>
      <c r="G2036" s="22">
        <v>0</v>
      </c>
      <c r="H2036" s="22">
        <v>0</v>
      </c>
      <c r="I2036" s="22">
        <v>0</v>
      </c>
      <c r="J2036" s="22">
        <v>155.11000000000001</v>
      </c>
      <c r="K2036" s="22">
        <v>0</v>
      </c>
      <c r="L2036" s="22">
        <v>155.11000000000001</v>
      </c>
      <c r="M2036" s="10"/>
      <c r="N2036" s="67"/>
      <c r="O2036" s="11"/>
    </row>
    <row r="2037" spans="1:15" s="4" customFormat="1" x14ac:dyDescent="0.25">
      <c r="A2037" s="6"/>
      <c r="B2037" s="5"/>
      <c r="C2037" s="5"/>
      <c r="D2037" s="5" t="s">
        <v>276</v>
      </c>
      <c r="E2037" s="5" t="s">
        <v>277</v>
      </c>
      <c r="F2037" s="5" t="s">
        <v>556</v>
      </c>
      <c r="G2037" s="14">
        <f t="shared" ref="G2037:L2037" si="513">SUBTOTAL(9,G2035:G2036)</f>
        <v>1292.5899999999999</v>
      </c>
      <c r="H2037" s="14">
        <f t="shared" si="513"/>
        <v>0</v>
      </c>
      <c r="I2037" s="14">
        <f t="shared" si="513"/>
        <v>0</v>
      </c>
      <c r="J2037" s="14">
        <f t="shared" si="513"/>
        <v>155.11000000000001</v>
      </c>
      <c r="K2037" s="14">
        <f t="shared" si="513"/>
        <v>-25.85</v>
      </c>
      <c r="L2037" s="14">
        <f t="shared" si="513"/>
        <v>1421.85</v>
      </c>
      <c r="M2037" s="10">
        <v>2615</v>
      </c>
      <c r="N2037" s="69"/>
      <c r="O2037" s="11">
        <f>O2033+1</f>
        <v>496</v>
      </c>
    </row>
    <row r="2038" spans="1:15" x14ac:dyDescent="0.25">
      <c r="A2038" s="10"/>
      <c r="G2038" s="21"/>
      <c r="H2038" s="21"/>
      <c r="I2038" s="21"/>
      <c r="J2038" s="21"/>
      <c r="K2038" s="21"/>
      <c r="L2038" s="21"/>
      <c r="M2038" s="10"/>
      <c r="O2038" s="11"/>
    </row>
    <row r="2039" spans="1:15" x14ac:dyDescent="0.25">
      <c r="A2039" s="6">
        <v>1005</v>
      </c>
      <c r="B2039" s="5" t="s">
        <v>557</v>
      </c>
      <c r="C2039" s="5" t="s">
        <v>17</v>
      </c>
      <c r="D2039" s="5" t="s">
        <v>276</v>
      </c>
      <c r="E2039" s="5" t="s">
        <v>277</v>
      </c>
      <c r="F2039" s="5" t="s">
        <v>558</v>
      </c>
      <c r="G2039" s="22">
        <v>925.13</v>
      </c>
      <c r="H2039" s="22">
        <v>0</v>
      </c>
      <c r="I2039" s="22">
        <v>0</v>
      </c>
      <c r="J2039" s="22">
        <v>0</v>
      </c>
      <c r="K2039" s="22">
        <v>-18.5</v>
      </c>
      <c r="L2039" s="22">
        <v>906.63</v>
      </c>
      <c r="M2039" s="10"/>
      <c r="O2039" s="11"/>
    </row>
    <row r="2040" spans="1:15" s="4" customFormat="1" x14ac:dyDescent="0.25">
      <c r="A2040" s="6">
        <v>1006</v>
      </c>
      <c r="B2040" s="5" t="s">
        <v>557</v>
      </c>
      <c r="C2040" s="5" t="s">
        <v>13</v>
      </c>
      <c r="D2040" s="5" t="s">
        <v>276</v>
      </c>
      <c r="E2040" s="5" t="s">
        <v>277</v>
      </c>
      <c r="F2040" s="5" t="s">
        <v>558</v>
      </c>
      <c r="G2040" s="22">
        <v>0</v>
      </c>
      <c r="H2040" s="22">
        <v>0</v>
      </c>
      <c r="I2040" s="22">
        <v>0</v>
      </c>
      <c r="J2040" s="22">
        <v>111.02</v>
      </c>
      <c r="K2040" s="22">
        <v>0</v>
      </c>
      <c r="L2040" s="22">
        <v>111.02</v>
      </c>
      <c r="M2040" s="10"/>
      <c r="N2040" s="67"/>
      <c r="O2040" s="11"/>
    </row>
    <row r="2041" spans="1:15" s="4" customFormat="1" x14ac:dyDescent="0.25">
      <c r="A2041" s="6"/>
      <c r="B2041" s="5"/>
      <c r="C2041" s="5"/>
      <c r="D2041" s="5" t="s">
        <v>276</v>
      </c>
      <c r="E2041" s="5" t="s">
        <v>277</v>
      </c>
      <c r="F2041" s="5" t="s">
        <v>558</v>
      </c>
      <c r="G2041" s="14">
        <f t="shared" ref="G2041:L2041" si="514">SUBTOTAL(9,G2039:G2040)</f>
        <v>925.13</v>
      </c>
      <c r="H2041" s="14">
        <f t="shared" si="514"/>
        <v>0</v>
      </c>
      <c r="I2041" s="14">
        <f t="shared" si="514"/>
        <v>0</v>
      </c>
      <c r="J2041" s="14">
        <f t="shared" si="514"/>
        <v>111.02</v>
      </c>
      <c r="K2041" s="14">
        <f t="shared" si="514"/>
        <v>-18.5</v>
      </c>
      <c r="L2041" s="14">
        <f t="shared" si="514"/>
        <v>1017.65</v>
      </c>
      <c r="M2041" s="10">
        <v>2616</v>
      </c>
      <c r="N2041" s="69"/>
      <c r="O2041" s="11">
        <f>O2037+1</f>
        <v>497</v>
      </c>
    </row>
    <row r="2042" spans="1:15" x14ac:dyDescent="0.25">
      <c r="A2042" s="10"/>
      <c r="G2042" s="21"/>
      <c r="H2042" s="21"/>
      <c r="I2042" s="21"/>
      <c r="J2042" s="21"/>
      <c r="K2042" s="21"/>
      <c r="L2042" s="21"/>
      <c r="M2042" s="10"/>
      <c r="O2042" s="11"/>
    </row>
    <row r="2043" spans="1:15" x14ac:dyDescent="0.25">
      <c r="A2043" s="6">
        <v>1007</v>
      </c>
      <c r="B2043" s="5" t="s">
        <v>18</v>
      </c>
      <c r="C2043" s="5" t="s">
        <v>17</v>
      </c>
      <c r="D2043" s="5" t="s">
        <v>276</v>
      </c>
      <c r="E2043" s="5" t="s">
        <v>277</v>
      </c>
      <c r="F2043" s="5" t="s">
        <v>19</v>
      </c>
      <c r="G2043" s="22">
        <v>0.06</v>
      </c>
      <c r="H2043" s="22">
        <v>0</v>
      </c>
      <c r="I2043" s="22">
        <v>0</v>
      </c>
      <c r="J2043" s="22">
        <v>0</v>
      </c>
      <c r="K2043" s="22">
        <v>-0.05</v>
      </c>
      <c r="L2043" s="22">
        <v>0.01</v>
      </c>
      <c r="M2043" s="10"/>
      <c r="O2043" s="11"/>
    </row>
    <row r="2044" spans="1:15" s="4" customFormat="1" x14ac:dyDescent="0.25">
      <c r="A2044" s="6"/>
      <c r="B2044" s="5"/>
      <c r="C2044" s="5"/>
      <c r="D2044" s="5" t="s">
        <v>276</v>
      </c>
      <c r="E2044" s="5" t="s">
        <v>277</v>
      </c>
      <c r="F2044" s="5" t="s">
        <v>19</v>
      </c>
      <c r="G2044" s="14">
        <f t="shared" ref="G2044:L2044" si="515">SUBTOTAL(9,G2043:G2043)</f>
        <v>0.06</v>
      </c>
      <c r="H2044" s="14">
        <f t="shared" si="515"/>
        <v>0</v>
      </c>
      <c r="I2044" s="14">
        <f t="shared" si="515"/>
        <v>0</v>
      </c>
      <c r="J2044" s="14">
        <f t="shared" si="515"/>
        <v>0</v>
      </c>
      <c r="K2044" s="14">
        <f t="shared" si="515"/>
        <v>-0.05</v>
      </c>
      <c r="L2044" s="14">
        <f t="shared" si="515"/>
        <v>0.01</v>
      </c>
      <c r="M2044" s="10">
        <v>2617</v>
      </c>
      <c r="N2044" s="69"/>
      <c r="O2044" s="11">
        <f>O2041+1</f>
        <v>498</v>
      </c>
    </row>
    <row r="2045" spans="1:15" x14ac:dyDescent="0.25">
      <c r="A2045" s="10"/>
      <c r="G2045" s="21"/>
      <c r="H2045" s="21"/>
      <c r="I2045" s="21"/>
      <c r="J2045" s="21"/>
      <c r="K2045" s="21"/>
      <c r="L2045" s="21"/>
      <c r="M2045" s="10"/>
      <c r="O2045" s="11"/>
    </row>
    <row r="2046" spans="1:15" x14ac:dyDescent="0.25">
      <c r="A2046" s="6">
        <v>1008</v>
      </c>
      <c r="B2046" s="5" t="s">
        <v>550</v>
      </c>
      <c r="C2046" s="5" t="s">
        <v>17</v>
      </c>
      <c r="D2046" s="5" t="s">
        <v>276</v>
      </c>
      <c r="E2046" s="5" t="s">
        <v>277</v>
      </c>
      <c r="F2046" s="5" t="s">
        <v>551</v>
      </c>
      <c r="G2046" s="22">
        <v>34703.879999999997</v>
      </c>
      <c r="H2046" s="22">
        <v>0</v>
      </c>
      <c r="I2046" s="22">
        <v>0</v>
      </c>
      <c r="J2046" s="22">
        <v>0</v>
      </c>
      <c r="K2046" s="22">
        <v>-694.08</v>
      </c>
      <c r="L2046" s="22">
        <v>34009.800000000003</v>
      </c>
      <c r="M2046" s="10"/>
      <c r="O2046" s="11"/>
    </row>
    <row r="2047" spans="1:15" s="4" customFormat="1" x14ac:dyDescent="0.25">
      <c r="A2047" s="6">
        <v>1009</v>
      </c>
      <c r="B2047" s="5" t="s">
        <v>550</v>
      </c>
      <c r="C2047" s="5" t="s">
        <v>13</v>
      </c>
      <c r="D2047" s="5" t="s">
        <v>276</v>
      </c>
      <c r="E2047" s="5" t="s">
        <v>277</v>
      </c>
      <c r="F2047" s="5" t="s">
        <v>551</v>
      </c>
      <c r="G2047" s="22">
        <v>0</v>
      </c>
      <c r="H2047" s="22">
        <v>0</v>
      </c>
      <c r="I2047" s="22">
        <v>0</v>
      </c>
      <c r="J2047" s="22">
        <v>4164.47</v>
      </c>
      <c r="K2047" s="22">
        <v>0</v>
      </c>
      <c r="L2047" s="22">
        <v>4164.47</v>
      </c>
      <c r="M2047" s="10"/>
      <c r="N2047" s="67"/>
      <c r="O2047" s="11"/>
    </row>
    <row r="2048" spans="1:15" x14ac:dyDescent="0.25">
      <c r="A2048" s="6"/>
      <c r="B2048" s="5"/>
      <c r="C2048" s="5"/>
      <c r="D2048" s="5" t="s">
        <v>276</v>
      </c>
      <c r="E2048" s="5" t="s">
        <v>277</v>
      </c>
      <c r="F2048" s="5" t="s">
        <v>551</v>
      </c>
      <c r="G2048" s="14">
        <f t="shared" ref="G2048:L2048" si="516">SUBTOTAL(9,G2046:G2047)</f>
        <v>34703.879999999997</v>
      </c>
      <c r="H2048" s="14">
        <f t="shared" si="516"/>
        <v>0</v>
      </c>
      <c r="I2048" s="14">
        <f t="shared" si="516"/>
        <v>0</v>
      </c>
      <c r="J2048" s="14">
        <f t="shared" si="516"/>
        <v>4164.47</v>
      </c>
      <c r="K2048" s="14">
        <f t="shared" si="516"/>
        <v>-694.08</v>
      </c>
      <c r="L2048" s="14">
        <f t="shared" si="516"/>
        <v>38174.270000000004</v>
      </c>
      <c r="M2048" s="10">
        <v>2618</v>
      </c>
      <c r="N2048" s="69"/>
      <c r="O2048" s="11">
        <f>O2044+1</f>
        <v>499</v>
      </c>
    </row>
    <row r="2049" spans="1:15" x14ac:dyDescent="0.25">
      <c r="A2049" s="10"/>
      <c r="G2049" s="21"/>
      <c r="H2049" s="21"/>
      <c r="I2049" s="21"/>
      <c r="J2049" s="21"/>
      <c r="K2049" s="21"/>
      <c r="L2049" s="21"/>
      <c r="M2049" s="10"/>
      <c r="O2049" s="11"/>
    </row>
    <row r="2050" spans="1:15" s="4" customFormat="1" x14ac:dyDescent="0.25">
      <c r="A2050" s="6">
        <v>1010</v>
      </c>
      <c r="B2050" s="5" t="s">
        <v>550</v>
      </c>
      <c r="C2050" s="5" t="s">
        <v>17</v>
      </c>
      <c r="D2050" s="5" t="s">
        <v>276</v>
      </c>
      <c r="E2050" s="5" t="s">
        <v>277</v>
      </c>
      <c r="F2050" s="5" t="s">
        <v>552</v>
      </c>
      <c r="G2050" s="22">
        <v>2.5</v>
      </c>
      <c r="H2050" s="22">
        <v>0</v>
      </c>
      <c r="I2050" s="22">
        <v>0</v>
      </c>
      <c r="J2050" s="22">
        <v>0</v>
      </c>
      <c r="K2050" s="22">
        <v>-0.05</v>
      </c>
      <c r="L2050" s="22">
        <v>2.4500000000000002</v>
      </c>
      <c r="M2050" s="10"/>
      <c r="N2050" s="67"/>
      <c r="O2050" s="11"/>
    </row>
    <row r="2051" spans="1:15" x14ac:dyDescent="0.25">
      <c r="A2051" s="6">
        <v>1011</v>
      </c>
      <c r="B2051" s="5" t="s">
        <v>550</v>
      </c>
      <c r="C2051" s="5" t="s">
        <v>13</v>
      </c>
      <c r="D2051" s="5" t="s">
        <v>276</v>
      </c>
      <c r="E2051" s="5" t="s">
        <v>277</v>
      </c>
      <c r="F2051" s="5" t="s">
        <v>552</v>
      </c>
      <c r="G2051" s="22">
        <v>0</v>
      </c>
      <c r="H2051" s="22">
        <v>0</v>
      </c>
      <c r="I2051" s="22">
        <v>0</v>
      </c>
      <c r="J2051" s="22">
        <v>0.3</v>
      </c>
      <c r="K2051" s="22">
        <v>0</v>
      </c>
      <c r="L2051" s="22">
        <v>0.3</v>
      </c>
      <c r="M2051" s="10"/>
      <c r="O2051" s="11"/>
    </row>
    <row r="2052" spans="1:15" x14ac:dyDescent="0.25">
      <c r="A2052" s="6"/>
      <c r="B2052" s="5"/>
      <c r="C2052" s="5"/>
      <c r="D2052" s="5" t="s">
        <v>276</v>
      </c>
      <c r="E2052" s="5" t="s">
        <v>277</v>
      </c>
      <c r="F2052" s="5" t="s">
        <v>552</v>
      </c>
      <c r="G2052" s="14">
        <f t="shared" ref="G2052:L2052" si="517">SUBTOTAL(9,G2050:G2051)</f>
        <v>2.5</v>
      </c>
      <c r="H2052" s="14">
        <f t="shared" si="517"/>
        <v>0</v>
      </c>
      <c r="I2052" s="14">
        <f t="shared" si="517"/>
        <v>0</v>
      </c>
      <c r="J2052" s="14">
        <f t="shared" si="517"/>
        <v>0.3</v>
      </c>
      <c r="K2052" s="14">
        <f t="shared" si="517"/>
        <v>-0.05</v>
      </c>
      <c r="L2052" s="14">
        <f t="shared" si="517"/>
        <v>2.75</v>
      </c>
      <c r="M2052" s="10">
        <v>2619</v>
      </c>
      <c r="N2052" s="69"/>
      <c r="O2052" s="11">
        <f>O2048+1</f>
        <v>500</v>
      </c>
    </row>
    <row r="2053" spans="1:15" s="4" customFormat="1" x14ac:dyDescent="0.25">
      <c r="A2053" s="10"/>
      <c r="B2053"/>
      <c r="C2053"/>
      <c r="D2053"/>
      <c r="E2053"/>
      <c r="F2053"/>
      <c r="G2053" s="21"/>
      <c r="H2053" s="21"/>
      <c r="I2053" s="21"/>
      <c r="J2053" s="21"/>
      <c r="K2053" s="21"/>
      <c r="L2053" s="21"/>
      <c r="M2053" s="10"/>
      <c r="N2053" s="67"/>
      <c r="O2053" s="11"/>
    </row>
    <row r="2054" spans="1:15" x14ac:dyDescent="0.25">
      <c r="A2054" s="6">
        <v>1012</v>
      </c>
      <c r="B2054" s="5" t="s">
        <v>20</v>
      </c>
      <c r="C2054" s="5" t="s">
        <v>17</v>
      </c>
      <c r="D2054" s="5" t="s">
        <v>278</v>
      </c>
      <c r="E2054" s="5" t="s">
        <v>279</v>
      </c>
      <c r="F2054" s="5" t="s">
        <v>21</v>
      </c>
      <c r="G2054" s="22">
        <v>0</v>
      </c>
      <c r="H2054" s="22">
        <v>0</v>
      </c>
      <c r="I2054" s="22">
        <v>0</v>
      </c>
      <c r="J2054" s="22">
        <v>0</v>
      </c>
      <c r="K2054" s="22">
        <v>0</v>
      </c>
      <c r="L2054" s="22">
        <v>0</v>
      </c>
      <c r="M2054" s="10"/>
      <c r="O2054" s="11"/>
    </row>
    <row r="2055" spans="1:15" x14ac:dyDescent="0.25">
      <c r="A2055" s="6">
        <v>1013</v>
      </c>
      <c r="B2055" s="5" t="s">
        <v>20</v>
      </c>
      <c r="C2055" s="5" t="s">
        <v>17</v>
      </c>
      <c r="D2055" s="5" t="s">
        <v>278</v>
      </c>
      <c r="E2055" s="5" t="s">
        <v>279</v>
      </c>
      <c r="F2055" s="5" t="s">
        <v>21</v>
      </c>
      <c r="G2055" s="22">
        <v>0</v>
      </c>
      <c r="H2055" s="22">
        <v>0</v>
      </c>
      <c r="I2055" s="22">
        <v>0</v>
      </c>
      <c r="J2055" s="22">
        <v>0</v>
      </c>
      <c r="K2055" s="22">
        <v>0</v>
      </c>
      <c r="L2055" s="22">
        <v>0</v>
      </c>
      <c r="M2055" s="10"/>
      <c r="O2055" s="11"/>
    </row>
    <row r="2056" spans="1:15" s="4" customFormat="1" x14ac:dyDescent="0.25">
      <c r="A2056" s="28"/>
      <c r="B2056" s="29"/>
      <c r="C2056" s="29"/>
      <c r="D2056" s="29"/>
      <c r="E2056" s="29"/>
      <c r="F2056" s="29" t="s">
        <v>662</v>
      </c>
      <c r="G2056" s="31">
        <f t="shared" ref="G2056:L2056" si="518">SUBTOTAL(9,G2054:G2055)</f>
        <v>0</v>
      </c>
      <c r="H2056" s="31">
        <f t="shared" si="518"/>
        <v>0</v>
      </c>
      <c r="I2056" s="31">
        <f t="shared" si="518"/>
        <v>0</v>
      </c>
      <c r="J2056" s="31">
        <f t="shared" si="518"/>
        <v>0</v>
      </c>
      <c r="K2056" s="31">
        <f t="shared" si="518"/>
        <v>0</v>
      </c>
      <c r="L2056" s="31">
        <f t="shared" si="518"/>
        <v>0</v>
      </c>
      <c r="M2056" s="15"/>
      <c r="N2056" s="67"/>
      <c r="O2056" s="11"/>
    </row>
    <row r="2057" spans="1:15" x14ac:dyDescent="0.25">
      <c r="A2057" s="10"/>
      <c r="G2057" s="21"/>
      <c r="H2057" s="21"/>
      <c r="I2057" s="21"/>
      <c r="J2057" s="21"/>
      <c r="K2057" s="21"/>
      <c r="L2057" s="21"/>
      <c r="M2057" s="10"/>
      <c r="O2057" s="11"/>
    </row>
    <row r="2058" spans="1:15" x14ac:dyDescent="0.25">
      <c r="A2058" s="6">
        <v>1014</v>
      </c>
      <c r="B2058" s="5" t="s">
        <v>22</v>
      </c>
      <c r="C2058" s="5" t="s">
        <v>17</v>
      </c>
      <c r="D2058" s="5" t="s">
        <v>278</v>
      </c>
      <c r="E2058" s="5" t="s">
        <v>279</v>
      </c>
      <c r="F2058" s="5" t="s">
        <v>23</v>
      </c>
      <c r="G2058" s="22">
        <v>0</v>
      </c>
      <c r="H2058" s="22">
        <v>0</v>
      </c>
      <c r="I2058" s="22">
        <v>0.01</v>
      </c>
      <c r="J2058" s="22">
        <v>0</v>
      </c>
      <c r="K2058" s="22">
        <v>0</v>
      </c>
      <c r="L2058" s="22">
        <v>0.01</v>
      </c>
      <c r="M2058" s="10"/>
      <c r="O2058" s="11"/>
    </row>
    <row r="2059" spans="1:15" s="4" customFormat="1" x14ac:dyDescent="0.25">
      <c r="A2059" s="6"/>
      <c r="B2059" s="5"/>
      <c r="C2059" s="5"/>
      <c r="D2059" s="5" t="s">
        <v>278</v>
      </c>
      <c r="E2059" s="5" t="s">
        <v>279</v>
      </c>
      <c r="F2059" s="5" t="s">
        <v>23</v>
      </c>
      <c r="G2059" s="14">
        <f t="shared" ref="G2059:L2059" si="519">SUBTOTAL(9,G2058:G2058)</f>
        <v>0</v>
      </c>
      <c r="H2059" s="14">
        <f t="shared" si="519"/>
        <v>0</v>
      </c>
      <c r="I2059" s="14">
        <f t="shared" si="519"/>
        <v>0.01</v>
      </c>
      <c r="J2059" s="14">
        <f t="shared" si="519"/>
        <v>0</v>
      </c>
      <c r="K2059" s="14">
        <f t="shared" si="519"/>
        <v>0</v>
      </c>
      <c r="L2059" s="14">
        <f t="shared" si="519"/>
        <v>0.01</v>
      </c>
      <c r="M2059" s="10">
        <v>2620</v>
      </c>
      <c r="N2059" s="69"/>
      <c r="O2059" s="11">
        <f>O2052+1</f>
        <v>501</v>
      </c>
    </row>
    <row r="2060" spans="1:15" x14ac:dyDescent="0.25">
      <c r="A2060" s="10"/>
      <c r="G2060" s="21"/>
      <c r="H2060" s="21"/>
      <c r="I2060" s="21"/>
      <c r="J2060" s="21"/>
      <c r="K2060" s="21"/>
      <c r="L2060" s="21"/>
      <c r="M2060" s="10"/>
      <c r="O2060" s="11"/>
    </row>
    <row r="2061" spans="1:15" x14ac:dyDescent="0.25">
      <c r="A2061" s="6">
        <v>1015</v>
      </c>
      <c r="B2061" s="5" t="s">
        <v>22</v>
      </c>
      <c r="C2061" s="5" t="s">
        <v>17</v>
      </c>
      <c r="D2061" s="5" t="s">
        <v>278</v>
      </c>
      <c r="E2061" s="5" t="s">
        <v>279</v>
      </c>
      <c r="F2061" s="5" t="s">
        <v>24</v>
      </c>
      <c r="G2061" s="22">
        <v>0</v>
      </c>
      <c r="H2061" s="22">
        <v>0</v>
      </c>
      <c r="I2061" s="22">
        <v>0</v>
      </c>
      <c r="J2061" s="22">
        <v>0</v>
      </c>
      <c r="K2061" s="22">
        <v>0</v>
      </c>
      <c r="L2061" s="22">
        <v>0</v>
      </c>
      <c r="M2061" s="10"/>
      <c r="O2061" s="11"/>
    </row>
    <row r="2062" spans="1:15" s="4" customFormat="1" x14ac:dyDescent="0.25">
      <c r="A2062" s="28"/>
      <c r="B2062" s="29"/>
      <c r="C2062" s="29"/>
      <c r="D2062" s="29"/>
      <c r="E2062" s="29"/>
      <c r="F2062" s="29" t="s">
        <v>660</v>
      </c>
      <c r="G2062" s="31">
        <f t="shared" ref="G2062:L2062" si="520">SUBTOTAL(9,G2061:G2061)</f>
        <v>0</v>
      </c>
      <c r="H2062" s="31">
        <f t="shared" si="520"/>
        <v>0</v>
      </c>
      <c r="I2062" s="31">
        <f t="shared" si="520"/>
        <v>0</v>
      </c>
      <c r="J2062" s="31">
        <f t="shared" si="520"/>
        <v>0</v>
      </c>
      <c r="K2062" s="31">
        <f t="shared" si="520"/>
        <v>0</v>
      </c>
      <c r="L2062" s="31">
        <f t="shared" si="520"/>
        <v>0</v>
      </c>
      <c r="M2062" s="15"/>
      <c r="N2062" s="67"/>
      <c r="O2062" s="11"/>
    </row>
    <row r="2063" spans="1:15" x14ac:dyDescent="0.25">
      <c r="A2063" s="10"/>
      <c r="G2063" s="21"/>
      <c r="H2063" s="21"/>
      <c r="I2063" s="21"/>
      <c r="J2063" s="21"/>
      <c r="K2063" s="21"/>
      <c r="L2063" s="21"/>
      <c r="M2063" s="10"/>
      <c r="O2063" s="11"/>
    </row>
    <row r="2064" spans="1:15" x14ac:dyDescent="0.25">
      <c r="A2064" s="6">
        <v>1016</v>
      </c>
      <c r="B2064" s="5" t="s">
        <v>550</v>
      </c>
      <c r="C2064" s="5" t="s">
        <v>17</v>
      </c>
      <c r="D2064" s="5" t="s">
        <v>278</v>
      </c>
      <c r="E2064" s="5" t="s">
        <v>279</v>
      </c>
      <c r="F2064" s="5" t="s">
        <v>551</v>
      </c>
      <c r="G2064" s="22">
        <v>0</v>
      </c>
      <c r="H2064" s="22">
        <v>0</v>
      </c>
      <c r="I2064" s="22">
        <v>11953.41</v>
      </c>
      <c r="J2064" s="22">
        <v>0</v>
      </c>
      <c r="K2064" s="22">
        <v>-239.07</v>
      </c>
      <c r="L2064" s="22">
        <v>11714.34</v>
      </c>
      <c r="M2064" s="10"/>
      <c r="O2064" s="11"/>
    </row>
    <row r="2065" spans="1:15" s="4" customFormat="1" x14ac:dyDescent="0.25">
      <c r="A2065" s="6"/>
      <c r="B2065" s="5"/>
      <c r="C2065" s="5"/>
      <c r="D2065" s="5" t="s">
        <v>278</v>
      </c>
      <c r="E2065" s="5" t="s">
        <v>279</v>
      </c>
      <c r="F2065" s="5" t="s">
        <v>551</v>
      </c>
      <c r="G2065" s="14">
        <f t="shared" ref="G2065:L2065" si="521">SUBTOTAL(9,G2064:G2064)</f>
        <v>0</v>
      </c>
      <c r="H2065" s="14">
        <f t="shared" si="521"/>
        <v>0</v>
      </c>
      <c r="I2065" s="14">
        <f t="shared" si="521"/>
        <v>11953.41</v>
      </c>
      <c r="J2065" s="14">
        <f t="shared" si="521"/>
        <v>0</v>
      </c>
      <c r="K2065" s="14">
        <f t="shared" si="521"/>
        <v>-239.07</v>
      </c>
      <c r="L2065" s="14">
        <f t="shared" si="521"/>
        <v>11714.34</v>
      </c>
      <c r="M2065" s="10">
        <v>2621</v>
      </c>
      <c r="N2065" s="69"/>
      <c r="O2065" s="11">
        <f>O2059+1</f>
        <v>502</v>
      </c>
    </row>
    <row r="2066" spans="1:15" x14ac:dyDescent="0.25">
      <c r="A2066" s="10"/>
      <c r="G2066" s="21"/>
      <c r="H2066" s="21"/>
      <c r="I2066" s="21"/>
      <c r="J2066" s="21"/>
      <c r="K2066" s="21"/>
      <c r="L2066" s="21"/>
      <c r="M2066" s="10"/>
      <c r="O2066" s="11"/>
    </row>
    <row r="2067" spans="1:15" x14ac:dyDescent="0.25">
      <c r="A2067" s="6">
        <v>1017</v>
      </c>
      <c r="B2067" s="5" t="s">
        <v>550</v>
      </c>
      <c r="C2067" s="5" t="s">
        <v>17</v>
      </c>
      <c r="D2067" s="5" t="s">
        <v>278</v>
      </c>
      <c r="E2067" s="5" t="s">
        <v>279</v>
      </c>
      <c r="F2067" s="5" t="s">
        <v>552</v>
      </c>
      <c r="G2067" s="22">
        <v>0</v>
      </c>
      <c r="H2067" s="22">
        <v>0</v>
      </c>
      <c r="I2067" s="22">
        <v>0.86</v>
      </c>
      <c r="J2067" s="22">
        <v>0</v>
      </c>
      <c r="K2067" s="22">
        <v>-0.02</v>
      </c>
      <c r="L2067" s="22">
        <v>0.84</v>
      </c>
      <c r="M2067" s="10"/>
      <c r="O2067" s="11"/>
    </row>
    <row r="2068" spans="1:15" s="4" customFormat="1" x14ac:dyDescent="0.25">
      <c r="A2068" s="6"/>
      <c r="B2068" s="5"/>
      <c r="C2068" s="5"/>
      <c r="D2068" s="5" t="s">
        <v>278</v>
      </c>
      <c r="E2068" s="5" t="s">
        <v>279</v>
      </c>
      <c r="F2068" s="5" t="s">
        <v>552</v>
      </c>
      <c r="G2068" s="14">
        <f t="shared" ref="G2068:L2068" si="522">SUBTOTAL(9,G2067:G2067)</f>
        <v>0</v>
      </c>
      <c r="H2068" s="14">
        <f t="shared" si="522"/>
        <v>0</v>
      </c>
      <c r="I2068" s="14">
        <f t="shared" si="522"/>
        <v>0.86</v>
      </c>
      <c r="J2068" s="14">
        <f t="shared" si="522"/>
        <v>0</v>
      </c>
      <c r="K2068" s="14">
        <f t="shared" si="522"/>
        <v>-0.02</v>
      </c>
      <c r="L2068" s="14">
        <f t="shared" si="522"/>
        <v>0.84</v>
      </c>
      <c r="M2068" s="10">
        <v>2622</v>
      </c>
      <c r="N2068" s="69"/>
      <c r="O2068" s="11">
        <f>O2065+1</f>
        <v>503</v>
      </c>
    </row>
    <row r="2069" spans="1:15" x14ac:dyDescent="0.25">
      <c r="A2069" s="10"/>
      <c r="G2069" s="21"/>
      <c r="H2069" s="21"/>
      <c r="I2069" s="21"/>
      <c r="J2069" s="21"/>
      <c r="K2069" s="21"/>
      <c r="L2069" s="21"/>
      <c r="M2069" s="10"/>
      <c r="O2069" s="11"/>
    </row>
    <row r="2070" spans="1:15" x14ac:dyDescent="0.25">
      <c r="A2070" s="6">
        <v>1018</v>
      </c>
      <c r="B2070" s="5" t="s">
        <v>550</v>
      </c>
      <c r="C2070" s="5" t="s">
        <v>17</v>
      </c>
      <c r="D2070" s="5" t="s">
        <v>280</v>
      </c>
      <c r="E2070" s="5" t="s">
        <v>281</v>
      </c>
      <c r="F2070" s="5" t="s">
        <v>551</v>
      </c>
      <c r="G2070" s="22">
        <v>1114.8</v>
      </c>
      <c r="H2070" s="22">
        <v>0</v>
      </c>
      <c r="I2070" s="22">
        <v>0</v>
      </c>
      <c r="J2070" s="22">
        <v>0</v>
      </c>
      <c r="K2070" s="22">
        <v>-22.3</v>
      </c>
      <c r="L2070" s="22">
        <v>1092.5</v>
      </c>
      <c r="M2070" s="10"/>
      <c r="O2070" s="11"/>
    </row>
    <row r="2071" spans="1:15" s="4" customFormat="1" x14ac:dyDescent="0.25">
      <c r="A2071" s="6"/>
      <c r="B2071" s="5"/>
      <c r="C2071" s="5"/>
      <c r="D2071" s="5" t="s">
        <v>280</v>
      </c>
      <c r="E2071" s="5" t="s">
        <v>281</v>
      </c>
      <c r="F2071" s="5" t="s">
        <v>551</v>
      </c>
      <c r="G2071" s="14">
        <f t="shared" ref="G2071:L2071" si="523">SUBTOTAL(9,G2070:G2070)</f>
        <v>1114.8</v>
      </c>
      <c r="H2071" s="14">
        <f t="shared" si="523"/>
        <v>0</v>
      </c>
      <c r="I2071" s="14">
        <f t="shared" si="523"/>
        <v>0</v>
      </c>
      <c r="J2071" s="14">
        <f t="shared" si="523"/>
        <v>0</v>
      </c>
      <c r="K2071" s="14">
        <f t="shared" si="523"/>
        <v>-22.3</v>
      </c>
      <c r="L2071" s="14">
        <f t="shared" si="523"/>
        <v>1092.5</v>
      </c>
      <c r="M2071" s="10">
        <v>2623</v>
      </c>
      <c r="N2071" s="69"/>
      <c r="O2071" s="11">
        <f>O2068+1</f>
        <v>504</v>
      </c>
    </row>
    <row r="2072" spans="1:15" s="4" customFormat="1" x14ac:dyDescent="0.25">
      <c r="A2072" s="10"/>
      <c r="B2072"/>
      <c r="C2072"/>
      <c r="D2072"/>
      <c r="E2072"/>
      <c r="F2072"/>
      <c r="G2072" s="21"/>
      <c r="H2072" s="21"/>
      <c r="I2072" s="21"/>
      <c r="J2072" s="21"/>
      <c r="K2072" s="21"/>
      <c r="L2072" s="21"/>
      <c r="M2072" s="10"/>
      <c r="N2072" s="67"/>
      <c r="O2072" s="11"/>
    </row>
    <row r="2073" spans="1:15" x14ac:dyDescent="0.25">
      <c r="A2073" s="6">
        <v>1019</v>
      </c>
      <c r="B2073" s="5" t="s">
        <v>550</v>
      </c>
      <c r="C2073" s="5" t="s">
        <v>17</v>
      </c>
      <c r="D2073" s="5" t="s">
        <v>280</v>
      </c>
      <c r="E2073" s="5" t="s">
        <v>281</v>
      </c>
      <c r="F2073" s="5" t="s">
        <v>552</v>
      </c>
      <c r="G2073" s="22">
        <v>0.08</v>
      </c>
      <c r="H2073" s="22">
        <v>0</v>
      </c>
      <c r="I2073" s="22">
        <v>0</v>
      </c>
      <c r="J2073" s="22">
        <v>0</v>
      </c>
      <c r="K2073" s="22">
        <v>0</v>
      </c>
      <c r="L2073" s="22">
        <v>0.08</v>
      </c>
      <c r="M2073" s="10"/>
      <c r="O2073" s="11"/>
    </row>
    <row r="2074" spans="1:15" x14ac:dyDescent="0.25">
      <c r="A2074" s="6"/>
      <c r="B2074" s="5"/>
      <c r="C2074" s="5"/>
      <c r="D2074" s="5" t="s">
        <v>280</v>
      </c>
      <c r="E2074" s="5" t="s">
        <v>281</v>
      </c>
      <c r="F2074" s="5" t="s">
        <v>552</v>
      </c>
      <c r="G2074" s="14">
        <f t="shared" ref="G2074:L2074" si="524">SUBTOTAL(9,G2073:G2073)</f>
        <v>0.08</v>
      </c>
      <c r="H2074" s="14">
        <f t="shared" si="524"/>
        <v>0</v>
      </c>
      <c r="I2074" s="14">
        <f t="shared" si="524"/>
        <v>0</v>
      </c>
      <c r="J2074" s="14">
        <f t="shared" si="524"/>
        <v>0</v>
      </c>
      <c r="K2074" s="14">
        <f t="shared" si="524"/>
        <v>0</v>
      </c>
      <c r="L2074" s="14">
        <f t="shared" si="524"/>
        <v>0.08</v>
      </c>
      <c r="M2074" s="10">
        <v>2624</v>
      </c>
      <c r="N2074" s="69"/>
      <c r="O2074" s="11">
        <f>O2071+1</f>
        <v>505</v>
      </c>
    </row>
    <row r="2075" spans="1:15" s="4" customFormat="1" x14ac:dyDescent="0.25">
      <c r="A2075" s="10"/>
      <c r="B2075"/>
      <c r="C2075"/>
      <c r="D2075"/>
      <c r="E2075"/>
      <c r="F2075"/>
      <c r="G2075" s="21"/>
      <c r="H2075" s="21"/>
      <c r="I2075" s="21"/>
      <c r="J2075" s="21"/>
      <c r="K2075" s="21"/>
      <c r="L2075" s="21"/>
      <c r="M2075" s="10"/>
      <c r="N2075" s="67"/>
      <c r="O2075" s="11"/>
    </row>
    <row r="2076" spans="1:15" s="4" customFormat="1" x14ac:dyDescent="0.25">
      <c r="A2076" s="6">
        <v>1020</v>
      </c>
      <c r="B2076" s="5" t="s">
        <v>559</v>
      </c>
      <c r="C2076" s="5" t="s">
        <v>17</v>
      </c>
      <c r="D2076" s="5" t="s">
        <v>282</v>
      </c>
      <c r="E2076" s="5" t="s">
        <v>283</v>
      </c>
      <c r="F2076" s="5" t="s">
        <v>560</v>
      </c>
      <c r="G2076" s="22">
        <v>0.43</v>
      </c>
      <c r="H2076" s="22">
        <v>0</v>
      </c>
      <c r="I2076" s="22">
        <v>0</v>
      </c>
      <c r="J2076" s="22">
        <v>0</v>
      </c>
      <c r="K2076" s="22">
        <v>-0.01</v>
      </c>
      <c r="L2076" s="22">
        <v>0.42</v>
      </c>
      <c r="M2076" s="10"/>
      <c r="N2076" s="67"/>
      <c r="O2076" s="11"/>
    </row>
    <row r="2077" spans="1:15" x14ac:dyDescent="0.25">
      <c r="A2077" s="6">
        <v>1021</v>
      </c>
      <c r="B2077" s="5" t="s">
        <v>559</v>
      </c>
      <c r="C2077" s="5" t="s">
        <v>13</v>
      </c>
      <c r="D2077" s="5" t="s">
        <v>282</v>
      </c>
      <c r="E2077" s="5" t="s">
        <v>283</v>
      </c>
      <c r="F2077" s="5" t="s">
        <v>560</v>
      </c>
      <c r="G2077" s="22">
        <v>0</v>
      </c>
      <c r="H2077" s="22">
        <v>0</v>
      </c>
      <c r="I2077" s="22">
        <v>0</v>
      </c>
      <c r="J2077" s="22">
        <v>0.05</v>
      </c>
      <c r="K2077" s="22">
        <v>0</v>
      </c>
      <c r="L2077" s="22">
        <v>0.05</v>
      </c>
      <c r="M2077" s="10"/>
      <c r="O2077" s="11"/>
    </row>
    <row r="2078" spans="1:15" x14ac:dyDescent="0.25">
      <c r="A2078" s="6"/>
      <c r="B2078" s="5"/>
      <c r="C2078" s="5"/>
      <c r="D2078" s="5" t="s">
        <v>282</v>
      </c>
      <c r="E2078" s="5" t="s">
        <v>283</v>
      </c>
      <c r="F2078" s="5" t="s">
        <v>560</v>
      </c>
      <c r="G2078" s="14">
        <f t="shared" ref="G2078:L2078" si="525">SUBTOTAL(9,G2076:G2077)</f>
        <v>0.43</v>
      </c>
      <c r="H2078" s="14">
        <f t="shared" si="525"/>
        <v>0</v>
      </c>
      <c r="I2078" s="14">
        <f t="shared" si="525"/>
        <v>0</v>
      </c>
      <c r="J2078" s="14">
        <f t="shared" si="525"/>
        <v>0.05</v>
      </c>
      <c r="K2078" s="14">
        <f t="shared" si="525"/>
        <v>-0.01</v>
      </c>
      <c r="L2078" s="14">
        <f t="shared" si="525"/>
        <v>0.47</v>
      </c>
      <c r="M2078" s="10">
        <v>2625</v>
      </c>
      <c r="N2078" s="69"/>
      <c r="O2078" s="11">
        <f>O2074+1</f>
        <v>506</v>
      </c>
    </row>
    <row r="2079" spans="1:15" s="4" customFormat="1" x14ac:dyDescent="0.25">
      <c r="A2079" s="10"/>
      <c r="B2079"/>
      <c r="C2079"/>
      <c r="D2079"/>
      <c r="E2079"/>
      <c r="F2079"/>
      <c r="G2079" s="21"/>
      <c r="H2079" s="21"/>
      <c r="I2079" s="21"/>
      <c r="J2079" s="21"/>
      <c r="K2079" s="21"/>
      <c r="L2079" s="21"/>
      <c r="M2079" s="10"/>
      <c r="N2079" s="67"/>
      <c r="O2079" s="11"/>
    </row>
    <row r="2080" spans="1:15" x14ac:dyDescent="0.25">
      <c r="A2080" s="6">
        <v>1022</v>
      </c>
      <c r="B2080" s="5" t="s">
        <v>18</v>
      </c>
      <c r="C2080" s="5" t="s">
        <v>17</v>
      </c>
      <c r="D2080" s="5" t="s">
        <v>282</v>
      </c>
      <c r="E2080" s="5" t="s">
        <v>283</v>
      </c>
      <c r="F2080" s="5" t="s">
        <v>19</v>
      </c>
      <c r="G2080" s="22">
        <v>3.24</v>
      </c>
      <c r="H2080" s="22">
        <v>0</v>
      </c>
      <c r="I2080" s="22">
        <v>0</v>
      </c>
      <c r="J2080" s="22">
        <v>0</v>
      </c>
      <c r="K2080" s="22">
        <v>-2.88</v>
      </c>
      <c r="L2080" s="22">
        <v>0.36</v>
      </c>
      <c r="M2080" s="10"/>
      <c r="O2080" s="11"/>
    </row>
    <row r="2081" spans="1:15" x14ac:dyDescent="0.25">
      <c r="A2081" s="6"/>
      <c r="B2081" s="5"/>
      <c r="C2081" s="5"/>
      <c r="D2081" s="5" t="s">
        <v>282</v>
      </c>
      <c r="E2081" s="5" t="s">
        <v>283</v>
      </c>
      <c r="F2081" s="5" t="s">
        <v>19</v>
      </c>
      <c r="G2081" s="14">
        <f t="shared" ref="G2081:L2081" si="526">SUBTOTAL(9,G2080:G2080)</f>
        <v>3.24</v>
      </c>
      <c r="H2081" s="14">
        <f t="shared" si="526"/>
        <v>0</v>
      </c>
      <c r="I2081" s="14">
        <f t="shared" si="526"/>
        <v>0</v>
      </c>
      <c r="J2081" s="14">
        <f t="shared" si="526"/>
        <v>0</v>
      </c>
      <c r="K2081" s="14">
        <f t="shared" si="526"/>
        <v>-2.88</v>
      </c>
      <c r="L2081" s="14">
        <f t="shared" si="526"/>
        <v>0.36</v>
      </c>
      <c r="M2081" s="10">
        <v>2626</v>
      </c>
      <c r="N2081" s="69"/>
      <c r="O2081" s="11">
        <f>O2078+1</f>
        <v>507</v>
      </c>
    </row>
    <row r="2082" spans="1:15" s="4" customFormat="1" x14ac:dyDescent="0.25">
      <c r="A2082" s="10"/>
      <c r="B2082"/>
      <c r="C2082"/>
      <c r="D2082"/>
      <c r="E2082"/>
      <c r="F2082"/>
      <c r="G2082" s="21"/>
      <c r="H2082" s="21"/>
      <c r="I2082" s="21"/>
      <c r="J2082" s="21"/>
      <c r="K2082" s="21"/>
      <c r="L2082" s="21"/>
      <c r="M2082" s="10"/>
      <c r="N2082" s="67"/>
      <c r="O2082" s="11"/>
    </row>
    <row r="2083" spans="1:15" x14ac:dyDescent="0.25">
      <c r="A2083" s="6">
        <v>1023</v>
      </c>
      <c r="B2083" s="5" t="s">
        <v>550</v>
      </c>
      <c r="C2083" s="5" t="s">
        <v>17</v>
      </c>
      <c r="D2083" s="5" t="s">
        <v>282</v>
      </c>
      <c r="E2083" s="5" t="s">
        <v>283</v>
      </c>
      <c r="F2083" s="5" t="s">
        <v>551</v>
      </c>
      <c r="G2083" s="22">
        <v>51850</v>
      </c>
      <c r="H2083" s="22">
        <v>0</v>
      </c>
      <c r="I2083" s="22">
        <v>0</v>
      </c>
      <c r="J2083" s="22">
        <v>0</v>
      </c>
      <c r="K2083" s="22">
        <v>-1037</v>
      </c>
      <c r="L2083" s="22">
        <v>50813</v>
      </c>
      <c r="M2083" s="10"/>
      <c r="O2083" s="11"/>
    </row>
    <row r="2084" spans="1:15" x14ac:dyDescent="0.25">
      <c r="A2084" s="6">
        <v>1024</v>
      </c>
      <c r="B2084" s="5" t="s">
        <v>550</v>
      </c>
      <c r="C2084" s="5" t="s">
        <v>13</v>
      </c>
      <c r="D2084" s="5" t="s">
        <v>282</v>
      </c>
      <c r="E2084" s="5" t="s">
        <v>283</v>
      </c>
      <c r="F2084" s="5" t="s">
        <v>551</v>
      </c>
      <c r="G2084" s="22">
        <v>0</v>
      </c>
      <c r="H2084" s="22">
        <v>0</v>
      </c>
      <c r="I2084" s="22">
        <v>0</v>
      </c>
      <c r="J2084" s="22">
        <v>6222</v>
      </c>
      <c r="K2084" s="22">
        <v>0</v>
      </c>
      <c r="L2084" s="22">
        <v>6222</v>
      </c>
      <c r="M2084" s="10"/>
      <c r="O2084" s="11"/>
    </row>
    <row r="2085" spans="1:15" s="4" customFormat="1" x14ac:dyDescent="0.25">
      <c r="A2085" s="6"/>
      <c r="B2085" s="5"/>
      <c r="C2085" s="5"/>
      <c r="D2085" s="5" t="s">
        <v>282</v>
      </c>
      <c r="E2085" s="5" t="s">
        <v>283</v>
      </c>
      <c r="F2085" s="5" t="s">
        <v>551</v>
      </c>
      <c r="G2085" s="14">
        <f t="shared" ref="G2085:L2085" si="527">SUBTOTAL(9,G2083:G2084)</f>
        <v>51850</v>
      </c>
      <c r="H2085" s="14">
        <f t="shared" si="527"/>
        <v>0</v>
      </c>
      <c r="I2085" s="14">
        <f t="shared" si="527"/>
        <v>0</v>
      </c>
      <c r="J2085" s="14">
        <f t="shared" si="527"/>
        <v>6222</v>
      </c>
      <c r="K2085" s="14">
        <f t="shared" si="527"/>
        <v>-1037</v>
      </c>
      <c r="L2085" s="14">
        <f t="shared" si="527"/>
        <v>57035</v>
      </c>
      <c r="M2085" s="10">
        <v>2627</v>
      </c>
      <c r="N2085" s="69"/>
      <c r="O2085" s="11">
        <f>O2081+1</f>
        <v>508</v>
      </c>
    </row>
    <row r="2086" spans="1:15" s="4" customFormat="1" x14ac:dyDescent="0.25">
      <c r="A2086" s="10"/>
      <c r="B2086"/>
      <c r="C2086"/>
      <c r="D2086"/>
      <c r="E2086"/>
      <c r="F2086"/>
      <c r="G2086" s="21"/>
      <c r="H2086" s="21"/>
      <c r="I2086" s="21"/>
      <c r="J2086" s="21"/>
      <c r="K2086" s="21"/>
      <c r="L2086" s="21"/>
      <c r="M2086" s="10"/>
      <c r="N2086" s="67"/>
      <c r="O2086" s="11"/>
    </row>
    <row r="2087" spans="1:15" x14ac:dyDescent="0.25">
      <c r="A2087" s="6">
        <v>1025</v>
      </c>
      <c r="B2087" s="5" t="s">
        <v>550</v>
      </c>
      <c r="C2087" s="5" t="s">
        <v>17</v>
      </c>
      <c r="D2087" s="5" t="s">
        <v>282</v>
      </c>
      <c r="E2087" s="5" t="s">
        <v>283</v>
      </c>
      <c r="F2087" s="5" t="s">
        <v>552</v>
      </c>
      <c r="G2087" s="22">
        <v>3.73</v>
      </c>
      <c r="H2087" s="22">
        <v>0</v>
      </c>
      <c r="I2087" s="22">
        <v>0</v>
      </c>
      <c r="J2087" s="22">
        <v>0</v>
      </c>
      <c r="K2087" s="22">
        <v>-7.0000000000000007E-2</v>
      </c>
      <c r="L2087" s="22">
        <v>3.66</v>
      </c>
      <c r="M2087" s="10"/>
      <c r="O2087" s="11"/>
    </row>
    <row r="2088" spans="1:15" x14ac:dyDescent="0.25">
      <c r="A2088" s="6">
        <v>1026</v>
      </c>
      <c r="B2088" s="5" t="s">
        <v>550</v>
      </c>
      <c r="C2088" s="5" t="s">
        <v>13</v>
      </c>
      <c r="D2088" s="5" t="s">
        <v>282</v>
      </c>
      <c r="E2088" s="5" t="s">
        <v>283</v>
      </c>
      <c r="F2088" s="5" t="s">
        <v>552</v>
      </c>
      <c r="G2088" s="22">
        <v>0</v>
      </c>
      <c r="H2088" s="22">
        <v>0</v>
      </c>
      <c r="I2088" s="22">
        <v>0</v>
      </c>
      <c r="J2088" s="22">
        <v>0.45</v>
      </c>
      <c r="K2088" s="22">
        <v>0</v>
      </c>
      <c r="L2088" s="22">
        <v>0.45</v>
      </c>
      <c r="M2088" s="10"/>
      <c r="O2088" s="11"/>
    </row>
    <row r="2089" spans="1:15" s="4" customFormat="1" x14ac:dyDescent="0.25">
      <c r="A2089" s="6"/>
      <c r="B2089" s="5"/>
      <c r="C2089" s="5"/>
      <c r="D2089" s="5" t="s">
        <v>282</v>
      </c>
      <c r="E2089" s="5" t="s">
        <v>283</v>
      </c>
      <c r="F2089" s="5" t="s">
        <v>552</v>
      </c>
      <c r="G2089" s="14">
        <f t="shared" ref="G2089:L2089" si="528">SUBTOTAL(9,G2087:G2088)</f>
        <v>3.73</v>
      </c>
      <c r="H2089" s="14">
        <f t="shared" si="528"/>
        <v>0</v>
      </c>
      <c r="I2089" s="14">
        <f t="shared" si="528"/>
        <v>0</v>
      </c>
      <c r="J2089" s="14">
        <f t="shared" si="528"/>
        <v>0.45</v>
      </c>
      <c r="K2089" s="14">
        <f t="shared" si="528"/>
        <v>-7.0000000000000007E-2</v>
      </c>
      <c r="L2089" s="14">
        <f t="shared" si="528"/>
        <v>4.1100000000000003</v>
      </c>
      <c r="M2089" s="10">
        <v>2628</v>
      </c>
      <c r="N2089" s="69"/>
      <c r="O2089" s="11">
        <f>O2085+1</f>
        <v>509</v>
      </c>
    </row>
    <row r="2090" spans="1:15" s="4" customFormat="1" x14ac:dyDescent="0.25">
      <c r="A2090" s="10"/>
      <c r="B2090"/>
      <c r="C2090"/>
      <c r="D2090"/>
      <c r="E2090"/>
      <c r="F2090"/>
      <c r="G2090" s="21"/>
      <c r="H2090" s="21"/>
      <c r="I2090" s="21"/>
      <c r="J2090" s="21"/>
      <c r="K2090" s="21"/>
      <c r="L2090" s="21"/>
      <c r="M2090" s="10"/>
      <c r="N2090" s="67"/>
      <c r="O2090" s="11"/>
    </row>
    <row r="2091" spans="1:15" x14ac:dyDescent="0.25">
      <c r="A2091" s="6">
        <v>1027</v>
      </c>
      <c r="B2091" s="5" t="s">
        <v>18</v>
      </c>
      <c r="C2091" s="5" t="s">
        <v>17</v>
      </c>
      <c r="D2091" s="5" t="s">
        <v>284</v>
      </c>
      <c r="E2091" s="5" t="s">
        <v>285</v>
      </c>
      <c r="F2091" s="5" t="s">
        <v>19</v>
      </c>
      <c r="G2091" s="22">
        <v>0</v>
      </c>
      <c r="H2091" s="22">
        <v>0</v>
      </c>
      <c r="I2091" s="22">
        <v>0.11</v>
      </c>
      <c r="J2091" s="22">
        <v>0</v>
      </c>
      <c r="K2091" s="22">
        <v>-0.01</v>
      </c>
      <c r="L2091" s="22">
        <v>0.1</v>
      </c>
      <c r="M2091" s="10"/>
      <c r="O2091" s="11"/>
    </row>
    <row r="2092" spans="1:15" x14ac:dyDescent="0.25">
      <c r="A2092" s="6"/>
      <c r="B2092" s="5"/>
      <c r="C2092" s="5"/>
      <c r="D2092" s="5" t="s">
        <v>284</v>
      </c>
      <c r="E2092" s="5" t="s">
        <v>285</v>
      </c>
      <c r="F2092" s="5" t="s">
        <v>19</v>
      </c>
      <c r="G2092" s="14">
        <f t="shared" ref="G2092:L2092" si="529">SUBTOTAL(9,G2091:G2091)</f>
        <v>0</v>
      </c>
      <c r="H2092" s="14">
        <f t="shared" si="529"/>
        <v>0</v>
      </c>
      <c r="I2092" s="14">
        <f t="shared" si="529"/>
        <v>0.11</v>
      </c>
      <c r="J2092" s="14">
        <f t="shared" si="529"/>
        <v>0</v>
      </c>
      <c r="K2092" s="14">
        <f t="shared" si="529"/>
        <v>-0.01</v>
      </c>
      <c r="L2092" s="14">
        <f t="shared" si="529"/>
        <v>0.1</v>
      </c>
      <c r="M2092" s="10">
        <v>2629</v>
      </c>
      <c r="N2092" s="69"/>
      <c r="O2092" s="11">
        <f>O2089+1</f>
        <v>510</v>
      </c>
    </row>
    <row r="2093" spans="1:15" s="4" customFormat="1" x14ac:dyDescent="0.25">
      <c r="A2093" s="10"/>
      <c r="B2093"/>
      <c r="C2093"/>
      <c r="D2093"/>
      <c r="E2093"/>
      <c r="F2093"/>
      <c r="G2093" s="21"/>
      <c r="H2093" s="21"/>
      <c r="I2093" s="21"/>
      <c r="J2093" s="21"/>
      <c r="K2093" s="21"/>
      <c r="L2093" s="21"/>
      <c r="M2093" s="10"/>
      <c r="N2093" s="67"/>
      <c r="O2093" s="11"/>
    </row>
    <row r="2094" spans="1:15" s="4" customFormat="1" x14ac:dyDescent="0.25">
      <c r="A2094" s="6">
        <v>1028</v>
      </c>
      <c r="B2094" s="5" t="s">
        <v>550</v>
      </c>
      <c r="C2094" s="5" t="s">
        <v>17</v>
      </c>
      <c r="D2094" s="5" t="s">
        <v>615</v>
      </c>
      <c r="E2094" s="5" t="s">
        <v>285</v>
      </c>
      <c r="F2094" s="5" t="s">
        <v>551</v>
      </c>
      <c r="G2094" s="22">
        <v>0</v>
      </c>
      <c r="H2094" s="22">
        <v>0</v>
      </c>
      <c r="I2094" s="22">
        <v>12.55</v>
      </c>
      <c r="J2094" s="22">
        <v>0</v>
      </c>
      <c r="K2094" s="22">
        <v>-0.25</v>
      </c>
      <c r="L2094" s="22">
        <v>12.3</v>
      </c>
      <c r="M2094" s="10"/>
      <c r="N2094" s="67"/>
      <c r="O2094" s="11"/>
    </row>
    <row r="2095" spans="1:15" x14ac:dyDescent="0.25">
      <c r="A2095" s="6">
        <v>1029</v>
      </c>
      <c r="B2095" s="5" t="s">
        <v>550</v>
      </c>
      <c r="C2095" s="5" t="s">
        <v>17</v>
      </c>
      <c r="D2095" s="5" t="s">
        <v>615</v>
      </c>
      <c r="E2095" s="5" t="s">
        <v>285</v>
      </c>
      <c r="F2095" s="5" t="s">
        <v>551</v>
      </c>
      <c r="G2095" s="22">
        <v>0</v>
      </c>
      <c r="H2095" s="22">
        <v>0</v>
      </c>
      <c r="I2095" s="22">
        <v>244.64</v>
      </c>
      <c r="J2095" s="22">
        <v>0</v>
      </c>
      <c r="K2095" s="22">
        <v>-4.8899999999999997</v>
      </c>
      <c r="L2095" s="22">
        <v>239.75</v>
      </c>
      <c r="M2095" s="10"/>
      <c r="O2095" s="11"/>
    </row>
    <row r="2096" spans="1:15" x14ac:dyDescent="0.25">
      <c r="A2096" s="6"/>
      <c r="B2096" s="5"/>
      <c r="C2096" s="5"/>
      <c r="D2096" s="5" t="s">
        <v>284</v>
      </c>
      <c r="E2096" s="5" t="s">
        <v>285</v>
      </c>
      <c r="F2096" s="5" t="s">
        <v>551</v>
      </c>
      <c r="G2096" s="14">
        <f t="shared" ref="G2096:L2096" si="530">SUBTOTAL(9,G2094:G2095)</f>
        <v>0</v>
      </c>
      <c r="H2096" s="14">
        <f t="shared" si="530"/>
        <v>0</v>
      </c>
      <c r="I2096" s="14">
        <f t="shared" si="530"/>
        <v>257.19</v>
      </c>
      <c r="J2096" s="14">
        <f t="shared" si="530"/>
        <v>0</v>
      </c>
      <c r="K2096" s="14">
        <f t="shared" si="530"/>
        <v>-5.14</v>
      </c>
      <c r="L2096" s="14">
        <f t="shared" si="530"/>
        <v>252.05</v>
      </c>
      <c r="M2096" s="10">
        <v>2630</v>
      </c>
      <c r="N2096" s="69"/>
      <c r="O2096" s="11">
        <f>O2092+1</f>
        <v>511</v>
      </c>
    </row>
    <row r="2097" spans="1:15" s="4" customFormat="1" x14ac:dyDescent="0.25">
      <c r="A2097" s="10"/>
      <c r="B2097"/>
      <c r="C2097"/>
      <c r="D2097"/>
      <c r="E2097"/>
      <c r="F2097"/>
      <c r="G2097" s="21"/>
      <c r="H2097" s="21"/>
      <c r="I2097" s="21"/>
      <c r="J2097" s="21"/>
      <c r="K2097" s="21"/>
      <c r="L2097" s="21"/>
      <c r="M2097" s="10"/>
      <c r="N2097" s="67"/>
      <c r="O2097" s="11"/>
    </row>
    <row r="2098" spans="1:15" x14ac:dyDescent="0.25">
      <c r="A2098" s="6">
        <v>1030</v>
      </c>
      <c r="B2098" s="5" t="s">
        <v>550</v>
      </c>
      <c r="C2098" s="5" t="s">
        <v>17</v>
      </c>
      <c r="D2098" s="5" t="s">
        <v>615</v>
      </c>
      <c r="E2098" s="5" t="s">
        <v>285</v>
      </c>
      <c r="F2098" s="5" t="s">
        <v>552</v>
      </c>
      <c r="G2098" s="22">
        <v>0</v>
      </c>
      <c r="H2098" s="22">
        <v>0</v>
      </c>
      <c r="I2098" s="22">
        <v>0.02</v>
      </c>
      <c r="J2098" s="22">
        <v>0</v>
      </c>
      <c r="K2098" s="22">
        <v>0</v>
      </c>
      <c r="L2098" s="22">
        <v>0.02</v>
      </c>
      <c r="M2098" s="10"/>
      <c r="O2098" s="11"/>
    </row>
    <row r="2099" spans="1:15" x14ac:dyDescent="0.25">
      <c r="A2099" s="6"/>
      <c r="B2099" s="5"/>
      <c r="C2099" s="5"/>
      <c r="D2099" s="5" t="s">
        <v>284</v>
      </c>
      <c r="E2099" s="5" t="s">
        <v>285</v>
      </c>
      <c r="F2099" s="5" t="s">
        <v>552</v>
      </c>
      <c r="G2099" s="14">
        <f t="shared" ref="G2099:L2099" si="531">SUBTOTAL(9,G2098:G2098)</f>
        <v>0</v>
      </c>
      <c r="H2099" s="14">
        <f t="shared" si="531"/>
        <v>0</v>
      </c>
      <c r="I2099" s="14">
        <f t="shared" si="531"/>
        <v>0.02</v>
      </c>
      <c r="J2099" s="14">
        <f t="shared" si="531"/>
        <v>0</v>
      </c>
      <c r="K2099" s="14">
        <f t="shared" si="531"/>
        <v>0</v>
      </c>
      <c r="L2099" s="14">
        <f t="shared" si="531"/>
        <v>0.02</v>
      </c>
      <c r="M2099" s="10">
        <v>2631</v>
      </c>
      <c r="N2099" s="69"/>
      <c r="O2099" s="11">
        <f>O2096+1</f>
        <v>512</v>
      </c>
    </row>
    <row r="2100" spans="1:15" s="4" customFormat="1" x14ac:dyDescent="0.25">
      <c r="A2100" s="10"/>
      <c r="B2100"/>
      <c r="C2100"/>
      <c r="D2100"/>
      <c r="E2100"/>
      <c r="F2100"/>
      <c r="G2100" s="21"/>
      <c r="H2100" s="21"/>
      <c r="I2100" s="21"/>
      <c r="J2100" s="21"/>
      <c r="K2100" s="21"/>
      <c r="L2100" s="21"/>
      <c r="M2100" s="10"/>
      <c r="N2100" s="67"/>
      <c r="O2100" s="11"/>
    </row>
    <row r="2101" spans="1:15" x14ac:dyDescent="0.25">
      <c r="A2101" s="6">
        <v>1031</v>
      </c>
      <c r="B2101" s="5" t="s">
        <v>559</v>
      </c>
      <c r="C2101" s="5" t="s">
        <v>17</v>
      </c>
      <c r="D2101" s="5" t="s">
        <v>286</v>
      </c>
      <c r="E2101" s="5" t="s">
        <v>287</v>
      </c>
      <c r="F2101" s="5" t="s">
        <v>560</v>
      </c>
      <c r="G2101" s="22">
        <v>0</v>
      </c>
      <c r="H2101" s="22">
        <v>0</v>
      </c>
      <c r="I2101" s="22">
        <v>0.21</v>
      </c>
      <c r="J2101" s="22">
        <v>0</v>
      </c>
      <c r="K2101" s="22">
        <v>0</v>
      </c>
      <c r="L2101" s="22">
        <v>0.21</v>
      </c>
      <c r="M2101" s="10"/>
      <c r="O2101" s="11"/>
    </row>
    <row r="2102" spans="1:15" x14ac:dyDescent="0.25">
      <c r="A2102" s="6"/>
      <c r="B2102" s="5"/>
      <c r="C2102" s="5"/>
      <c r="D2102" s="5" t="s">
        <v>286</v>
      </c>
      <c r="E2102" s="5" t="s">
        <v>287</v>
      </c>
      <c r="F2102" s="5" t="s">
        <v>560</v>
      </c>
      <c r="G2102" s="14">
        <f t="shared" ref="G2102:L2102" si="532">SUBTOTAL(9,G2101:G2101)</f>
        <v>0</v>
      </c>
      <c r="H2102" s="14">
        <f t="shared" si="532"/>
        <v>0</v>
      </c>
      <c r="I2102" s="14">
        <f t="shared" si="532"/>
        <v>0.21</v>
      </c>
      <c r="J2102" s="14">
        <f t="shared" si="532"/>
        <v>0</v>
      </c>
      <c r="K2102" s="14">
        <f t="shared" si="532"/>
        <v>0</v>
      </c>
      <c r="L2102" s="14">
        <f t="shared" si="532"/>
        <v>0.21</v>
      </c>
      <c r="M2102" s="10">
        <v>2632</v>
      </c>
      <c r="N2102" s="69"/>
      <c r="O2102" s="11">
        <f>O2099+1</f>
        <v>513</v>
      </c>
    </row>
    <row r="2103" spans="1:15" s="4" customFormat="1" x14ac:dyDescent="0.25">
      <c r="A2103" s="10"/>
      <c r="B2103"/>
      <c r="C2103"/>
      <c r="D2103"/>
      <c r="E2103"/>
      <c r="F2103"/>
      <c r="G2103" s="21"/>
      <c r="H2103" s="21"/>
      <c r="I2103" s="21"/>
      <c r="J2103" s="21"/>
      <c r="K2103" s="21"/>
      <c r="L2103" s="21"/>
      <c r="M2103" s="10"/>
      <c r="N2103" s="67"/>
      <c r="O2103" s="11"/>
    </row>
    <row r="2104" spans="1:15" x14ac:dyDescent="0.25">
      <c r="A2104" s="6">
        <v>1032</v>
      </c>
      <c r="B2104" s="5" t="s">
        <v>18</v>
      </c>
      <c r="C2104" s="5" t="s">
        <v>17</v>
      </c>
      <c r="D2104" s="5" t="s">
        <v>286</v>
      </c>
      <c r="E2104" s="5" t="s">
        <v>287</v>
      </c>
      <c r="F2104" s="5" t="s">
        <v>19</v>
      </c>
      <c r="G2104" s="22">
        <v>0</v>
      </c>
      <c r="H2104" s="22">
        <v>0</v>
      </c>
      <c r="I2104" s="22">
        <v>2.57</v>
      </c>
      <c r="J2104" s="22">
        <v>0</v>
      </c>
      <c r="K2104" s="22">
        <v>-0.3</v>
      </c>
      <c r="L2104" s="22">
        <v>2.27</v>
      </c>
      <c r="M2104" s="10"/>
      <c r="O2104" s="11"/>
    </row>
    <row r="2105" spans="1:15" x14ac:dyDescent="0.25">
      <c r="A2105" s="6"/>
      <c r="B2105" s="5"/>
      <c r="C2105" s="5"/>
      <c r="D2105" s="5" t="s">
        <v>286</v>
      </c>
      <c r="E2105" s="5" t="s">
        <v>287</v>
      </c>
      <c r="F2105" s="5" t="s">
        <v>19</v>
      </c>
      <c r="G2105" s="14">
        <f t="shared" ref="G2105:L2105" si="533">SUBTOTAL(9,G2104:G2104)</f>
        <v>0</v>
      </c>
      <c r="H2105" s="14">
        <f t="shared" si="533"/>
        <v>0</v>
      </c>
      <c r="I2105" s="14">
        <f t="shared" si="533"/>
        <v>2.57</v>
      </c>
      <c r="J2105" s="14">
        <f t="shared" si="533"/>
        <v>0</v>
      </c>
      <c r="K2105" s="14">
        <f t="shared" si="533"/>
        <v>-0.3</v>
      </c>
      <c r="L2105" s="14">
        <f t="shared" si="533"/>
        <v>2.27</v>
      </c>
      <c r="M2105" s="10">
        <v>2633</v>
      </c>
      <c r="N2105" s="69"/>
      <c r="O2105" s="11">
        <f>O2102+1</f>
        <v>514</v>
      </c>
    </row>
    <row r="2106" spans="1:15" s="4" customFormat="1" x14ac:dyDescent="0.25">
      <c r="A2106" s="10"/>
      <c r="B2106"/>
      <c r="C2106"/>
      <c r="D2106"/>
      <c r="E2106"/>
      <c r="F2106"/>
      <c r="G2106" s="21"/>
      <c r="H2106" s="21"/>
      <c r="I2106" s="21"/>
      <c r="J2106" s="21"/>
      <c r="K2106" s="21"/>
      <c r="L2106" s="21"/>
      <c r="M2106" s="10"/>
      <c r="N2106" s="67"/>
      <c r="O2106" s="11"/>
    </row>
    <row r="2107" spans="1:15" s="4" customFormat="1" x14ac:dyDescent="0.25">
      <c r="A2107" s="6">
        <v>1033</v>
      </c>
      <c r="B2107" s="5" t="s">
        <v>20</v>
      </c>
      <c r="C2107" s="5" t="s">
        <v>17</v>
      </c>
      <c r="D2107" s="5" t="s">
        <v>286</v>
      </c>
      <c r="E2107" s="5" t="s">
        <v>287</v>
      </c>
      <c r="F2107" s="5" t="s">
        <v>21</v>
      </c>
      <c r="G2107" s="22">
        <v>0</v>
      </c>
      <c r="H2107" s="22">
        <v>0</v>
      </c>
      <c r="I2107" s="22">
        <v>0</v>
      </c>
      <c r="J2107" s="22">
        <v>0</v>
      </c>
      <c r="K2107" s="22">
        <v>0</v>
      </c>
      <c r="L2107" s="22">
        <v>0</v>
      </c>
      <c r="M2107" s="10"/>
      <c r="N2107" s="67"/>
      <c r="O2107" s="11"/>
    </row>
    <row r="2108" spans="1:15" x14ac:dyDescent="0.25">
      <c r="A2108" s="6">
        <v>1034</v>
      </c>
      <c r="B2108" s="5" t="s">
        <v>20</v>
      </c>
      <c r="C2108" s="5" t="s">
        <v>17</v>
      </c>
      <c r="D2108" s="5" t="s">
        <v>286</v>
      </c>
      <c r="E2108" s="5" t="s">
        <v>287</v>
      </c>
      <c r="F2108" s="5" t="s">
        <v>21</v>
      </c>
      <c r="G2108" s="22">
        <v>0</v>
      </c>
      <c r="H2108" s="22">
        <v>0</v>
      </c>
      <c r="I2108" s="22">
        <v>0</v>
      </c>
      <c r="J2108" s="22">
        <v>0</v>
      </c>
      <c r="K2108" s="22">
        <v>0</v>
      </c>
      <c r="L2108" s="22">
        <v>0</v>
      </c>
      <c r="M2108" s="10"/>
      <c r="O2108" s="11"/>
    </row>
    <row r="2109" spans="1:15" x14ac:dyDescent="0.25">
      <c r="A2109" s="28"/>
      <c r="B2109" s="29"/>
      <c r="C2109" s="29"/>
      <c r="D2109" s="29"/>
      <c r="E2109" s="29"/>
      <c r="F2109" s="29" t="s">
        <v>662</v>
      </c>
      <c r="G2109" s="31">
        <f t="shared" ref="G2109:L2109" si="534">SUBTOTAL(9,G2107:G2108)</f>
        <v>0</v>
      </c>
      <c r="H2109" s="31">
        <f t="shared" si="534"/>
        <v>0</v>
      </c>
      <c r="I2109" s="31">
        <f t="shared" si="534"/>
        <v>0</v>
      </c>
      <c r="J2109" s="31">
        <f t="shared" si="534"/>
        <v>0</v>
      </c>
      <c r="K2109" s="31">
        <f t="shared" si="534"/>
        <v>0</v>
      </c>
      <c r="L2109" s="31">
        <f t="shared" si="534"/>
        <v>0</v>
      </c>
      <c r="M2109" s="15"/>
      <c r="O2109" s="11"/>
    </row>
    <row r="2110" spans="1:15" s="4" customFormat="1" x14ac:dyDescent="0.25">
      <c r="A2110" s="10"/>
      <c r="B2110"/>
      <c r="C2110"/>
      <c r="D2110"/>
      <c r="E2110"/>
      <c r="F2110"/>
      <c r="G2110" s="21"/>
      <c r="H2110" s="21"/>
      <c r="I2110" s="21"/>
      <c r="J2110" s="21"/>
      <c r="K2110" s="21"/>
      <c r="L2110" s="21"/>
      <c r="M2110" s="10"/>
      <c r="N2110" s="67"/>
      <c r="O2110" s="11"/>
    </row>
    <row r="2111" spans="1:15" s="4" customFormat="1" x14ac:dyDescent="0.25">
      <c r="A2111" s="6">
        <v>1035</v>
      </c>
      <c r="B2111" s="5" t="s">
        <v>550</v>
      </c>
      <c r="C2111" s="5" t="s">
        <v>17</v>
      </c>
      <c r="D2111" s="5" t="s">
        <v>286</v>
      </c>
      <c r="E2111" s="5" t="s">
        <v>287</v>
      </c>
      <c r="F2111" s="5" t="s">
        <v>551</v>
      </c>
      <c r="G2111" s="22">
        <v>0</v>
      </c>
      <c r="H2111" s="22">
        <v>0</v>
      </c>
      <c r="I2111" s="22">
        <v>7637.96</v>
      </c>
      <c r="J2111" s="22">
        <v>0</v>
      </c>
      <c r="K2111" s="22">
        <v>-152.76</v>
      </c>
      <c r="L2111" s="22">
        <v>7485.2</v>
      </c>
      <c r="M2111" s="10"/>
      <c r="N2111" s="67"/>
      <c r="O2111" s="11"/>
    </row>
    <row r="2112" spans="1:15" x14ac:dyDescent="0.25">
      <c r="A2112" s="6"/>
      <c r="B2112" s="5"/>
      <c r="C2112" s="5"/>
      <c r="D2112" s="5" t="s">
        <v>286</v>
      </c>
      <c r="E2112" s="5" t="s">
        <v>287</v>
      </c>
      <c r="F2112" s="5" t="s">
        <v>551</v>
      </c>
      <c r="G2112" s="14">
        <f t="shared" ref="G2112:L2112" si="535">SUBTOTAL(9,G2111:G2111)</f>
        <v>0</v>
      </c>
      <c r="H2112" s="14">
        <f t="shared" si="535"/>
        <v>0</v>
      </c>
      <c r="I2112" s="14">
        <f t="shared" si="535"/>
        <v>7637.96</v>
      </c>
      <c r="J2112" s="14">
        <f t="shared" si="535"/>
        <v>0</v>
      </c>
      <c r="K2112" s="14">
        <f t="shared" si="535"/>
        <v>-152.76</v>
      </c>
      <c r="L2112" s="14">
        <f t="shared" si="535"/>
        <v>7485.2</v>
      </c>
      <c r="M2112" s="10">
        <v>2634</v>
      </c>
      <c r="N2112" s="69"/>
      <c r="O2112" s="11">
        <f>O2105+1</f>
        <v>515</v>
      </c>
    </row>
    <row r="2113" spans="1:15" x14ac:dyDescent="0.25">
      <c r="A2113" s="10"/>
      <c r="G2113" s="21"/>
      <c r="H2113" s="21"/>
      <c r="I2113" s="21"/>
      <c r="J2113" s="21"/>
      <c r="K2113" s="21"/>
      <c r="L2113" s="21"/>
      <c r="M2113" s="10"/>
      <c r="O2113" s="11"/>
    </row>
    <row r="2114" spans="1:15" s="4" customFormat="1" x14ac:dyDescent="0.25">
      <c r="A2114" s="6">
        <v>1036</v>
      </c>
      <c r="B2114" s="5" t="s">
        <v>550</v>
      </c>
      <c r="C2114" s="5" t="s">
        <v>17</v>
      </c>
      <c r="D2114" s="5" t="s">
        <v>286</v>
      </c>
      <c r="E2114" s="5" t="s">
        <v>287</v>
      </c>
      <c r="F2114" s="5" t="s">
        <v>552</v>
      </c>
      <c r="G2114" s="22">
        <v>0</v>
      </c>
      <c r="H2114" s="22">
        <v>0</v>
      </c>
      <c r="I2114" s="22">
        <v>0.55000000000000004</v>
      </c>
      <c r="J2114" s="22">
        <v>0</v>
      </c>
      <c r="K2114" s="22">
        <v>-0.01</v>
      </c>
      <c r="L2114" s="22">
        <v>0.54</v>
      </c>
      <c r="M2114" s="10"/>
      <c r="N2114" s="67"/>
      <c r="O2114" s="11"/>
    </row>
    <row r="2115" spans="1:15" x14ac:dyDescent="0.25">
      <c r="A2115" s="6"/>
      <c r="B2115" s="5"/>
      <c r="C2115" s="5"/>
      <c r="D2115" s="5" t="s">
        <v>286</v>
      </c>
      <c r="E2115" s="5" t="s">
        <v>287</v>
      </c>
      <c r="F2115" s="5" t="s">
        <v>552</v>
      </c>
      <c r="G2115" s="14">
        <f t="shared" ref="G2115:L2115" si="536">SUBTOTAL(9,G2114:G2114)</f>
        <v>0</v>
      </c>
      <c r="H2115" s="14">
        <f t="shared" si="536"/>
        <v>0</v>
      </c>
      <c r="I2115" s="14">
        <f t="shared" si="536"/>
        <v>0.55000000000000004</v>
      </c>
      <c r="J2115" s="14">
        <f t="shared" si="536"/>
        <v>0</v>
      </c>
      <c r="K2115" s="14">
        <f t="shared" si="536"/>
        <v>-0.01</v>
      </c>
      <c r="L2115" s="14">
        <f t="shared" si="536"/>
        <v>0.54</v>
      </c>
      <c r="M2115" s="10">
        <v>2635</v>
      </c>
      <c r="N2115" s="69"/>
      <c r="O2115" s="11">
        <f>O2112+1</f>
        <v>516</v>
      </c>
    </row>
    <row r="2116" spans="1:15" x14ac:dyDescent="0.25">
      <c r="A2116" s="10"/>
      <c r="G2116" s="21"/>
      <c r="H2116" s="21"/>
      <c r="I2116" s="21"/>
      <c r="J2116" s="21"/>
      <c r="K2116" s="21"/>
      <c r="L2116" s="21"/>
      <c r="M2116" s="10"/>
      <c r="O2116" s="11"/>
    </row>
    <row r="2117" spans="1:15" s="4" customFormat="1" x14ac:dyDescent="0.25">
      <c r="A2117" s="6">
        <v>1037</v>
      </c>
      <c r="B2117" s="5" t="s">
        <v>555</v>
      </c>
      <c r="C2117" s="5" t="s">
        <v>17</v>
      </c>
      <c r="D2117" s="5" t="s">
        <v>288</v>
      </c>
      <c r="E2117" s="5" t="s">
        <v>289</v>
      </c>
      <c r="F2117" s="5" t="s">
        <v>556</v>
      </c>
      <c r="G2117" s="22">
        <v>545.29</v>
      </c>
      <c r="H2117" s="22">
        <v>0</v>
      </c>
      <c r="I2117" s="22">
        <v>0</v>
      </c>
      <c r="J2117" s="22">
        <v>0</v>
      </c>
      <c r="K2117" s="22">
        <v>-10.91</v>
      </c>
      <c r="L2117" s="22">
        <v>534.38</v>
      </c>
      <c r="M2117" s="10"/>
      <c r="N2117" s="67"/>
      <c r="O2117" s="11"/>
    </row>
    <row r="2118" spans="1:15" x14ac:dyDescent="0.25">
      <c r="A2118" s="6">
        <v>1038</v>
      </c>
      <c r="B2118" s="5" t="s">
        <v>555</v>
      </c>
      <c r="C2118" s="5" t="s">
        <v>13</v>
      </c>
      <c r="D2118" s="5" t="s">
        <v>288</v>
      </c>
      <c r="E2118" s="5" t="s">
        <v>289</v>
      </c>
      <c r="F2118" s="5" t="s">
        <v>556</v>
      </c>
      <c r="G2118" s="22">
        <v>0</v>
      </c>
      <c r="H2118" s="22">
        <v>0</v>
      </c>
      <c r="I2118" s="22">
        <v>0</v>
      </c>
      <c r="J2118" s="22">
        <v>65.430000000000007</v>
      </c>
      <c r="K2118" s="22">
        <v>0</v>
      </c>
      <c r="L2118" s="22">
        <v>65.430000000000007</v>
      </c>
      <c r="M2118" s="10"/>
      <c r="O2118" s="11"/>
    </row>
    <row r="2119" spans="1:15" x14ac:dyDescent="0.25">
      <c r="A2119" s="6"/>
      <c r="B2119" s="5"/>
      <c r="C2119" s="5"/>
      <c r="D2119" s="5" t="s">
        <v>288</v>
      </c>
      <c r="E2119" s="5" t="s">
        <v>289</v>
      </c>
      <c r="F2119" s="5" t="s">
        <v>556</v>
      </c>
      <c r="G2119" s="14">
        <f t="shared" ref="G2119:L2119" si="537">SUBTOTAL(9,G2117:G2118)</f>
        <v>545.29</v>
      </c>
      <c r="H2119" s="14">
        <f t="shared" si="537"/>
        <v>0</v>
      </c>
      <c r="I2119" s="14">
        <f t="shared" si="537"/>
        <v>0</v>
      </c>
      <c r="J2119" s="14">
        <f t="shared" si="537"/>
        <v>65.430000000000007</v>
      </c>
      <c r="K2119" s="14">
        <f t="shared" si="537"/>
        <v>-10.91</v>
      </c>
      <c r="L2119" s="14">
        <f t="shared" si="537"/>
        <v>599.80999999999995</v>
      </c>
      <c r="M2119" s="10">
        <v>2636</v>
      </c>
      <c r="N2119" s="69"/>
      <c r="O2119" s="11">
        <f>O2115+1</f>
        <v>517</v>
      </c>
    </row>
    <row r="2120" spans="1:15" s="4" customFormat="1" x14ac:dyDescent="0.25">
      <c r="A2120" s="10"/>
      <c r="B2120"/>
      <c r="C2120"/>
      <c r="D2120"/>
      <c r="E2120"/>
      <c r="F2120"/>
      <c r="G2120" s="21"/>
      <c r="H2120" s="21"/>
      <c r="I2120" s="21"/>
      <c r="J2120" s="21"/>
      <c r="K2120" s="21"/>
      <c r="L2120" s="21"/>
      <c r="M2120" s="10"/>
      <c r="N2120" s="67"/>
      <c r="O2120" s="11"/>
    </row>
    <row r="2121" spans="1:15" x14ac:dyDescent="0.25">
      <c r="A2121" s="6">
        <v>1039</v>
      </c>
      <c r="B2121" s="5" t="s">
        <v>557</v>
      </c>
      <c r="C2121" s="5" t="s">
        <v>17</v>
      </c>
      <c r="D2121" s="5" t="s">
        <v>288</v>
      </c>
      <c r="E2121" s="5" t="s">
        <v>289</v>
      </c>
      <c r="F2121" s="5" t="s">
        <v>558</v>
      </c>
      <c r="G2121" s="22">
        <v>308.07</v>
      </c>
      <c r="H2121" s="22">
        <v>0</v>
      </c>
      <c r="I2121" s="22">
        <v>0</v>
      </c>
      <c r="J2121" s="22">
        <v>0</v>
      </c>
      <c r="K2121" s="22">
        <v>-6.16</v>
      </c>
      <c r="L2121" s="22">
        <v>301.91000000000003</v>
      </c>
      <c r="M2121" s="10"/>
      <c r="O2121" s="11"/>
    </row>
    <row r="2122" spans="1:15" x14ac:dyDescent="0.25">
      <c r="A2122" s="6">
        <v>1040</v>
      </c>
      <c r="B2122" s="5" t="s">
        <v>557</v>
      </c>
      <c r="C2122" s="5" t="s">
        <v>13</v>
      </c>
      <c r="D2122" s="5" t="s">
        <v>288</v>
      </c>
      <c r="E2122" s="5" t="s">
        <v>289</v>
      </c>
      <c r="F2122" s="5" t="s">
        <v>558</v>
      </c>
      <c r="G2122" s="22">
        <v>0</v>
      </c>
      <c r="H2122" s="22">
        <v>0</v>
      </c>
      <c r="I2122" s="22">
        <v>0</v>
      </c>
      <c r="J2122" s="22">
        <v>36.97</v>
      </c>
      <c r="K2122" s="22">
        <v>0</v>
      </c>
      <c r="L2122" s="22">
        <v>36.97</v>
      </c>
      <c r="M2122" s="10"/>
      <c r="O2122" s="11"/>
    </row>
    <row r="2123" spans="1:15" s="4" customFormat="1" x14ac:dyDescent="0.25">
      <c r="A2123" s="6"/>
      <c r="B2123" s="5"/>
      <c r="C2123" s="5"/>
      <c r="D2123" s="5" t="s">
        <v>288</v>
      </c>
      <c r="E2123" s="5" t="s">
        <v>289</v>
      </c>
      <c r="F2123" s="5" t="s">
        <v>558</v>
      </c>
      <c r="G2123" s="14">
        <f t="shared" ref="G2123:L2123" si="538">SUBTOTAL(9,G2121:G2122)</f>
        <v>308.07</v>
      </c>
      <c r="H2123" s="14">
        <f t="shared" si="538"/>
        <v>0</v>
      </c>
      <c r="I2123" s="14">
        <f t="shared" si="538"/>
        <v>0</v>
      </c>
      <c r="J2123" s="14">
        <f t="shared" si="538"/>
        <v>36.97</v>
      </c>
      <c r="K2123" s="14">
        <f t="shared" si="538"/>
        <v>-6.16</v>
      </c>
      <c r="L2123" s="14">
        <f t="shared" si="538"/>
        <v>338.88</v>
      </c>
      <c r="M2123" s="10">
        <v>2637</v>
      </c>
      <c r="N2123" s="69"/>
      <c r="O2123" s="11">
        <f>O2119+1</f>
        <v>518</v>
      </c>
    </row>
    <row r="2124" spans="1:15" s="4" customFormat="1" x14ac:dyDescent="0.25">
      <c r="A2124" s="10"/>
      <c r="B2124"/>
      <c r="C2124"/>
      <c r="D2124"/>
      <c r="E2124"/>
      <c r="F2124"/>
      <c r="G2124" s="21"/>
      <c r="H2124" s="21"/>
      <c r="I2124" s="21"/>
      <c r="J2124" s="21"/>
      <c r="K2124" s="21"/>
      <c r="L2124" s="21"/>
      <c r="M2124" s="10"/>
      <c r="N2124" s="67"/>
      <c r="O2124" s="11"/>
    </row>
    <row r="2125" spans="1:15" x14ac:dyDescent="0.25">
      <c r="A2125" s="6">
        <v>1041</v>
      </c>
      <c r="B2125" s="5" t="s">
        <v>18</v>
      </c>
      <c r="C2125" s="5" t="s">
        <v>17</v>
      </c>
      <c r="D2125" s="5" t="s">
        <v>288</v>
      </c>
      <c r="E2125" s="5" t="s">
        <v>289</v>
      </c>
      <c r="F2125" s="5" t="s">
        <v>19</v>
      </c>
      <c r="G2125" s="22">
        <v>2.4</v>
      </c>
      <c r="H2125" s="22">
        <v>0</v>
      </c>
      <c r="I2125" s="22">
        <v>0</v>
      </c>
      <c r="J2125" s="22">
        <v>0</v>
      </c>
      <c r="K2125" s="22">
        <v>-2.13</v>
      </c>
      <c r="L2125" s="22">
        <v>0.27</v>
      </c>
      <c r="M2125" s="10"/>
      <c r="O2125" s="11"/>
    </row>
    <row r="2126" spans="1:15" x14ac:dyDescent="0.25">
      <c r="A2126" s="6">
        <v>1042</v>
      </c>
      <c r="B2126" s="5" t="s">
        <v>18</v>
      </c>
      <c r="C2126" s="5" t="s">
        <v>13</v>
      </c>
      <c r="D2126" s="5" t="s">
        <v>288</v>
      </c>
      <c r="E2126" s="5" t="s">
        <v>289</v>
      </c>
      <c r="F2126" s="5" t="s">
        <v>19</v>
      </c>
      <c r="G2126" s="22">
        <v>0</v>
      </c>
      <c r="H2126" s="22">
        <v>0</v>
      </c>
      <c r="I2126" s="22">
        <v>0</v>
      </c>
      <c r="J2126" s="22">
        <v>3.69</v>
      </c>
      <c r="K2126" s="22">
        <v>0</v>
      </c>
      <c r="L2126" s="22">
        <v>3.69</v>
      </c>
      <c r="M2126" s="10"/>
      <c r="O2126" s="11"/>
    </row>
    <row r="2127" spans="1:15" s="4" customFormat="1" x14ac:dyDescent="0.25">
      <c r="A2127" s="6"/>
      <c r="B2127" s="5"/>
      <c r="C2127" s="5"/>
      <c r="D2127" s="5" t="s">
        <v>288</v>
      </c>
      <c r="E2127" s="5" t="s">
        <v>289</v>
      </c>
      <c r="F2127" s="5" t="s">
        <v>19</v>
      </c>
      <c r="G2127" s="14">
        <f t="shared" ref="G2127:L2127" si="539">SUBTOTAL(9,G2125:G2126)</f>
        <v>2.4</v>
      </c>
      <c r="H2127" s="14">
        <f t="shared" si="539"/>
        <v>0</v>
      </c>
      <c r="I2127" s="14">
        <f t="shared" si="539"/>
        <v>0</v>
      </c>
      <c r="J2127" s="14">
        <f t="shared" si="539"/>
        <v>3.69</v>
      </c>
      <c r="K2127" s="14">
        <f t="shared" si="539"/>
        <v>-2.13</v>
      </c>
      <c r="L2127" s="14">
        <f t="shared" si="539"/>
        <v>3.96</v>
      </c>
      <c r="M2127" s="10">
        <v>2638</v>
      </c>
      <c r="N2127" s="69"/>
      <c r="O2127" s="11">
        <f>O2123+1</f>
        <v>519</v>
      </c>
    </row>
    <row r="2128" spans="1:15" x14ac:dyDescent="0.25">
      <c r="A2128" s="10"/>
      <c r="G2128" s="21"/>
      <c r="H2128" s="21"/>
      <c r="I2128" s="21"/>
      <c r="J2128" s="21"/>
      <c r="K2128" s="21"/>
      <c r="L2128" s="21"/>
      <c r="M2128" s="10"/>
      <c r="O2128" s="11"/>
    </row>
    <row r="2129" spans="1:15" x14ac:dyDescent="0.25">
      <c r="A2129" s="6">
        <v>1043</v>
      </c>
      <c r="B2129" s="5" t="s">
        <v>550</v>
      </c>
      <c r="C2129" s="5" t="s">
        <v>17</v>
      </c>
      <c r="D2129" s="5" t="s">
        <v>288</v>
      </c>
      <c r="E2129" s="5" t="s">
        <v>289</v>
      </c>
      <c r="F2129" s="5" t="s">
        <v>551</v>
      </c>
      <c r="G2129" s="22">
        <v>14.28</v>
      </c>
      <c r="H2129" s="22">
        <v>0</v>
      </c>
      <c r="I2129" s="22">
        <v>0</v>
      </c>
      <c r="J2129" s="22">
        <v>0</v>
      </c>
      <c r="K2129" s="22">
        <v>-0.28999999999999998</v>
      </c>
      <c r="L2129" s="22">
        <v>13.99</v>
      </c>
      <c r="M2129" s="10"/>
      <c r="O2129" s="11"/>
    </row>
    <row r="2130" spans="1:15" s="4" customFormat="1" x14ac:dyDescent="0.25">
      <c r="A2130" s="6">
        <v>1044</v>
      </c>
      <c r="B2130" s="5" t="s">
        <v>550</v>
      </c>
      <c r="C2130" s="5" t="s">
        <v>17</v>
      </c>
      <c r="D2130" s="5" t="s">
        <v>288</v>
      </c>
      <c r="E2130" s="5" t="s">
        <v>289</v>
      </c>
      <c r="F2130" s="5" t="s">
        <v>551</v>
      </c>
      <c r="G2130" s="22">
        <v>511.8</v>
      </c>
      <c r="H2130" s="22">
        <v>0</v>
      </c>
      <c r="I2130" s="22">
        <v>0</v>
      </c>
      <c r="J2130" s="22">
        <v>0</v>
      </c>
      <c r="K2130" s="22">
        <v>-10.24</v>
      </c>
      <c r="L2130" s="22">
        <v>501.56</v>
      </c>
      <c r="M2130" s="10"/>
      <c r="N2130" s="67"/>
      <c r="O2130" s="11"/>
    </row>
    <row r="2131" spans="1:15" x14ac:dyDescent="0.25">
      <c r="A2131" s="6">
        <v>1045</v>
      </c>
      <c r="B2131" s="5" t="s">
        <v>550</v>
      </c>
      <c r="C2131" s="5" t="s">
        <v>13</v>
      </c>
      <c r="D2131" s="5" t="s">
        <v>288</v>
      </c>
      <c r="E2131" s="5" t="s">
        <v>289</v>
      </c>
      <c r="F2131" s="5" t="s">
        <v>551</v>
      </c>
      <c r="G2131" s="22">
        <v>0</v>
      </c>
      <c r="H2131" s="22">
        <v>0</v>
      </c>
      <c r="I2131" s="22">
        <v>0</v>
      </c>
      <c r="J2131" s="22">
        <v>1.71</v>
      </c>
      <c r="K2131" s="22">
        <v>0</v>
      </c>
      <c r="L2131" s="22">
        <v>1.71</v>
      </c>
      <c r="M2131" s="10"/>
      <c r="O2131" s="11"/>
    </row>
    <row r="2132" spans="1:15" x14ac:dyDescent="0.25">
      <c r="A2132" s="6">
        <v>1046</v>
      </c>
      <c r="B2132" s="5" t="s">
        <v>550</v>
      </c>
      <c r="C2132" s="5" t="s">
        <v>13</v>
      </c>
      <c r="D2132" s="5" t="s">
        <v>288</v>
      </c>
      <c r="E2132" s="5" t="s">
        <v>289</v>
      </c>
      <c r="F2132" s="5" t="s">
        <v>551</v>
      </c>
      <c r="G2132" s="22">
        <v>0</v>
      </c>
      <c r="H2132" s="22">
        <v>0</v>
      </c>
      <c r="I2132" s="22">
        <v>0</v>
      </c>
      <c r="J2132" s="22">
        <v>49.76</v>
      </c>
      <c r="K2132" s="22">
        <v>0</v>
      </c>
      <c r="L2132" s="22">
        <v>49.76</v>
      </c>
      <c r="M2132" s="10"/>
      <c r="O2132" s="11"/>
    </row>
    <row r="2133" spans="1:15" s="4" customFormat="1" x14ac:dyDescent="0.25">
      <c r="A2133" s="6"/>
      <c r="B2133" s="5"/>
      <c r="C2133" s="5"/>
      <c r="D2133" s="5" t="s">
        <v>288</v>
      </c>
      <c r="E2133" s="5" t="s">
        <v>289</v>
      </c>
      <c r="F2133" s="5" t="s">
        <v>551</v>
      </c>
      <c r="G2133" s="14">
        <f t="shared" ref="G2133:L2133" si="540">SUBTOTAL(9,G2129:G2132)</f>
        <v>526.08000000000004</v>
      </c>
      <c r="H2133" s="14">
        <f t="shared" si="540"/>
        <v>0</v>
      </c>
      <c r="I2133" s="14">
        <f t="shared" si="540"/>
        <v>0</v>
      </c>
      <c r="J2133" s="14">
        <f t="shared" si="540"/>
        <v>51.47</v>
      </c>
      <c r="K2133" s="14">
        <f t="shared" si="540"/>
        <v>-10.53</v>
      </c>
      <c r="L2133" s="14">
        <f t="shared" si="540"/>
        <v>567.02</v>
      </c>
      <c r="M2133" s="10">
        <v>2639</v>
      </c>
      <c r="N2133" s="69"/>
      <c r="O2133" s="11">
        <f>O2127+1</f>
        <v>520</v>
      </c>
    </row>
    <row r="2134" spans="1:15" x14ac:dyDescent="0.25">
      <c r="A2134" s="10"/>
      <c r="G2134" s="21"/>
      <c r="H2134" s="21"/>
      <c r="I2134" s="21"/>
      <c r="J2134" s="21"/>
      <c r="K2134" s="21"/>
      <c r="L2134" s="21"/>
      <c r="M2134" s="10"/>
      <c r="O2134" s="11"/>
    </row>
    <row r="2135" spans="1:15" x14ac:dyDescent="0.25">
      <c r="A2135" s="6">
        <v>1047</v>
      </c>
      <c r="B2135" s="5" t="s">
        <v>550</v>
      </c>
      <c r="C2135" s="5" t="s">
        <v>17</v>
      </c>
      <c r="D2135" s="5" t="s">
        <v>288</v>
      </c>
      <c r="E2135" s="5" t="s">
        <v>289</v>
      </c>
      <c r="F2135" s="5" t="s">
        <v>552</v>
      </c>
      <c r="G2135" s="22">
        <v>0.04</v>
      </c>
      <c r="H2135" s="22">
        <v>0</v>
      </c>
      <c r="I2135" s="22">
        <v>0</v>
      </c>
      <c r="J2135" s="22">
        <v>0</v>
      </c>
      <c r="K2135" s="22">
        <v>0</v>
      </c>
      <c r="L2135" s="22">
        <v>0.04</v>
      </c>
      <c r="M2135" s="10"/>
      <c r="O2135" s="11"/>
    </row>
    <row r="2136" spans="1:15" s="4" customFormat="1" x14ac:dyDescent="0.25">
      <c r="A2136" s="6">
        <v>1048</v>
      </c>
      <c r="B2136" s="5" t="s">
        <v>550</v>
      </c>
      <c r="C2136" s="5" t="s">
        <v>13</v>
      </c>
      <c r="D2136" s="5" t="s">
        <v>288</v>
      </c>
      <c r="E2136" s="5" t="s">
        <v>289</v>
      </c>
      <c r="F2136" s="5" t="s">
        <v>552</v>
      </c>
      <c r="G2136" s="22">
        <v>0</v>
      </c>
      <c r="H2136" s="22">
        <v>0</v>
      </c>
      <c r="I2136" s="22">
        <v>0</v>
      </c>
      <c r="J2136" s="22">
        <v>0</v>
      </c>
      <c r="K2136" s="22">
        <v>0</v>
      </c>
      <c r="L2136" s="22">
        <v>0</v>
      </c>
      <c r="M2136" s="10"/>
      <c r="N2136" s="67"/>
      <c r="O2136" s="11"/>
    </row>
    <row r="2137" spans="1:15" x14ac:dyDescent="0.25">
      <c r="A2137" s="6"/>
      <c r="B2137" s="5"/>
      <c r="C2137" s="5"/>
      <c r="D2137" s="5" t="s">
        <v>288</v>
      </c>
      <c r="E2137" s="5" t="s">
        <v>289</v>
      </c>
      <c r="F2137" s="5" t="s">
        <v>552</v>
      </c>
      <c r="G2137" s="14">
        <f t="shared" ref="G2137:L2137" si="541">SUBTOTAL(9,G2135:G2136)</f>
        <v>0.04</v>
      </c>
      <c r="H2137" s="14">
        <f t="shared" si="541"/>
        <v>0</v>
      </c>
      <c r="I2137" s="14">
        <f t="shared" si="541"/>
        <v>0</v>
      </c>
      <c r="J2137" s="14">
        <f t="shared" si="541"/>
        <v>0</v>
      </c>
      <c r="K2137" s="14">
        <f t="shared" si="541"/>
        <v>0</v>
      </c>
      <c r="L2137" s="14">
        <f t="shared" si="541"/>
        <v>0.04</v>
      </c>
      <c r="M2137" s="10">
        <v>2640</v>
      </c>
      <c r="N2137" s="69"/>
      <c r="O2137" s="11">
        <f>O2133+1</f>
        <v>521</v>
      </c>
    </row>
    <row r="2138" spans="1:15" x14ac:dyDescent="0.25">
      <c r="A2138" s="10"/>
      <c r="G2138" s="21"/>
      <c r="H2138" s="21"/>
      <c r="I2138" s="21"/>
      <c r="J2138" s="21"/>
      <c r="K2138" s="21"/>
      <c r="L2138" s="21"/>
      <c r="M2138" s="10"/>
      <c r="O2138" s="11"/>
    </row>
    <row r="2139" spans="1:15" s="4" customFormat="1" x14ac:dyDescent="0.25">
      <c r="A2139" s="6">
        <v>1049</v>
      </c>
      <c r="B2139" s="5" t="s">
        <v>12</v>
      </c>
      <c r="C2139" s="5" t="s">
        <v>17</v>
      </c>
      <c r="D2139" s="5" t="s">
        <v>290</v>
      </c>
      <c r="E2139" s="5" t="s">
        <v>291</v>
      </c>
      <c r="F2139" s="5" t="s">
        <v>16</v>
      </c>
      <c r="G2139" s="22">
        <v>0</v>
      </c>
      <c r="H2139" s="22">
        <v>0</v>
      </c>
      <c r="I2139" s="22">
        <v>4.28</v>
      </c>
      <c r="J2139" s="22">
        <v>0</v>
      </c>
      <c r="K2139" s="22">
        <v>-0.09</v>
      </c>
      <c r="L2139" s="22">
        <v>4.1900000000000004</v>
      </c>
      <c r="M2139" s="10"/>
      <c r="N2139" s="67"/>
      <c r="O2139" s="11"/>
    </row>
    <row r="2140" spans="1:15" x14ac:dyDescent="0.25">
      <c r="A2140" s="6">
        <v>1050</v>
      </c>
      <c r="B2140" s="5" t="s">
        <v>12</v>
      </c>
      <c r="C2140" s="5" t="s">
        <v>49</v>
      </c>
      <c r="D2140" s="5" t="s">
        <v>290</v>
      </c>
      <c r="E2140" s="5" t="s">
        <v>291</v>
      </c>
      <c r="F2140" s="5" t="s">
        <v>16</v>
      </c>
      <c r="G2140" s="22">
        <v>0</v>
      </c>
      <c r="H2140" s="22">
        <v>0</v>
      </c>
      <c r="I2140" s="22">
        <v>0.01</v>
      </c>
      <c r="J2140" s="22">
        <v>0</v>
      </c>
      <c r="K2140" s="22">
        <v>0</v>
      </c>
      <c r="L2140" s="22">
        <v>0.01</v>
      </c>
      <c r="M2140" s="10"/>
      <c r="N2140" s="70">
        <v>0.01</v>
      </c>
      <c r="O2140" s="11"/>
    </row>
    <row r="2141" spans="1:15" x14ac:dyDescent="0.25">
      <c r="A2141" s="6"/>
      <c r="B2141" s="5"/>
      <c r="C2141" s="5"/>
      <c r="D2141" s="5" t="s">
        <v>290</v>
      </c>
      <c r="E2141" s="5" t="s">
        <v>291</v>
      </c>
      <c r="F2141" s="5" t="s">
        <v>16</v>
      </c>
      <c r="G2141" s="14">
        <f t="shared" ref="G2141:L2141" si="542">SUBTOTAL(9,G2139:G2140)</f>
        <v>0</v>
      </c>
      <c r="H2141" s="14">
        <f t="shared" si="542"/>
        <v>0</v>
      </c>
      <c r="I2141" s="14">
        <f t="shared" si="542"/>
        <v>4.29</v>
      </c>
      <c r="J2141" s="14">
        <f t="shared" si="542"/>
        <v>0</v>
      </c>
      <c r="K2141" s="14">
        <f t="shared" si="542"/>
        <v>-0.09</v>
      </c>
      <c r="L2141" s="14">
        <f t="shared" si="542"/>
        <v>4.2</v>
      </c>
      <c r="M2141" s="10">
        <v>2641</v>
      </c>
      <c r="N2141" s="71">
        <f>SUBTOTAL(9,N2139:N2140)</f>
        <v>0.01</v>
      </c>
      <c r="O2141" s="11">
        <f>O2137+1</f>
        <v>522</v>
      </c>
    </row>
    <row r="2142" spans="1:15" s="4" customFormat="1" x14ac:dyDescent="0.25">
      <c r="A2142" s="10"/>
      <c r="B2142"/>
      <c r="C2142"/>
      <c r="D2142"/>
      <c r="E2142"/>
      <c r="F2142"/>
      <c r="G2142" s="21"/>
      <c r="H2142" s="21"/>
      <c r="I2142" s="21"/>
      <c r="J2142" s="21"/>
      <c r="K2142" s="21"/>
      <c r="L2142" s="21"/>
      <c r="M2142" s="10"/>
      <c r="N2142" s="67"/>
      <c r="O2142" s="11"/>
    </row>
    <row r="2143" spans="1:15" x14ac:dyDescent="0.25">
      <c r="A2143" s="6">
        <v>1051</v>
      </c>
      <c r="B2143" s="5" t="s">
        <v>29</v>
      </c>
      <c r="C2143" s="5" t="s">
        <v>17</v>
      </c>
      <c r="D2143" s="5" t="s">
        <v>290</v>
      </c>
      <c r="E2143" s="5" t="s">
        <v>291</v>
      </c>
      <c r="F2143" s="5" t="s">
        <v>30</v>
      </c>
      <c r="G2143" s="22">
        <v>0</v>
      </c>
      <c r="H2143" s="22">
        <v>0</v>
      </c>
      <c r="I2143" s="22">
        <v>0.02</v>
      </c>
      <c r="J2143" s="22">
        <v>0</v>
      </c>
      <c r="K2143" s="22">
        <v>0</v>
      </c>
      <c r="L2143" s="22">
        <v>0.02</v>
      </c>
      <c r="M2143" s="10"/>
      <c r="O2143" s="11"/>
    </row>
    <row r="2144" spans="1:15" x14ac:dyDescent="0.25">
      <c r="A2144" s="6"/>
      <c r="B2144" s="5"/>
      <c r="C2144" s="5"/>
      <c r="D2144" s="5" t="s">
        <v>290</v>
      </c>
      <c r="E2144" s="5" t="s">
        <v>291</v>
      </c>
      <c r="F2144" s="5" t="s">
        <v>30</v>
      </c>
      <c r="G2144" s="14">
        <f t="shared" ref="G2144:L2144" si="543">SUBTOTAL(9,G2143:G2143)</f>
        <v>0</v>
      </c>
      <c r="H2144" s="14">
        <f t="shared" si="543"/>
        <v>0</v>
      </c>
      <c r="I2144" s="14">
        <f t="shared" si="543"/>
        <v>0.02</v>
      </c>
      <c r="J2144" s="14">
        <f t="shared" si="543"/>
        <v>0</v>
      </c>
      <c r="K2144" s="14">
        <f t="shared" si="543"/>
        <v>0</v>
      </c>
      <c r="L2144" s="14">
        <f t="shared" si="543"/>
        <v>0.02</v>
      </c>
      <c r="M2144" s="10">
        <v>2642</v>
      </c>
      <c r="N2144" s="69"/>
      <c r="O2144" s="11">
        <f>O2141+1</f>
        <v>523</v>
      </c>
    </row>
    <row r="2145" spans="1:15" s="4" customFormat="1" x14ac:dyDescent="0.25">
      <c r="A2145" s="10"/>
      <c r="B2145"/>
      <c r="C2145"/>
      <c r="D2145"/>
      <c r="E2145"/>
      <c r="F2145"/>
      <c r="G2145" s="21"/>
      <c r="H2145" s="21"/>
      <c r="I2145" s="21"/>
      <c r="J2145" s="21"/>
      <c r="K2145" s="21"/>
      <c r="L2145" s="21"/>
      <c r="M2145" s="10"/>
      <c r="N2145" s="67"/>
      <c r="O2145" s="11"/>
    </row>
    <row r="2146" spans="1:15" x14ac:dyDescent="0.25">
      <c r="A2146" s="6">
        <v>1052</v>
      </c>
      <c r="B2146" s="5" t="s">
        <v>18</v>
      </c>
      <c r="C2146" s="5" t="s">
        <v>17</v>
      </c>
      <c r="D2146" s="5" t="s">
        <v>290</v>
      </c>
      <c r="E2146" s="5" t="s">
        <v>291</v>
      </c>
      <c r="F2146" s="5" t="s">
        <v>19</v>
      </c>
      <c r="G2146" s="22">
        <v>0</v>
      </c>
      <c r="H2146" s="22">
        <v>0</v>
      </c>
      <c r="I2146" s="22">
        <v>0.28000000000000003</v>
      </c>
      <c r="J2146" s="22">
        <v>0</v>
      </c>
      <c r="K2146" s="22">
        <v>-0.03</v>
      </c>
      <c r="L2146" s="22">
        <v>0.25</v>
      </c>
      <c r="M2146" s="10"/>
      <c r="O2146" s="11"/>
    </row>
    <row r="2147" spans="1:15" x14ac:dyDescent="0.25">
      <c r="A2147" s="6">
        <v>1053</v>
      </c>
      <c r="B2147" s="5" t="s">
        <v>18</v>
      </c>
      <c r="C2147" s="5" t="s">
        <v>17</v>
      </c>
      <c r="D2147" s="5" t="s">
        <v>290</v>
      </c>
      <c r="E2147" s="5" t="s">
        <v>291</v>
      </c>
      <c r="F2147" s="5" t="s">
        <v>19</v>
      </c>
      <c r="G2147" s="22">
        <v>0</v>
      </c>
      <c r="H2147" s="22">
        <v>0</v>
      </c>
      <c r="I2147" s="22">
        <v>0.27</v>
      </c>
      <c r="J2147" s="22">
        <v>0</v>
      </c>
      <c r="K2147" s="22">
        <v>-0.01</v>
      </c>
      <c r="L2147" s="22">
        <v>0.26</v>
      </c>
      <c r="M2147" s="10"/>
      <c r="O2147" s="11"/>
    </row>
    <row r="2148" spans="1:15" s="4" customFormat="1" x14ac:dyDescent="0.25">
      <c r="A2148" s="6"/>
      <c r="B2148" s="5"/>
      <c r="C2148" s="5"/>
      <c r="D2148" s="5" t="s">
        <v>290</v>
      </c>
      <c r="E2148" s="5" t="s">
        <v>291</v>
      </c>
      <c r="F2148" s="5" t="s">
        <v>19</v>
      </c>
      <c r="G2148" s="14">
        <f t="shared" ref="G2148:L2148" si="544">SUBTOTAL(9,G2146:G2147)</f>
        <v>0</v>
      </c>
      <c r="H2148" s="14">
        <f t="shared" si="544"/>
        <v>0</v>
      </c>
      <c r="I2148" s="14">
        <f t="shared" si="544"/>
        <v>0.55000000000000004</v>
      </c>
      <c r="J2148" s="14">
        <f t="shared" si="544"/>
        <v>0</v>
      </c>
      <c r="K2148" s="14">
        <f t="shared" si="544"/>
        <v>-0.04</v>
      </c>
      <c r="L2148" s="14">
        <f t="shared" si="544"/>
        <v>0.51</v>
      </c>
      <c r="M2148" s="10">
        <v>2643</v>
      </c>
      <c r="N2148" s="69"/>
      <c r="O2148" s="11">
        <f>O2144+1</f>
        <v>524</v>
      </c>
    </row>
    <row r="2149" spans="1:15" s="4" customFormat="1" x14ac:dyDescent="0.25">
      <c r="A2149" s="10"/>
      <c r="B2149"/>
      <c r="C2149"/>
      <c r="D2149"/>
      <c r="E2149"/>
      <c r="F2149"/>
      <c r="G2149" s="21"/>
      <c r="H2149" s="21"/>
      <c r="I2149" s="21"/>
      <c r="J2149" s="21"/>
      <c r="K2149" s="21"/>
      <c r="L2149" s="21"/>
      <c r="M2149" s="10"/>
      <c r="N2149" s="67"/>
      <c r="O2149" s="11"/>
    </row>
    <row r="2150" spans="1:15" x14ac:dyDescent="0.25">
      <c r="A2150" s="6">
        <v>1054</v>
      </c>
      <c r="B2150" s="5" t="s">
        <v>22</v>
      </c>
      <c r="C2150" s="5" t="s">
        <v>17</v>
      </c>
      <c r="D2150" s="5" t="s">
        <v>290</v>
      </c>
      <c r="E2150" s="5" t="s">
        <v>291</v>
      </c>
      <c r="F2150" s="5" t="s">
        <v>23</v>
      </c>
      <c r="G2150" s="22">
        <v>0</v>
      </c>
      <c r="H2150" s="22">
        <v>0</v>
      </c>
      <c r="I2150" s="22">
        <v>168.81</v>
      </c>
      <c r="J2150" s="22">
        <v>0</v>
      </c>
      <c r="K2150" s="22">
        <v>-3.37</v>
      </c>
      <c r="L2150" s="22">
        <v>165.44</v>
      </c>
      <c r="M2150" s="10"/>
      <c r="O2150" s="11"/>
    </row>
    <row r="2151" spans="1:15" x14ac:dyDescent="0.25">
      <c r="A2151" s="6">
        <v>1055</v>
      </c>
      <c r="B2151" s="5" t="s">
        <v>22</v>
      </c>
      <c r="C2151" s="5" t="s">
        <v>49</v>
      </c>
      <c r="D2151" s="5" t="s">
        <v>290</v>
      </c>
      <c r="E2151" s="5" t="s">
        <v>291</v>
      </c>
      <c r="F2151" s="5" t="s">
        <v>23</v>
      </c>
      <c r="G2151" s="22">
        <v>0</v>
      </c>
      <c r="H2151" s="22">
        <v>0</v>
      </c>
      <c r="I2151" s="22">
        <v>0.3</v>
      </c>
      <c r="J2151" s="22">
        <v>0</v>
      </c>
      <c r="K2151" s="22">
        <v>0</v>
      </c>
      <c r="L2151" s="22">
        <v>0.3</v>
      </c>
      <c r="M2151" s="10"/>
      <c r="N2151" s="70">
        <v>0.3</v>
      </c>
      <c r="O2151" s="11"/>
    </row>
    <row r="2152" spans="1:15" s="4" customFormat="1" x14ac:dyDescent="0.25">
      <c r="A2152" s="6">
        <v>1056</v>
      </c>
      <c r="B2152" s="5" t="s">
        <v>22</v>
      </c>
      <c r="C2152" s="5" t="s">
        <v>17</v>
      </c>
      <c r="D2152" s="5" t="s">
        <v>290</v>
      </c>
      <c r="E2152" s="5" t="s">
        <v>291</v>
      </c>
      <c r="F2152" s="5" t="s">
        <v>23</v>
      </c>
      <c r="G2152" s="22">
        <v>0</v>
      </c>
      <c r="H2152" s="22">
        <v>0</v>
      </c>
      <c r="I2152" s="22">
        <v>0.31</v>
      </c>
      <c r="J2152" s="22">
        <v>0</v>
      </c>
      <c r="K2152" s="22">
        <v>-0.01</v>
      </c>
      <c r="L2152" s="22">
        <v>0.3</v>
      </c>
      <c r="M2152" s="10"/>
      <c r="N2152" s="67"/>
      <c r="O2152" s="11"/>
    </row>
    <row r="2153" spans="1:15" s="4" customFormat="1" x14ac:dyDescent="0.25">
      <c r="A2153" s="6">
        <v>1057</v>
      </c>
      <c r="B2153" s="5" t="s">
        <v>22</v>
      </c>
      <c r="C2153" s="5" t="s">
        <v>17</v>
      </c>
      <c r="D2153" s="5" t="s">
        <v>290</v>
      </c>
      <c r="E2153" s="5" t="s">
        <v>291</v>
      </c>
      <c r="F2153" s="5" t="s">
        <v>23</v>
      </c>
      <c r="G2153" s="22">
        <v>0</v>
      </c>
      <c r="H2153" s="22">
        <v>0</v>
      </c>
      <c r="I2153" s="22">
        <v>0</v>
      </c>
      <c r="J2153" s="22">
        <v>0</v>
      </c>
      <c r="K2153" s="22">
        <v>0</v>
      </c>
      <c r="L2153" s="22">
        <v>0</v>
      </c>
      <c r="M2153" s="10"/>
      <c r="N2153" s="67"/>
      <c r="O2153" s="11"/>
    </row>
    <row r="2154" spans="1:15" x14ac:dyDescent="0.25">
      <c r="A2154" s="6"/>
      <c r="B2154" s="5"/>
      <c r="C2154" s="5"/>
      <c r="D2154" s="5" t="s">
        <v>290</v>
      </c>
      <c r="E2154" s="5" t="s">
        <v>291</v>
      </c>
      <c r="F2154" s="5" t="s">
        <v>23</v>
      </c>
      <c r="G2154" s="14">
        <f t="shared" ref="G2154:L2154" si="545">SUBTOTAL(9,G2150:G2153)</f>
        <v>0</v>
      </c>
      <c r="H2154" s="14">
        <f t="shared" si="545"/>
        <v>0</v>
      </c>
      <c r="I2154" s="14">
        <f t="shared" si="545"/>
        <v>169.42000000000002</v>
      </c>
      <c r="J2154" s="14">
        <f t="shared" si="545"/>
        <v>0</v>
      </c>
      <c r="K2154" s="14">
        <f t="shared" si="545"/>
        <v>-3.38</v>
      </c>
      <c r="L2154" s="14">
        <f t="shared" si="545"/>
        <v>166.04000000000002</v>
      </c>
      <c r="M2154" s="10">
        <v>2644</v>
      </c>
      <c r="N2154" s="71">
        <f>SUBTOTAL(9,N2150:N2153)</f>
        <v>0.3</v>
      </c>
      <c r="O2154" s="11">
        <f>O2148+1</f>
        <v>525</v>
      </c>
    </row>
    <row r="2155" spans="1:15" x14ac:dyDescent="0.25">
      <c r="A2155" s="10"/>
      <c r="G2155" s="21"/>
      <c r="H2155" s="21"/>
      <c r="I2155" s="21"/>
      <c r="J2155" s="21"/>
      <c r="K2155" s="21"/>
      <c r="L2155" s="21"/>
      <c r="M2155" s="10"/>
      <c r="O2155" s="11"/>
    </row>
    <row r="2156" spans="1:15" s="4" customFormat="1" x14ac:dyDescent="0.25">
      <c r="A2156" s="6">
        <v>1058</v>
      </c>
      <c r="B2156" s="5" t="s">
        <v>22</v>
      </c>
      <c r="C2156" s="5" t="s">
        <v>17</v>
      </c>
      <c r="D2156" s="5" t="s">
        <v>290</v>
      </c>
      <c r="E2156" s="5" t="s">
        <v>291</v>
      </c>
      <c r="F2156" s="5" t="s">
        <v>24</v>
      </c>
      <c r="G2156" s="22">
        <v>0</v>
      </c>
      <c r="H2156" s="22">
        <v>0</v>
      </c>
      <c r="I2156" s="22">
        <v>0.33</v>
      </c>
      <c r="J2156" s="22">
        <v>0</v>
      </c>
      <c r="K2156" s="22">
        <v>-0.01</v>
      </c>
      <c r="L2156" s="22">
        <v>0.32</v>
      </c>
      <c r="M2156" s="10"/>
      <c r="N2156" s="67"/>
      <c r="O2156" s="11"/>
    </row>
    <row r="2157" spans="1:15" s="4" customFormat="1" x14ac:dyDescent="0.25">
      <c r="A2157" s="6">
        <v>1059</v>
      </c>
      <c r="B2157" s="5" t="s">
        <v>22</v>
      </c>
      <c r="C2157" s="5" t="s">
        <v>17</v>
      </c>
      <c r="D2157" s="5" t="s">
        <v>290</v>
      </c>
      <c r="E2157" s="5" t="s">
        <v>291</v>
      </c>
      <c r="F2157" s="5" t="s">
        <v>24</v>
      </c>
      <c r="G2157" s="22">
        <v>0</v>
      </c>
      <c r="H2157" s="22">
        <v>0</v>
      </c>
      <c r="I2157" s="22">
        <v>0</v>
      </c>
      <c r="J2157" s="22">
        <v>0</v>
      </c>
      <c r="K2157" s="22">
        <v>0</v>
      </c>
      <c r="L2157" s="22">
        <v>0</v>
      </c>
      <c r="M2157" s="10"/>
      <c r="N2157" s="67"/>
      <c r="O2157" s="11"/>
    </row>
    <row r="2158" spans="1:15" x14ac:dyDescent="0.25">
      <c r="A2158" s="6">
        <v>1060</v>
      </c>
      <c r="B2158" s="5" t="s">
        <v>22</v>
      </c>
      <c r="C2158" s="5" t="s">
        <v>17</v>
      </c>
      <c r="D2158" s="5" t="s">
        <v>290</v>
      </c>
      <c r="E2158" s="5" t="s">
        <v>291</v>
      </c>
      <c r="F2158" s="5" t="s">
        <v>24</v>
      </c>
      <c r="G2158" s="22">
        <v>0</v>
      </c>
      <c r="H2158" s="22">
        <v>0</v>
      </c>
      <c r="I2158" s="22">
        <v>0</v>
      </c>
      <c r="J2158" s="22">
        <v>0</v>
      </c>
      <c r="K2158" s="22">
        <v>0</v>
      </c>
      <c r="L2158" s="22">
        <v>0</v>
      </c>
      <c r="M2158" s="10"/>
      <c r="O2158" s="11"/>
    </row>
    <row r="2159" spans="1:15" x14ac:dyDescent="0.25">
      <c r="A2159" s="6"/>
      <c r="B2159" s="5"/>
      <c r="C2159" s="5"/>
      <c r="D2159" s="5" t="s">
        <v>290</v>
      </c>
      <c r="E2159" s="5" t="s">
        <v>291</v>
      </c>
      <c r="F2159" s="5" t="s">
        <v>24</v>
      </c>
      <c r="G2159" s="14">
        <f t="shared" ref="G2159:L2159" si="546">SUBTOTAL(9,G2156:G2158)</f>
        <v>0</v>
      </c>
      <c r="H2159" s="14">
        <f t="shared" si="546"/>
        <v>0</v>
      </c>
      <c r="I2159" s="14">
        <f t="shared" si="546"/>
        <v>0.33</v>
      </c>
      <c r="J2159" s="14">
        <f t="shared" si="546"/>
        <v>0</v>
      </c>
      <c r="K2159" s="14">
        <f t="shared" si="546"/>
        <v>-0.01</v>
      </c>
      <c r="L2159" s="14">
        <f t="shared" si="546"/>
        <v>0.32</v>
      </c>
      <c r="M2159" s="10">
        <v>2645</v>
      </c>
      <c r="N2159" s="69"/>
      <c r="O2159" s="11">
        <f>O2154+1</f>
        <v>526</v>
      </c>
    </row>
    <row r="2160" spans="1:15" s="4" customFormat="1" x14ac:dyDescent="0.25">
      <c r="A2160" s="10"/>
      <c r="B2160"/>
      <c r="C2160"/>
      <c r="D2160"/>
      <c r="E2160"/>
      <c r="F2160"/>
      <c r="G2160" s="21"/>
      <c r="H2160" s="21"/>
      <c r="I2160" s="21"/>
      <c r="J2160" s="21"/>
      <c r="K2160" s="21"/>
      <c r="L2160" s="21"/>
      <c r="M2160" s="10"/>
      <c r="N2160" s="67"/>
      <c r="O2160" s="11"/>
    </row>
    <row r="2161" spans="1:15" x14ac:dyDescent="0.25">
      <c r="A2161" s="6">
        <v>1061</v>
      </c>
      <c r="B2161" s="5" t="s">
        <v>550</v>
      </c>
      <c r="C2161" s="5" t="s">
        <v>17</v>
      </c>
      <c r="D2161" s="5" t="s">
        <v>290</v>
      </c>
      <c r="E2161" s="5" t="s">
        <v>291</v>
      </c>
      <c r="F2161" s="5" t="s">
        <v>551</v>
      </c>
      <c r="G2161" s="22">
        <v>0</v>
      </c>
      <c r="H2161" s="22">
        <v>0</v>
      </c>
      <c r="I2161" s="22">
        <v>497.08</v>
      </c>
      <c r="J2161" s="22">
        <v>0</v>
      </c>
      <c r="K2161" s="22">
        <v>-9.94</v>
      </c>
      <c r="L2161" s="22">
        <v>487.14</v>
      </c>
      <c r="M2161" s="10"/>
      <c r="O2161" s="11"/>
    </row>
    <row r="2162" spans="1:15" x14ac:dyDescent="0.25">
      <c r="A2162" s="6"/>
      <c r="B2162" s="5"/>
      <c r="C2162" s="5"/>
      <c r="D2162" s="5" t="s">
        <v>290</v>
      </c>
      <c r="E2162" s="5" t="s">
        <v>291</v>
      </c>
      <c r="F2162" s="5" t="s">
        <v>551</v>
      </c>
      <c r="G2162" s="14">
        <f t="shared" ref="G2162:L2162" si="547">SUBTOTAL(9,G2161:G2161)</f>
        <v>0</v>
      </c>
      <c r="H2162" s="14">
        <f t="shared" si="547"/>
        <v>0</v>
      </c>
      <c r="I2162" s="14">
        <f t="shared" si="547"/>
        <v>497.08</v>
      </c>
      <c r="J2162" s="14">
        <f t="shared" si="547"/>
        <v>0</v>
      </c>
      <c r="K2162" s="14">
        <f t="shared" si="547"/>
        <v>-9.94</v>
      </c>
      <c r="L2162" s="14">
        <f t="shared" si="547"/>
        <v>487.14</v>
      </c>
      <c r="M2162" s="10">
        <v>2646</v>
      </c>
      <c r="N2162" s="69"/>
      <c r="O2162" s="11">
        <f>O2159+1</f>
        <v>527</v>
      </c>
    </row>
    <row r="2163" spans="1:15" s="4" customFormat="1" x14ac:dyDescent="0.25">
      <c r="A2163" s="10"/>
      <c r="B2163"/>
      <c r="C2163"/>
      <c r="D2163"/>
      <c r="E2163"/>
      <c r="F2163"/>
      <c r="G2163" s="21"/>
      <c r="H2163" s="21"/>
      <c r="I2163" s="21"/>
      <c r="J2163" s="21"/>
      <c r="K2163" s="21"/>
      <c r="L2163" s="21"/>
      <c r="M2163" s="10"/>
      <c r="N2163" s="67"/>
      <c r="O2163" s="11"/>
    </row>
    <row r="2164" spans="1:15" x14ac:dyDescent="0.25">
      <c r="A2164" s="6">
        <v>1062</v>
      </c>
      <c r="B2164" s="5" t="s">
        <v>550</v>
      </c>
      <c r="C2164" s="5" t="s">
        <v>17</v>
      </c>
      <c r="D2164" s="5" t="s">
        <v>290</v>
      </c>
      <c r="E2164" s="5" t="s">
        <v>291</v>
      </c>
      <c r="F2164" s="5" t="s">
        <v>552</v>
      </c>
      <c r="G2164" s="22">
        <v>0</v>
      </c>
      <c r="H2164" s="22">
        <v>0</v>
      </c>
      <c r="I2164" s="22">
        <v>0.04</v>
      </c>
      <c r="J2164" s="22">
        <v>0</v>
      </c>
      <c r="K2164" s="22">
        <v>0</v>
      </c>
      <c r="L2164" s="22">
        <v>0.04</v>
      </c>
      <c r="M2164" s="10"/>
      <c r="O2164" s="11"/>
    </row>
    <row r="2165" spans="1:15" x14ac:dyDescent="0.25">
      <c r="A2165" s="6"/>
      <c r="B2165" s="5"/>
      <c r="C2165" s="5"/>
      <c r="D2165" s="5" t="s">
        <v>290</v>
      </c>
      <c r="E2165" s="5" t="s">
        <v>291</v>
      </c>
      <c r="F2165" s="5" t="s">
        <v>552</v>
      </c>
      <c r="G2165" s="14">
        <f t="shared" ref="G2165:L2165" si="548">SUBTOTAL(9,G2164:G2164)</f>
        <v>0</v>
      </c>
      <c r="H2165" s="14">
        <f t="shared" si="548"/>
        <v>0</v>
      </c>
      <c r="I2165" s="14">
        <f t="shared" si="548"/>
        <v>0.04</v>
      </c>
      <c r="J2165" s="14">
        <f t="shared" si="548"/>
        <v>0</v>
      </c>
      <c r="K2165" s="14">
        <f t="shared" si="548"/>
        <v>0</v>
      </c>
      <c r="L2165" s="14">
        <f t="shared" si="548"/>
        <v>0.04</v>
      </c>
      <c r="M2165" s="10">
        <v>2647</v>
      </c>
      <c r="N2165" s="69"/>
      <c r="O2165" s="11">
        <f>O2162+1</f>
        <v>528</v>
      </c>
    </row>
    <row r="2166" spans="1:15" s="4" customFormat="1" x14ac:dyDescent="0.25">
      <c r="A2166" s="10"/>
      <c r="B2166"/>
      <c r="C2166"/>
      <c r="D2166"/>
      <c r="E2166"/>
      <c r="F2166"/>
      <c r="G2166" s="21"/>
      <c r="H2166" s="21"/>
      <c r="I2166" s="21"/>
      <c r="J2166" s="21"/>
      <c r="K2166" s="21"/>
      <c r="L2166" s="21"/>
      <c r="M2166" s="10"/>
      <c r="N2166" s="67"/>
      <c r="O2166" s="11"/>
    </row>
    <row r="2167" spans="1:15" s="4" customFormat="1" x14ac:dyDescent="0.25">
      <c r="A2167" s="6">
        <v>1063</v>
      </c>
      <c r="B2167" s="5" t="s">
        <v>555</v>
      </c>
      <c r="C2167" s="5" t="s">
        <v>17</v>
      </c>
      <c r="D2167" s="5" t="s">
        <v>292</v>
      </c>
      <c r="E2167" s="5" t="s">
        <v>293</v>
      </c>
      <c r="F2167" s="5" t="s">
        <v>556</v>
      </c>
      <c r="G2167" s="22">
        <v>3522.75</v>
      </c>
      <c r="H2167" s="22">
        <v>0</v>
      </c>
      <c r="I2167" s="22">
        <v>0</v>
      </c>
      <c r="J2167" s="22">
        <v>0</v>
      </c>
      <c r="K2167" s="22">
        <v>-70.459999999999994</v>
      </c>
      <c r="L2167" s="22">
        <v>3452.29</v>
      </c>
      <c r="M2167" s="10"/>
      <c r="N2167" s="67"/>
      <c r="O2167" s="11"/>
    </row>
    <row r="2168" spans="1:15" x14ac:dyDescent="0.25">
      <c r="A2168" s="6">
        <v>1064</v>
      </c>
      <c r="B2168" s="5" t="s">
        <v>555</v>
      </c>
      <c r="C2168" s="5" t="s">
        <v>13</v>
      </c>
      <c r="D2168" s="5" t="s">
        <v>292</v>
      </c>
      <c r="E2168" s="5" t="s">
        <v>293</v>
      </c>
      <c r="F2168" s="5" t="s">
        <v>556</v>
      </c>
      <c r="G2168" s="22">
        <v>0</v>
      </c>
      <c r="H2168" s="22">
        <v>0</v>
      </c>
      <c r="I2168" s="22">
        <v>0</v>
      </c>
      <c r="J2168" s="22">
        <v>422.73</v>
      </c>
      <c r="K2168" s="22">
        <v>0</v>
      </c>
      <c r="L2168" s="22">
        <v>422.73</v>
      </c>
      <c r="M2168" s="10"/>
      <c r="O2168" s="11"/>
    </row>
    <row r="2169" spans="1:15" x14ac:dyDescent="0.25">
      <c r="A2169" s="6"/>
      <c r="B2169" s="5"/>
      <c r="C2169" s="5"/>
      <c r="D2169" s="5" t="s">
        <v>292</v>
      </c>
      <c r="E2169" s="5" t="s">
        <v>293</v>
      </c>
      <c r="F2169" s="5" t="s">
        <v>556</v>
      </c>
      <c r="G2169" s="14">
        <f t="shared" ref="G2169:L2169" si="549">SUBTOTAL(9,G2167:G2168)</f>
        <v>3522.75</v>
      </c>
      <c r="H2169" s="14">
        <f t="shared" si="549"/>
        <v>0</v>
      </c>
      <c r="I2169" s="14">
        <f t="shared" si="549"/>
        <v>0</v>
      </c>
      <c r="J2169" s="14">
        <f t="shared" si="549"/>
        <v>422.73</v>
      </c>
      <c r="K2169" s="14">
        <f t="shared" si="549"/>
        <v>-70.459999999999994</v>
      </c>
      <c r="L2169" s="14">
        <f t="shared" si="549"/>
        <v>3875.02</v>
      </c>
      <c r="M2169" s="10">
        <v>2648</v>
      </c>
      <c r="N2169" s="69"/>
      <c r="O2169" s="11">
        <f>O2165+1</f>
        <v>529</v>
      </c>
    </row>
    <row r="2170" spans="1:15" s="4" customFormat="1" x14ac:dyDescent="0.25">
      <c r="A2170" s="10"/>
      <c r="B2170"/>
      <c r="C2170"/>
      <c r="D2170"/>
      <c r="E2170"/>
      <c r="F2170"/>
      <c r="G2170" s="21"/>
      <c r="H2170" s="21"/>
      <c r="I2170" s="21"/>
      <c r="J2170" s="21"/>
      <c r="K2170" s="21"/>
      <c r="L2170" s="21"/>
      <c r="M2170" s="10"/>
      <c r="N2170" s="67"/>
      <c r="O2170" s="11"/>
    </row>
    <row r="2171" spans="1:15" s="4" customFormat="1" x14ac:dyDescent="0.25">
      <c r="A2171" s="6">
        <v>1065</v>
      </c>
      <c r="B2171" s="5" t="s">
        <v>557</v>
      </c>
      <c r="C2171" s="5" t="s">
        <v>17</v>
      </c>
      <c r="D2171" s="5" t="s">
        <v>292</v>
      </c>
      <c r="E2171" s="5" t="s">
        <v>293</v>
      </c>
      <c r="F2171" s="5" t="s">
        <v>558</v>
      </c>
      <c r="G2171" s="22">
        <v>1041.26</v>
      </c>
      <c r="H2171" s="22">
        <v>0</v>
      </c>
      <c r="I2171" s="22">
        <v>0</v>
      </c>
      <c r="J2171" s="22">
        <v>0</v>
      </c>
      <c r="K2171" s="22">
        <v>-20.83</v>
      </c>
      <c r="L2171" s="22">
        <v>1020.43</v>
      </c>
      <c r="M2171" s="10"/>
      <c r="N2171" s="67"/>
      <c r="O2171" s="11"/>
    </row>
    <row r="2172" spans="1:15" x14ac:dyDescent="0.25">
      <c r="A2172" s="6">
        <v>1066</v>
      </c>
      <c r="B2172" s="5" t="s">
        <v>557</v>
      </c>
      <c r="C2172" s="5" t="s">
        <v>13</v>
      </c>
      <c r="D2172" s="5" t="s">
        <v>292</v>
      </c>
      <c r="E2172" s="5" t="s">
        <v>293</v>
      </c>
      <c r="F2172" s="5" t="s">
        <v>558</v>
      </c>
      <c r="G2172" s="22">
        <v>0</v>
      </c>
      <c r="H2172" s="22">
        <v>0</v>
      </c>
      <c r="I2172" s="22">
        <v>0</v>
      </c>
      <c r="J2172" s="22">
        <v>124.95</v>
      </c>
      <c r="K2172" s="22">
        <v>0</v>
      </c>
      <c r="L2172" s="22">
        <v>124.95</v>
      </c>
      <c r="M2172" s="10"/>
      <c r="O2172" s="11"/>
    </row>
    <row r="2173" spans="1:15" x14ac:dyDescent="0.25">
      <c r="A2173" s="6"/>
      <c r="B2173" s="5"/>
      <c r="C2173" s="5"/>
      <c r="D2173" s="5" t="s">
        <v>292</v>
      </c>
      <c r="E2173" s="5" t="s">
        <v>293</v>
      </c>
      <c r="F2173" s="5" t="s">
        <v>558</v>
      </c>
      <c r="G2173" s="14">
        <f t="shared" ref="G2173:L2173" si="550">SUBTOTAL(9,G2171:G2172)</f>
        <v>1041.26</v>
      </c>
      <c r="H2173" s="14">
        <f t="shared" si="550"/>
        <v>0</v>
      </c>
      <c r="I2173" s="14">
        <f t="shared" si="550"/>
        <v>0</v>
      </c>
      <c r="J2173" s="14">
        <f t="shared" si="550"/>
        <v>124.95</v>
      </c>
      <c r="K2173" s="14">
        <f t="shared" si="550"/>
        <v>-20.83</v>
      </c>
      <c r="L2173" s="14">
        <f t="shared" si="550"/>
        <v>1145.3799999999999</v>
      </c>
      <c r="M2173" s="10">
        <v>2649</v>
      </c>
      <c r="N2173" s="69"/>
      <c r="O2173" s="11">
        <f>O2169+1</f>
        <v>530</v>
      </c>
    </row>
    <row r="2174" spans="1:15" s="4" customFormat="1" x14ac:dyDescent="0.25">
      <c r="A2174" s="10"/>
      <c r="B2174"/>
      <c r="C2174"/>
      <c r="D2174"/>
      <c r="E2174"/>
      <c r="F2174"/>
      <c r="G2174" s="21"/>
      <c r="H2174" s="21"/>
      <c r="I2174" s="21"/>
      <c r="J2174" s="21"/>
      <c r="K2174" s="21"/>
      <c r="L2174" s="21"/>
      <c r="M2174" s="10"/>
      <c r="N2174" s="67"/>
      <c r="O2174" s="11"/>
    </row>
    <row r="2175" spans="1:15" s="4" customFormat="1" x14ac:dyDescent="0.25">
      <c r="A2175" s="6">
        <v>1067</v>
      </c>
      <c r="B2175" s="5" t="s">
        <v>18</v>
      </c>
      <c r="C2175" s="5" t="s">
        <v>17</v>
      </c>
      <c r="D2175" s="5" t="s">
        <v>292</v>
      </c>
      <c r="E2175" s="5" t="s">
        <v>293</v>
      </c>
      <c r="F2175" s="5" t="s">
        <v>19</v>
      </c>
      <c r="G2175" s="22">
        <v>13.63</v>
      </c>
      <c r="H2175" s="22">
        <v>0</v>
      </c>
      <c r="I2175" s="22">
        <v>0</v>
      </c>
      <c r="J2175" s="22">
        <v>0</v>
      </c>
      <c r="K2175" s="22">
        <v>-12.09</v>
      </c>
      <c r="L2175" s="22">
        <v>1.54</v>
      </c>
      <c r="M2175" s="10"/>
      <c r="N2175" s="67"/>
      <c r="O2175" s="11"/>
    </row>
    <row r="2176" spans="1:15" x14ac:dyDescent="0.25">
      <c r="A2176" s="6"/>
      <c r="B2176" s="5"/>
      <c r="C2176" s="5"/>
      <c r="D2176" s="5" t="s">
        <v>292</v>
      </c>
      <c r="E2176" s="5" t="s">
        <v>293</v>
      </c>
      <c r="F2176" s="5" t="s">
        <v>19</v>
      </c>
      <c r="G2176" s="14">
        <f t="shared" ref="G2176:L2176" si="551">SUBTOTAL(9,G2175:G2175)</f>
        <v>13.63</v>
      </c>
      <c r="H2176" s="14">
        <f t="shared" si="551"/>
        <v>0</v>
      </c>
      <c r="I2176" s="14">
        <f t="shared" si="551"/>
        <v>0</v>
      </c>
      <c r="J2176" s="14">
        <f t="shared" si="551"/>
        <v>0</v>
      </c>
      <c r="K2176" s="14">
        <f t="shared" si="551"/>
        <v>-12.09</v>
      </c>
      <c r="L2176" s="14">
        <f t="shared" si="551"/>
        <v>1.54</v>
      </c>
      <c r="M2176" s="10">
        <v>2650</v>
      </c>
      <c r="N2176" s="69"/>
      <c r="O2176" s="11">
        <f>O2173+1</f>
        <v>531</v>
      </c>
    </row>
    <row r="2177" spans="1:15" x14ac:dyDescent="0.25">
      <c r="A2177" s="10"/>
      <c r="G2177" s="21"/>
      <c r="H2177" s="21"/>
      <c r="I2177" s="21"/>
      <c r="J2177" s="21"/>
      <c r="K2177" s="21"/>
      <c r="L2177" s="21"/>
      <c r="M2177" s="10"/>
      <c r="O2177" s="11"/>
    </row>
    <row r="2178" spans="1:15" s="4" customFormat="1" x14ac:dyDescent="0.25">
      <c r="A2178" s="6">
        <v>1068</v>
      </c>
      <c r="B2178" s="5" t="s">
        <v>550</v>
      </c>
      <c r="C2178" s="5" t="s">
        <v>17</v>
      </c>
      <c r="D2178" s="5" t="s">
        <v>292</v>
      </c>
      <c r="E2178" s="5" t="s">
        <v>293</v>
      </c>
      <c r="F2178" s="5" t="s">
        <v>551</v>
      </c>
      <c r="G2178" s="22">
        <v>290826.87</v>
      </c>
      <c r="H2178" s="22">
        <v>0</v>
      </c>
      <c r="I2178" s="22">
        <v>0</v>
      </c>
      <c r="J2178" s="22">
        <v>0</v>
      </c>
      <c r="K2178" s="22">
        <v>-5816.54</v>
      </c>
      <c r="L2178" s="22">
        <v>285010.33</v>
      </c>
      <c r="M2178" s="10"/>
      <c r="N2178" s="67"/>
      <c r="O2178" s="11"/>
    </row>
    <row r="2179" spans="1:15" s="4" customFormat="1" x14ac:dyDescent="0.25">
      <c r="A2179" s="6">
        <v>1069</v>
      </c>
      <c r="B2179" s="5" t="s">
        <v>550</v>
      </c>
      <c r="C2179" s="5" t="s">
        <v>13</v>
      </c>
      <c r="D2179" s="5" t="s">
        <v>292</v>
      </c>
      <c r="E2179" s="5" t="s">
        <v>293</v>
      </c>
      <c r="F2179" s="5" t="s">
        <v>551</v>
      </c>
      <c r="G2179" s="22">
        <v>0</v>
      </c>
      <c r="H2179" s="22">
        <v>0</v>
      </c>
      <c r="I2179" s="22">
        <v>0</v>
      </c>
      <c r="J2179" s="22">
        <v>31846.41</v>
      </c>
      <c r="K2179" s="22">
        <v>0</v>
      </c>
      <c r="L2179" s="22">
        <v>31846.41</v>
      </c>
      <c r="M2179" s="10"/>
      <c r="N2179" s="67"/>
      <c r="O2179" s="11"/>
    </row>
    <row r="2180" spans="1:15" x14ac:dyDescent="0.25">
      <c r="A2180" s="6"/>
      <c r="B2180" s="5"/>
      <c r="C2180" s="5"/>
      <c r="D2180" s="5" t="s">
        <v>292</v>
      </c>
      <c r="E2180" s="5" t="s">
        <v>293</v>
      </c>
      <c r="F2180" s="5" t="s">
        <v>551</v>
      </c>
      <c r="G2180" s="14">
        <f t="shared" ref="G2180:L2180" si="552">SUBTOTAL(9,G2178:G2179)</f>
        <v>290826.87</v>
      </c>
      <c r="H2180" s="14">
        <f t="shared" si="552"/>
        <v>0</v>
      </c>
      <c r="I2180" s="14">
        <f t="shared" si="552"/>
        <v>0</v>
      </c>
      <c r="J2180" s="14">
        <f t="shared" si="552"/>
        <v>31846.41</v>
      </c>
      <c r="K2180" s="14">
        <f t="shared" si="552"/>
        <v>-5816.54</v>
      </c>
      <c r="L2180" s="14">
        <f t="shared" si="552"/>
        <v>316856.74</v>
      </c>
      <c r="M2180" s="10">
        <v>2651</v>
      </c>
      <c r="N2180" s="69"/>
      <c r="O2180" s="11">
        <f>O2176+1</f>
        <v>532</v>
      </c>
    </row>
    <row r="2181" spans="1:15" x14ac:dyDescent="0.25">
      <c r="A2181" s="10"/>
      <c r="G2181" s="21"/>
      <c r="H2181" s="21"/>
      <c r="I2181" s="21"/>
      <c r="J2181" s="21"/>
      <c r="K2181" s="21"/>
      <c r="L2181" s="21"/>
      <c r="M2181" s="10"/>
      <c r="O2181" s="11"/>
    </row>
    <row r="2182" spans="1:15" s="4" customFormat="1" x14ac:dyDescent="0.25">
      <c r="A2182" s="6">
        <v>1070</v>
      </c>
      <c r="B2182" s="5" t="s">
        <v>550</v>
      </c>
      <c r="C2182" s="5" t="s">
        <v>17</v>
      </c>
      <c r="D2182" s="5" t="s">
        <v>292</v>
      </c>
      <c r="E2182" s="5" t="s">
        <v>293</v>
      </c>
      <c r="F2182" s="5" t="s">
        <v>552</v>
      </c>
      <c r="G2182" s="22">
        <v>20.92</v>
      </c>
      <c r="H2182" s="22">
        <v>0</v>
      </c>
      <c r="I2182" s="22">
        <v>0</v>
      </c>
      <c r="J2182" s="22">
        <v>0</v>
      </c>
      <c r="K2182" s="22">
        <v>-0.42</v>
      </c>
      <c r="L2182" s="22">
        <v>20.5</v>
      </c>
      <c r="M2182" s="10"/>
      <c r="N2182" s="67"/>
      <c r="O2182" s="11"/>
    </row>
    <row r="2183" spans="1:15" s="4" customFormat="1" x14ac:dyDescent="0.25">
      <c r="A2183" s="6">
        <v>1071</v>
      </c>
      <c r="B2183" s="5" t="s">
        <v>550</v>
      </c>
      <c r="C2183" s="5" t="s">
        <v>13</v>
      </c>
      <c r="D2183" s="5" t="s">
        <v>292</v>
      </c>
      <c r="E2183" s="5" t="s">
        <v>293</v>
      </c>
      <c r="F2183" s="5" t="s">
        <v>552</v>
      </c>
      <c r="G2183" s="22">
        <v>0</v>
      </c>
      <c r="H2183" s="22">
        <v>0</v>
      </c>
      <c r="I2183" s="22">
        <v>0</v>
      </c>
      <c r="J2183" s="22">
        <v>2.29</v>
      </c>
      <c r="K2183" s="22">
        <v>0</v>
      </c>
      <c r="L2183" s="22">
        <v>2.29</v>
      </c>
      <c r="M2183" s="10"/>
      <c r="N2183" s="67"/>
      <c r="O2183" s="11"/>
    </row>
    <row r="2184" spans="1:15" x14ac:dyDescent="0.25">
      <c r="A2184" s="10"/>
      <c r="D2184" s="5" t="s">
        <v>292</v>
      </c>
      <c r="E2184" s="5" t="s">
        <v>293</v>
      </c>
      <c r="F2184" s="5" t="s">
        <v>552</v>
      </c>
      <c r="G2184" s="35">
        <f t="shared" ref="G2184:L2184" si="553">SUBTOTAL(9,G2182:G2183)</f>
        <v>20.92</v>
      </c>
      <c r="H2184" s="35">
        <f t="shared" si="553"/>
        <v>0</v>
      </c>
      <c r="I2184" s="35">
        <f t="shared" si="553"/>
        <v>0</v>
      </c>
      <c r="J2184" s="35">
        <f t="shared" si="553"/>
        <v>2.29</v>
      </c>
      <c r="K2184" s="35">
        <f t="shared" si="553"/>
        <v>-0.42</v>
      </c>
      <c r="L2184" s="35">
        <f t="shared" si="553"/>
        <v>22.79</v>
      </c>
      <c r="M2184" s="10">
        <v>2652</v>
      </c>
      <c r="N2184" s="69"/>
      <c r="O2184" s="11">
        <f>O2180+1</f>
        <v>533</v>
      </c>
    </row>
    <row r="2185" spans="1:15" x14ac:dyDescent="0.25">
      <c r="A2185" s="10"/>
      <c r="G2185" s="21"/>
      <c r="H2185" s="21"/>
      <c r="I2185" s="21"/>
      <c r="J2185" s="21"/>
      <c r="K2185" s="21"/>
      <c r="L2185" s="21"/>
      <c r="M2185" s="10"/>
      <c r="O2185" s="11"/>
    </row>
    <row r="2186" spans="1:15" s="4" customFormat="1" x14ac:dyDescent="0.25">
      <c r="A2186" s="6">
        <v>1072</v>
      </c>
      <c r="B2186" s="5" t="s">
        <v>12</v>
      </c>
      <c r="C2186" s="5" t="s">
        <v>17</v>
      </c>
      <c r="D2186" s="5" t="s">
        <v>294</v>
      </c>
      <c r="E2186" s="5" t="s">
        <v>295</v>
      </c>
      <c r="F2186" s="5" t="s">
        <v>16</v>
      </c>
      <c r="G2186" s="22">
        <v>429.71</v>
      </c>
      <c r="H2186" s="22">
        <v>0</v>
      </c>
      <c r="I2186" s="22">
        <v>0</v>
      </c>
      <c r="J2186" s="22">
        <v>0</v>
      </c>
      <c r="K2186" s="22">
        <v>-7.67</v>
      </c>
      <c r="L2186" s="22">
        <v>422.04</v>
      </c>
      <c r="M2186" s="10"/>
      <c r="N2186" s="67"/>
      <c r="O2186" s="11"/>
    </row>
    <row r="2187" spans="1:15" s="4" customFormat="1" x14ac:dyDescent="0.25">
      <c r="A2187" s="6">
        <v>1073</v>
      </c>
      <c r="B2187" s="5" t="s">
        <v>12</v>
      </c>
      <c r="C2187" s="5" t="s">
        <v>49</v>
      </c>
      <c r="D2187" s="5" t="s">
        <v>294</v>
      </c>
      <c r="E2187" s="5" t="s">
        <v>295</v>
      </c>
      <c r="F2187" s="5" t="s">
        <v>16</v>
      </c>
      <c r="G2187" s="22">
        <v>1.95</v>
      </c>
      <c r="H2187" s="22">
        <v>0</v>
      </c>
      <c r="I2187" s="22">
        <v>0</v>
      </c>
      <c r="J2187" s="22">
        <v>0</v>
      </c>
      <c r="K2187" s="22">
        <v>0</v>
      </c>
      <c r="L2187" s="22">
        <v>1.95</v>
      </c>
      <c r="M2187" s="10"/>
      <c r="N2187" s="70">
        <v>1.95</v>
      </c>
      <c r="O2187" s="11"/>
    </row>
    <row r="2188" spans="1:15" x14ac:dyDescent="0.25">
      <c r="A2188" s="6">
        <v>1074</v>
      </c>
      <c r="B2188" s="5" t="s">
        <v>12</v>
      </c>
      <c r="C2188" s="5" t="s">
        <v>13</v>
      </c>
      <c r="D2188" s="5" t="s">
        <v>294</v>
      </c>
      <c r="E2188" s="5" t="s">
        <v>295</v>
      </c>
      <c r="F2188" s="5" t="s">
        <v>16</v>
      </c>
      <c r="G2188" s="22">
        <v>0</v>
      </c>
      <c r="H2188" s="22">
        <v>0</v>
      </c>
      <c r="I2188" s="22">
        <v>0</v>
      </c>
      <c r="J2188" s="22">
        <v>51.68</v>
      </c>
      <c r="K2188" s="22">
        <v>0</v>
      </c>
      <c r="L2188" s="22">
        <v>51.68</v>
      </c>
      <c r="M2188" s="10"/>
      <c r="O2188" s="11"/>
    </row>
    <row r="2189" spans="1:15" x14ac:dyDescent="0.25">
      <c r="A2189" s="6"/>
      <c r="B2189" s="5"/>
      <c r="C2189" s="5"/>
      <c r="D2189" s="5" t="s">
        <v>294</v>
      </c>
      <c r="E2189" s="5" t="s">
        <v>295</v>
      </c>
      <c r="F2189" s="5" t="s">
        <v>16</v>
      </c>
      <c r="G2189" s="14">
        <f t="shared" ref="G2189:L2189" si="554">SUBTOTAL(9,G2186:G2188)</f>
        <v>431.65999999999997</v>
      </c>
      <c r="H2189" s="14">
        <f t="shared" si="554"/>
        <v>0</v>
      </c>
      <c r="I2189" s="14">
        <f t="shared" si="554"/>
        <v>0</v>
      </c>
      <c r="J2189" s="14">
        <f t="shared" si="554"/>
        <v>51.68</v>
      </c>
      <c r="K2189" s="14">
        <f t="shared" si="554"/>
        <v>-7.67</v>
      </c>
      <c r="L2189" s="14">
        <f t="shared" si="554"/>
        <v>475.67</v>
      </c>
      <c r="M2189" s="10">
        <v>2653</v>
      </c>
      <c r="N2189" s="71">
        <f>SUBTOTAL(9,N2186:N2188)</f>
        <v>1.95</v>
      </c>
      <c r="O2189" s="11">
        <f>O2184+1</f>
        <v>534</v>
      </c>
    </row>
    <row r="2190" spans="1:15" s="4" customFormat="1" x14ac:dyDescent="0.25">
      <c r="A2190" s="10"/>
      <c r="B2190"/>
      <c r="C2190"/>
      <c r="D2190"/>
      <c r="E2190"/>
      <c r="F2190"/>
      <c r="G2190" s="21"/>
      <c r="H2190" s="21"/>
      <c r="I2190" s="21"/>
      <c r="J2190" s="21"/>
      <c r="K2190" s="21"/>
      <c r="L2190" s="21"/>
      <c r="M2190" s="10"/>
      <c r="N2190" s="67"/>
      <c r="O2190" s="11"/>
    </row>
    <row r="2191" spans="1:15" x14ac:dyDescent="0.25">
      <c r="A2191" s="6">
        <v>1075</v>
      </c>
      <c r="B2191" s="5" t="s">
        <v>18</v>
      </c>
      <c r="C2191" s="5" t="s">
        <v>17</v>
      </c>
      <c r="D2191" s="5" t="s">
        <v>294</v>
      </c>
      <c r="E2191" s="5" t="s">
        <v>295</v>
      </c>
      <c r="F2191" s="5" t="s">
        <v>19</v>
      </c>
      <c r="G2191" s="22">
        <v>2.35</v>
      </c>
      <c r="H2191" s="22">
        <v>0</v>
      </c>
      <c r="I2191" s="22">
        <v>0</v>
      </c>
      <c r="J2191" s="22">
        <v>0</v>
      </c>
      <c r="K2191" s="22">
        <v>0</v>
      </c>
      <c r="L2191" s="22">
        <v>2.35</v>
      </c>
      <c r="M2191" s="10"/>
      <c r="O2191" s="11"/>
    </row>
    <row r="2192" spans="1:15" x14ac:dyDescent="0.25">
      <c r="A2192" s="6"/>
      <c r="B2192" s="5"/>
      <c r="C2192" s="5"/>
      <c r="D2192" s="5" t="s">
        <v>294</v>
      </c>
      <c r="E2192" s="5" t="s">
        <v>295</v>
      </c>
      <c r="F2192" s="5" t="s">
        <v>19</v>
      </c>
      <c r="G2192" s="14">
        <f t="shared" ref="G2192:L2192" si="555">SUBTOTAL(9,G2191:G2191)</f>
        <v>2.35</v>
      </c>
      <c r="H2192" s="14">
        <f t="shared" si="555"/>
        <v>0</v>
      </c>
      <c r="I2192" s="14">
        <f t="shared" si="555"/>
        <v>0</v>
      </c>
      <c r="J2192" s="14">
        <f t="shared" si="555"/>
        <v>0</v>
      </c>
      <c r="K2192" s="14">
        <f t="shared" si="555"/>
        <v>0</v>
      </c>
      <c r="L2192" s="14">
        <f t="shared" si="555"/>
        <v>2.35</v>
      </c>
      <c r="M2192" s="10">
        <v>2654</v>
      </c>
      <c r="N2192" s="69"/>
      <c r="O2192" s="11">
        <f>O2189+1</f>
        <v>535</v>
      </c>
    </row>
    <row r="2193" spans="1:15" s="4" customFormat="1" x14ac:dyDescent="0.25">
      <c r="A2193" s="10"/>
      <c r="B2193"/>
      <c r="C2193"/>
      <c r="D2193"/>
      <c r="E2193"/>
      <c r="F2193"/>
      <c r="G2193" s="21"/>
      <c r="H2193" s="21"/>
      <c r="I2193" s="21"/>
      <c r="J2193" s="21"/>
      <c r="K2193" s="21"/>
      <c r="L2193" s="21"/>
      <c r="M2193" s="10"/>
      <c r="N2193" s="67"/>
      <c r="O2193" s="11"/>
    </row>
    <row r="2194" spans="1:15" x14ac:dyDescent="0.25">
      <c r="A2194" s="6">
        <v>1076</v>
      </c>
      <c r="B2194" s="5" t="s">
        <v>22</v>
      </c>
      <c r="C2194" s="5" t="s">
        <v>17</v>
      </c>
      <c r="D2194" s="5" t="s">
        <v>294</v>
      </c>
      <c r="E2194" s="5" t="s">
        <v>295</v>
      </c>
      <c r="F2194" s="5" t="s">
        <v>23</v>
      </c>
      <c r="G2194" s="22">
        <v>11852.24</v>
      </c>
      <c r="H2194" s="22">
        <v>0</v>
      </c>
      <c r="I2194" s="22">
        <v>0</v>
      </c>
      <c r="J2194" s="22">
        <v>0</v>
      </c>
      <c r="K2194" s="22">
        <v>-237.04</v>
      </c>
      <c r="L2194" s="22">
        <v>11615.2</v>
      </c>
      <c r="M2194" s="10"/>
      <c r="O2194" s="11"/>
    </row>
    <row r="2195" spans="1:15" x14ac:dyDescent="0.25">
      <c r="A2195" s="6">
        <v>1077</v>
      </c>
      <c r="B2195" s="5" t="s">
        <v>22</v>
      </c>
      <c r="C2195" s="5" t="s">
        <v>49</v>
      </c>
      <c r="D2195" s="5" t="s">
        <v>294</v>
      </c>
      <c r="E2195" s="5" t="s">
        <v>295</v>
      </c>
      <c r="F2195" s="5" t="s">
        <v>23</v>
      </c>
      <c r="G2195" s="22">
        <v>39.31</v>
      </c>
      <c r="H2195" s="22">
        <v>0</v>
      </c>
      <c r="I2195" s="22">
        <v>0</v>
      </c>
      <c r="J2195" s="22">
        <v>0</v>
      </c>
      <c r="K2195" s="22">
        <v>0</v>
      </c>
      <c r="L2195" s="22">
        <v>39.31</v>
      </c>
      <c r="M2195" s="10"/>
      <c r="N2195" s="70">
        <v>39.31</v>
      </c>
      <c r="O2195" s="11"/>
    </row>
    <row r="2196" spans="1:15" s="4" customFormat="1" x14ac:dyDescent="0.25">
      <c r="A2196" s="6">
        <v>1078</v>
      </c>
      <c r="B2196" s="5" t="s">
        <v>22</v>
      </c>
      <c r="C2196" s="5" t="s">
        <v>17</v>
      </c>
      <c r="D2196" s="5" t="s">
        <v>294</v>
      </c>
      <c r="E2196" s="5" t="s">
        <v>295</v>
      </c>
      <c r="F2196" s="5" t="s">
        <v>23</v>
      </c>
      <c r="G2196" s="22">
        <v>10012.4</v>
      </c>
      <c r="H2196" s="22">
        <v>0</v>
      </c>
      <c r="I2196" s="22">
        <v>0</v>
      </c>
      <c r="J2196" s="22">
        <v>0</v>
      </c>
      <c r="K2196" s="22">
        <v>-185.63</v>
      </c>
      <c r="L2196" s="22">
        <v>9826.77</v>
      </c>
      <c r="M2196" s="10"/>
      <c r="N2196" s="67"/>
      <c r="O2196" s="11"/>
    </row>
    <row r="2197" spans="1:15" s="4" customFormat="1" x14ac:dyDescent="0.25">
      <c r="A2197" s="6">
        <v>1079</v>
      </c>
      <c r="B2197" s="5" t="s">
        <v>22</v>
      </c>
      <c r="C2197" s="5" t="s">
        <v>49</v>
      </c>
      <c r="D2197" s="5" t="s">
        <v>294</v>
      </c>
      <c r="E2197" s="5" t="s">
        <v>295</v>
      </c>
      <c r="F2197" s="5" t="s">
        <v>23</v>
      </c>
      <c r="G2197" s="22">
        <v>26.68</v>
      </c>
      <c r="H2197" s="22">
        <v>0</v>
      </c>
      <c r="I2197" s="22">
        <v>0</v>
      </c>
      <c r="J2197" s="22">
        <v>0</v>
      </c>
      <c r="K2197" s="22">
        <v>0</v>
      </c>
      <c r="L2197" s="22">
        <v>26.68</v>
      </c>
      <c r="M2197" s="10"/>
      <c r="N2197" s="70">
        <v>26.68</v>
      </c>
      <c r="O2197" s="11"/>
    </row>
    <row r="2198" spans="1:15" x14ac:dyDescent="0.25">
      <c r="A2198" s="6">
        <v>1080</v>
      </c>
      <c r="B2198" s="5" t="s">
        <v>22</v>
      </c>
      <c r="C2198" s="5" t="s">
        <v>13</v>
      </c>
      <c r="D2198" s="5" t="s">
        <v>294</v>
      </c>
      <c r="E2198" s="5" t="s">
        <v>295</v>
      </c>
      <c r="F2198" s="5" t="s">
        <v>23</v>
      </c>
      <c r="G2198" s="22">
        <v>0</v>
      </c>
      <c r="H2198" s="22">
        <v>0</v>
      </c>
      <c r="I2198" s="22">
        <v>0</v>
      </c>
      <c r="J2198" s="22">
        <v>2706.54</v>
      </c>
      <c r="K2198" s="22">
        <v>0</v>
      </c>
      <c r="L2198" s="22">
        <v>2706.54</v>
      </c>
      <c r="M2198" s="10"/>
      <c r="O2198" s="11"/>
    </row>
    <row r="2199" spans="1:15" x14ac:dyDescent="0.25">
      <c r="A2199" s="6"/>
      <c r="B2199" s="5"/>
      <c r="C2199" s="5"/>
      <c r="D2199" s="5" t="s">
        <v>294</v>
      </c>
      <c r="E2199" s="5" t="s">
        <v>295</v>
      </c>
      <c r="F2199" s="5" t="s">
        <v>23</v>
      </c>
      <c r="G2199" s="14">
        <f t="shared" ref="G2199:L2199" si="556">SUBTOTAL(9,G2194:G2198)</f>
        <v>21930.629999999997</v>
      </c>
      <c r="H2199" s="14">
        <f t="shared" si="556"/>
        <v>0</v>
      </c>
      <c r="I2199" s="14">
        <f t="shared" si="556"/>
        <v>0</v>
      </c>
      <c r="J2199" s="14">
        <f t="shared" si="556"/>
        <v>2706.54</v>
      </c>
      <c r="K2199" s="14">
        <f t="shared" si="556"/>
        <v>-422.66999999999996</v>
      </c>
      <c r="L2199" s="14">
        <f t="shared" si="556"/>
        <v>24214.5</v>
      </c>
      <c r="M2199" s="10">
        <v>2655</v>
      </c>
      <c r="N2199" s="71">
        <f>SUBTOTAL(9,N2194:N2198)</f>
        <v>65.990000000000009</v>
      </c>
      <c r="O2199" s="11">
        <f>O2192+1</f>
        <v>536</v>
      </c>
    </row>
    <row r="2200" spans="1:15" s="4" customFormat="1" x14ac:dyDescent="0.25">
      <c r="A2200" s="10"/>
      <c r="B2200"/>
      <c r="C2200"/>
      <c r="D2200"/>
      <c r="E2200"/>
      <c r="F2200"/>
      <c r="G2200" s="21"/>
      <c r="H2200" s="21"/>
      <c r="I2200" s="21"/>
      <c r="J2200" s="21"/>
      <c r="K2200" s="21"/>
      <c r="L2200" s="21"/>
      <c r="M2200" s="10"/>
      <c r="N2200" s="67"/>
      <c r="O2200" s="11"/>
    </row>
    <row r="2201" spans="1:15" s="4" customFormat="1" x14ac:dyDescent="0.25">
      <c r="A2201" s="6">
        <v>1081</v>
      </c>
      <c r="B2201" s="5" t="s">
        <v>22</v>
      </c>
      <c r="C2201" s="5" t="s">
        <v>17</v>
      </c>
      <c r="D2201" s="5" t="s">
        <v>294</v>
      </c>
      <c r="E2201" s="5" t="s">
        <v>295</v>
      </c>
      <c r="F2201" s="5" t="s">
        <v>24</v>
      </c>
      <c r="G2201" s="22">
        <v>22.99</v>
      </c>
      <c r="H2201" s="22">
        <v>0</v>
      </c>
      <c r="I2201" s="22">
        <v>0</v>
      </c>
      <c r="J2201" s="22">
        <v>0</v>
      </c>
      <c r="K2201" s="22">
        <v>-0.46</v>
      </c>
      <c r="L2201" s="22">
        <v>22.53</v>
      </c>
      <c r="M2201" s="10"/>
      <c r="N2201" s="67"/>
      <c r="O2201" s="11"/>
    </row>
    <row r="2202" spans="1:15" x14ac:dyDescent="0.25">
      <c r="A2202" s="6">
        <v>1082</v>
      </c>
      <c r="B2202" s="5" t="s">
        <v>22</v>
      </c>
      <c r="C2202" s="5" t="s">
        <v>49</v>
      </c>
      <c r="D2202" s="5" t="s">
        <v>294</v>
      </c>
      <c r="E2202" s="5" t="s">
        <v>295</v>
      </c>
      <c r="F2202" s="5" t="s">
        <v>24</v>
      </c>
      <c r="G2202" s="22">
        <v>0.08</v>
      </c>
      <c r="H2202" s="22">
        <v>0</v>
      </c>
      <c r="I2202" s="22">
        <v>0</v>
      </c>
      <c r="J2202" s="22">
        <v>0</v>
      </c>
      <c r="K2202" s="22">
        <v>0</v>
      </c>
      <c r="L2202" s="22">
        <v>0.08</v>
      </c>
      <c r="M2202" s="10"/>
      <c r="N2202" s="70">
        <v>0.08</v>
      </c>
      <c r="O2202" s="11"/>
    </row>
    <row r="2203" spans="1:15" x14ac:dyDescent="0.25">
      <c r="A2203" s="6">
        <v>1083</v>
      </c>
      <c r="B2203" s="5" t="s">
        <v>22</v>
      </c>
      <c r="C2203" s="5" t="s">
        <v>17</v>
      </c>
      <c r="D2203" s="5" t="s">
        <v>294</v>
      </c>
      <c r="E2203" s="5" t="s">
        <v>295</v>
      </c>
      <c r="F2203" s="5" t="s">
        <v>24</v>
      </c>
      <c r="G2203" s="22">
        <v>19.43</v>
      </c>
      <c r="H2203" s="22">
        <v>0</v>
      </c>
      <c r="I2203" s="22">
        <v>0</v>
      </c>
      <c r="J2203" s="22">
        <v>0</v>
      </c>
      <c r="K2203" s="22">
        <v>-0.36</v>
      </c>
      <c r="L2203" s="22">
        <v>19.07</v>
      </c>
      <c r="M2203" s="10"/>
      <c r="O2203" s="11"/>
    </row>
    <row r="2204" spans="1:15" s="4" customFormat="1" x14ac:dyDescent="0.25">
      <c r="A2204" s="6">
        <v>1084</v>
      </c>
      <c r="B2204" s="5" t="s">
        <v>22</v>
      </c>
      <c r="C2204" s="5" t="s">
        <v>49</v>
      </c>
      <c r="D2204" s="5" t="s">
        <v>294</v>
      </c>
      <c r="E2204" s="5" t="s">
        <v>295</v>
      </c>
      <c r="F2204" s="5" t="s">
        <v>24</v>
      </c>
      <c r="G2204" s="22">
        <v>0.05</v>
      </c>
      <c r="H2204" s="22">
        <v>0</v>
      </c>
      <c r="I2204" s="22">
        <v>0</v>
      </c>
      <c r="J2204" s="22">
        <v>0</v>
      </c>
      <c r="K2204" s="22">
        <v>0</v>
      </c>
      <c r="L2204" s="22">
        <v>0.05</v>
      </c>
      <c r="M2204" s="10"/>
      <c r="N2204" s="70">
        <v>0.05</v>
      </c>
      <c r="O2204" s="11"/>
    </row>
    <row r="2205" spans="1:15" x14ac:dyDescent="0.25">
      <c r="A2205" s="6">
        <v>1085</v>
      </c>
      <c r="B2205" s="5" t="s">
        <v>22</v>
      </c>
      <c r="C2205" s="5" t="s">
        <v>13</v>
      </c>
      <c r="D2205" s="5" t="s">
        <v>294</v>
      </c>
      <c r="E2205" s="5" t="s">
        <v>295</v>
      </c>
      <c r="F2205" s="5" t="s">
        <v>24</v>
      </c>
      <c r="G2205" s="22">
        <v>0</v>
      </c>
      <c r="H2205" s="22">
        <v>0</v>
      </c>
      <c r="I2205" s="22">
        <v>0</v>
      </c>
      <c r="J2205" s="22">
        <v>5.25</v>
      </c>
      <c r="K2205" s="22">
        <v>0</v>
      </c>
      <c r="L2205" s="22">
        <v>5.25</v>
      </c>
      <c r="M2205" s="10"/>
      <c r="O2205" s="11"/>
    </row>
    <row r="2206" spans="1:15" x14ac:dyDescent="0.25">
      <c r="A2206" s="6"/>
      <c r="B2206" s="5"/>
      <c r="C2206" s="5"/>
      <c r="D2206" s="5" t="s">
        <v>294</v>
      </c>
      <c r="E2206" s="5" t="s">
        <v>295</v>
      </c>
      <c r="F2206" s="5" t="s">
        <v>24</v>
      </c>
      <c r="G2206" s="14">
        <f t="shared" ref="G2206:L2206" si="557">SUBTOTAL(9,G2201:G2205)</f>
        <v>42.55</v>
      </c>
      <c r="H2206" s="14">
        <f t="shared" si="557"/>
        <v>0</v>
      </c>
      <c r="I2206" s="14">
        <f t="shared" si="557"/>
        <v>0</v>
      </c>
      <c r="J2206" s="14">
        <f t="shared" si="557"/>
        <v>5.25</v>
      </c>
      <c r="K2206" s="14">
        <f t="shared" si="557"/>
        <v>-0.82000000000000006</v>
      </c>
      <c r="L2206" s="14">
        <f t="shared" si="557"/>
        <v>46.98</v>
      </c>
      <c r="M2206" s="10">
        <v>2656</v>
      </c>
      <c r="N2206" s="71">
        <f>SUBTOTAL(9,N2201:N2205)</f>
        <v>0.13</v>
      </c>
      <c r="O2206" s="11">
        <f>O2199+1</f>
        <v>537</v>
      </c>
    </row>
    <row r="2207" spans="1:15" s="4" customFormat="1" x14ac:dyDescent="0.25">
      <c r="A2207" s="10"/>
      <c r="B2207"/>
      <c r="C2207"/>
      <c r="D2207"/>
      <c r="E2207"/>
      <c r="F2207"/>
      <c r="G2207" s="21"/>
      <c r="H2207" s="21"/>
      <c r="I2207" s="21"/>
      <c r="J2207" s="21"/>
      <c r="K2207" s="21"/>
      <c r="L2207" s="21"/>
      <c r="M2207" s="10"/>
      <c r="N2207" s="67"/>
      <c r="O2207" s="11"/>
    </row>
    <row r="2208" spans="1:15" s="4" customFormat="1" x14ac:dyDescent="0.25">
      <c r="A2208" s="6">
        <v>1086</v>
      </c>
      <c r="B2208" s="5" t="s">
        <v>550</v>
      </c>
      <c r="C2208" s="5" t="s">
        <v>17</v>
      </c>
      <c r="D2208" s="5" t="s">
        <v>294</v>
      </c>
      <c r="E2208" s="5" t="s">
        <v>295</v>
      </c>
      <c r="F2208" s="5" t="s">
        <v>551</v>
      </c>
      <c r="G2208" s="22">
        <v>27591.96</v>
      </c>
      <c r="H2208" s="22">
        <v>0</v>
      </c>
      <c r="I2208" s="22">
        <v>0</v>
      </c>
      <c r="J2208" s="22">
        <v>0</v>
      </c>
      <c r="K2208" s="22">
        <v>-551.84</v>
      </c>
      <c r="L2208" s="22">
        <v>27040.12</v>
      </c>
      <c r="M2208" s="10"/>
      <c r="N2208" s="67"/>
      <c r="O2208" s="11"/>
    </row>
    <row r="2209" spans="1:15" x14ac:dyDescent="0.25">
      <c r="A2209" s="6">
        <v>1087</v>
      </c>
      <c r="B2209" s="5" t="s">
        <v>550</v>
      </c>
      <c r="C2209" s="5" t="s">
        <v>49</v>
      </c>
      <c r="D2209" s="5" t="s">
        <v>294</v>
      </c>
      <c r="E2209" s="5" t="s">
        <v>295</v>
      </c>
      <c r="F2209" s="5" t="s">
        <v>551</v>
      </c>
      <c r="G2209" s="22">
        <v>20.6</v>
      </c>
      <c r="H2209" s="22">
        <v>0</v>
      </c>
      <c r="I2209" s="22">
        <v>0</v>
      </c>
      <c r="J2209" s="22">
        <v>0</v>
      </c>
      <c r="K2209" s="22">
        <v>0</v>
      </c>
      <c r="L2209" s="22">
        <v>20.6</v>
      </c>
      <c r="M2209" s="10"/>
      <c r="N2209" s="70">
        <v>20.6</v>
      </c>
      <c r="O2209" s="11"/>
    </row>
    <row r="2210" spans="1:15" x14ac:dyDescent="0.25">
      <c r="A2210" s="6">
        <v>1088</v>
      </c>
      <c r="B2210" s="5" t="s">
        <v>550</v>
      </c>
      <c r="C2210" s="5" t="s">
        <v>17</v>
      </c>
      <c r="D2210" s="5" t="s">
        <v>294</v>
      </c>
      <c r="E2210" s="5" t="s">
        <v>295</v>
      </c>
      <c r="F2210" s="5" t="s">
        <v>551</v>
      </c>
      <c r="G2210" s="22">
        <v>134.38999999999999</v>
      </c>
      <c r="H2210" s="22">
        <v>0</v>
      </c>
      <c r="I2210" s="22">
        <v>0</v>
      </c>
      <c r="J2210" s="22">
        <v>0</v>
      </c>
      <c r="K2210" s="22">
        <v>-2.69</v>
      </c>
      <c r="L2210" s="22">
        <v>131.69999999999999</v>
      </c>
      <c r="M2210" s="10"/>
      <c r="O2210" s="11"/>
    </row>
    <row r="2211" spans="1:15" s="4" customFormat="1" x14ac:dyDescent="0.25">
      <c r="A2211" s="6">
        <v>1089</v>
      </c>
      <c r="B2211" s="5" t="s">
        <v>550</v>
      </c>
      <c r="C2211" s="5" t="s">
        <v>49</v>
      </c>
      <c r="D2211" s="5" t="s">
        <v>294</v>
      </c>
      <c r="E2211" s="5" t="s">
        <v>295</v>
      </c>
      <c r="F2211" s="5" t="s">
        <v>551</v>
      </c>
      <c r="G2211" s="22">
        <v>5.98</v>
      </c>
      <c r="H2211" s="22">
        <v>0</v>
      </c>
      <c r="I2211" s="22">
        <v>0</v>
      </c>
      <c r="J2211" s="22">
        <v>0</v>
      </c>
      <c r="K2211" s="22">
        <v>0</v>
      </c>
      <c r="L2211" s="22">
        <v>5.98</v>
      </c>
      <c r="M2211" s="10"/>
      <c r="N2211" s="70">
        <v>5.98</v>
      </c>
      <c r="O2211" s="11"/>
    </row>
    <row r="2212" spans="1:15" s="4" customFormat="1" x14ac:dyDescent="0.25">
      <c r="A2212" s="6">
        <v>1090</v>
      </c>
      <c r="B2212" s="5" t="s">
        <v>550</v>
      </c>
      <c r="C2212" s="5" t="s">
        <v>17</v>
      </c>
      <c r="D2212" s="5" t="s">
        <v>294</v>
      </c>
      <c r="E2212" s="5" t="s">
        <v>295</v>
      </c>
      <c r="F2212" s="5" t="s">
        <v>551</v>
      </c>
      <c r="G2212" s="22">
        <v>2337.4</v>
      </c>
      <c r="H2212" s="22">
        <v>0</v>
      </c>
      <c r="I2212" s="22">
        <v>0</v>
      </c>
      <c r="J2212" s="22">
        <v>0</v>
      </c>
      <c r="K2212" s="22">
        <v>-46.75</v>
      </c>
      <c r="L2212" s="22">
        <v>2290.65</v>
      </c>
      <c r="M2212" s="10"/>
      <c r="N2212" s="67"/>
      <c r="O2212" s="11"/>
    </row>
    <row r="2213" spans="1:15" x14ac:dyDescent="0.25">
      <c r="A2213" s="6"/>
      <c r="B2213" s="5"/>
      <c r="C2213" s="5"/>
      <c r="D2213" s="5" t="s">
        <v>294</v>
      </c>
      <c r="E2213" s="5" t="s">
        <v>295</v>
      </c>
      <c r="F2213" s="5" t="s">
        <v>551</v>
      </c>
      <c r="G2213" s="14">
        <f t="shared" ref="G2213:L2213" si="558">SUBTOTAL(9,G2208:G2212)</f>
        <v>30090.329999999998</v>
      </c>
      <c r="H2213" s="14">
        <f t="shared" si="558"/>
        <v>0</v>
      </c>
      <c r="I2213" s="14">
        <f t="shared" si="558"/>
        <v>0</v>
      </c>
      <c r="J2213" s="14">
        <f t="shared" si="558"/>
        <v>0</v>
      </c>
      <c r="K2213" s="14">
        <f t="shared" si="558"/>
        <v>-601.28000000000009</v>
      </c>
      <c r="L2213" s="14">
        <f t="shared" si="558"/>
        <v>29489.05</v>
      </c>
      <c r="M2213" s="10">
        <v>2657</v>
      </c>
      <c r="N2213" s="71">
        <f>SUBTOTAL(9,N2208:N2212)</f>
        <v>26.580000000000002</v>
      </c>
      <c r="O2213" s="11">
        <f>O2206+1</f>
        <v>538</v>
      </c>
    </row>
    <row r="2214" spans="1:15" x14ac:dyDescent="0.25">
      <c r="A2214" s="10"/>
      <c r="G2214" s="21"/>
      <c r="H2214" s="21"/>
      <c r="I2214" s="21"/>
      <c r="J2214" s="21"/>
      <c r="K2214" s="21"/>
      <c r="L2214" s="21"/>
      <c r="M2214" s="10"/>
      <c r="O2214" s="11"/>
    </row>
    <row r="2215" spans="1:15" s="4" customFormat="1" x14ac:dyDescent="0.25">
      <c r="A2215" s="6">
        <v>1091</v>
      </c>
      <c r="B2215" s="5" t="s">
        <v>550</v>
      </c>
      <c r="C2215" s="5" t="s">
        <v>17</v>
      </c>
      <c r="D2215" s="5" t="s">
        <v>294</v>
      </c>
      <c r="E2215" s="5" t="s">
        <v>295</v>
      </c>
      <c r="F2215" s="5" t="s">
        <v>552</v>
      </c>
      <c r="G2215" s="22">
        <v>1.99</v>
      </c>
      <c r="H2215" s="22">
        <v>0</v>
      </c>
      <c r="I2215" s="22">
        <v>0</v>
      </c>
      <c r="J2215" s="22">
        <v>0</v>
      </c>
      <c r="K2215" s="22">
        <v>-0.04</v>
      </c>
      <c r="L2215" s="22">
        <v>1.95</v>
      </c>
      <c r="M2215" s="10"/>
      <c r="N2215" s="67"/>
      <c r="O2215" s="11"/>
    </row>
    <row r="2216" spans="1:15" s="4" customFormat="1" x14ac:dyDescent="0.25">
      <c r="A2216" s="6">
        <v>1092</v>
      </c>
      <c r="B2216" s="5" t="s">
        <v>550</v>
      </c>
      <c r="C2216" s="5" t="s">
        <v>17</v>
      </c>
      <c r="D2216" s="5" t="s">
        <v>294</v>
      </c>
      <c r="E2216" s="5" t="s">
        <v>295</v>
      </c>
      <c r="F2216" s="5" t="s">
        <v>552</v>
      </c>
      <c r="G2216" s="22">
        <v>0.01</v>
      </c>
      <c r="H2216" s="22">
        <v>0</v>
      </c>
      <c r="I2216" s="22">
        <v>0</v>
      </c>
      <c r="J2216" s="22">
        <v>0</v>
      </c>
      <c r="K2216" s="22">
        <v>0</v>
      </c>
      <c r="L2216" s="22">
        <v>0.01</v>
      </c>
      <c r="M2216" s="10"/>
      <c r="N2216" s="67"/>
      <c r="O2216" s="11"/>
    </row>
    <row r="2217" spans="1:15" x14ac:dyDescent="0.25">
      <c r="A2217" s="6">
        <v>1093</v>
      </c>
      <c r="B2217" s="5" t="s">
        <v>550</v>
      </c>
      <c r="C2217" s="5" t="s">
        <v>17</v>
      </c>
      <c r="D2217" s="5" t="s">
        <v>294</v>
      </c>
      <c r="E2217" s="5" t="s">
        <v>295</v>
      </c>
      <c r="F2217" s="5" t="s">
        <v>552</v>
      </c>
      <c r="G2217" s="22">
        <v>0.16</v>
      </c>
      <c r="H2217" s="22">
        <v>0</v>
      </c>
      <c r="I2217" s="22">
        <v>0</v>
      </c>
      <c r="J2217" s="22">
        <v>0</v>
      </c>
      <c r="K2217" s="22">
        <v>0</v>
      </c>
      <c r="L2217" s="22">
        <v>0.16</v>
      </c>
      <c r="M2217" s="10"/>
      <c r="O2217" s="11"/>
    </row>
    <row r="2218" spans="1:15" x14ac:dyDescent="0.25">
      <c r="A2218" s="6"/>
      <c r="B2218" s="5"/>
      <c r="C2218" s="5"/>
      <c r="D2218" s="5" t="s">
        <v>294</v>
      </c>
      <c r="E2218" s="5" t="s">
        <v>295</v>
      </c>
      <c r="F2218" s="5" t="s">
        <v>552</v>
      </c>
      <c r="G2218" s="14">
        <f t="shared" ref="G2218:L2218" si="559">SUBTOTAL(9,G2215:G2217)</f>
        <v>2.16</v>
      </c>
      <c r="H2218" s="14">
        <f t="shared" si="559"/>
        <v>0</v>
      </c>
      <c r="I2218" s="14">
        <f t="shared" si="559"/>
        <v>0</v>
      </c>
      <c r="J2218" s="14">
        <f t="shared" si="559"/>
        <v>0</v>
      </c>
      <c r="K2218" s="14">
        <f t="shared" si="559"/>
        <v>-0.04</v>
      </c>
      <c r="L2218" s="14">
        <f t="shared" si="559"/>
        <v>2.12</v>
      </c>
      <c r="M2218" s="10">
        <v>2658</v>
      </c>
      <c r="N2218" s="69"/>
      <c r="O2218" s="11">
        <f>O2213+1</f>
        <v>539</v>
      </c>
    </row>
    <row r="2219" spans="1:15" s="4" customFormat="1" x14ac:dyDescent="0.25">
      <c r="A2219" s="10"/>
      <c r="B2219"/>
      <c r="C2219"/>
      <c r="D2219"/>
      <c r="E2219"/>
      <c r="F2219"/>
      <c r="G2219" s="21"/>
      <c r="H2219" s="21"/>
      <c r="I2219" s="21"/>
      <c r="J2219" s="21"/>
      <c r="K2219" s="21"/>
      <c r="L2219" s="21"/>
      <c r="M2219" s="10"/>
      <c r="N2219" s="67"/>
      <c r="O2219" s="11"/>
    </row>
    <row r="2220" spans="1:15" x14ac:dyDescent="0.25">
      <c r="A2220" s="6">
        <v>1094</v>
      </c>
      <c r="B2220" s="5" t="s">
        <v>18</v>
      </c>
      <c r="C2220" s="5" t="s">
        <v>17</v>
      </c>
      <c r="D2220" s="5" t="s">
        <v>296</v>
      </c>
      <c r="E2220" s="5" t="s">
        <v>297</v>
      </c>
      <c r="F2220" s="5" t="s">
        <v>19</v>
      </c>
      <c r="G2220" s="22">
        <v>0.39</v>
      </c>
      <c r="H2220" s="22">
        <v>0</v>
      </c>
      <c r="I2220" s="22">
        <v>0</v>
      </c>
      <c r="J2220" s="22">
        <v>0</v>
      </c>
      <c r="K2220" s="22">
        <v>-0.35</v>
      </c>
      <c r="L2220" s="22">
        <v>0.04</v>
      </c>
      <c r="M2220" s="10"/>
      <c r="O2220" s="11"/>
    </row>
    <row r="2221" spans="1:15" x14ac:dyDescent="0.25">
      <c r="A2221" s="6"/>
      <c r="B2221" s="5"/>
      <c r="C2221" s="5"/>
      <c r="D2221" s="5" t="s">
        <v>296</v>
      </c>
      <c r="E2221" s="5" t="s">
        <v>297</v>
      </c>
      <c r="F2221" s="5" t="s">
        <v>19</v>
      </c>
      <c r="G2221" s="14">
        <f t="shared" ref="G2221:L2221" si="560">SUBTOTAL(9,G2220:G2220)</f>
        <v>0.39</v>
      </c>
      <c r="H2221" s="14">
        <f t="shared" si="560"/>
        <v>0</v>
      </c>
      <c r="I2221" s="14">
        <f t="shared" si="560"/>
        <v>0</v>
      </c>
      <c r="J2221" s="14">
        <f t="shared" si="560"/>
        <v>0</v>
      </c>
      <c r="K2221" s="14">
        <f t="shared" si="560"/>
        <v>-0.35</v>
      </c>
      <c r="L2221" s="14">
        <f t="shared" si="560"/>
        <v>0.04</v>
      </c>
      <c r="M2221" s="10">
        <v>2659</v>
      </c>
      <c r="N2221" s="69"/>
      <c r="O2221" s="11">
        <f>O2218+1</f>
        <v>540</v>
      </c>
    </row>
    <row r="2222" spans="1:15" s="4" customFormat="1" x14ac:dyDescent="0.25">
      <c r="A2222" s="10"/>
      <c r="B2222"/>
      <c r="C2222"/>
      <c r="D2222"/>
      <c r="E2222"/>
      <c r="F2222"/>
      <c r="G2222" s="21"/>
      <c r="H2222" s="21"/>
      <c r="I2222" s="21"/>
      <c r="J2222" s="21"/>
      <c r="K2222" s="21"/>
      <c r="L2222" s="21"/>
      <c r="M2222" s="10"/>
      <c r="N2222" s="67"/>
      <c r="O2222" s="11"/>
    </row>
    <row r="2223" spans="1:15" s="4" customFormat="1" x14ac:dyDescent="0.25">
      <c r="A2223" s="6">
        <v>1095</v>
      </c>
      <c r="B2223" s="5" t="s">
        <v>550</v>
      </c>
      <c r="C2223" s="5" t="s">
        <v>17</v>
      </c>
      <c r="D2223" s="5" t="s">
        <v>296</v>
      </c>
      <c r="E2223" s="5" t="s">
        <v>297</v>
      </c>
      <c r="F2223" s="5" t="s">
        <v>551</v>
      </c>
      <c r="G2223" s="22">
        <v>32963.800000000003</v>
      </c>
      <c r="H2223" s="22">
        <v>0</v>
      </c>
      <c r="I2223" s="22">
        <v>0</v>
      </c>
      <c r="J2223" s="22">
        <v>0</v>
      </c>
      <c r="K2223" s="22">
        <v>-659.28</v>
      </c>
      <c r="L2223" s="22">
        <v>32304.52</v>
      </c>
      <c r="M2223" s="10"/>
      <c r="N2223" s="67"/>
      <c r="O2223" s="11"/>
    </row>
    <row r="2224" spans="1:15" x14ac:dyDescent="0.25">
      <c r="A2224" s="6">
        <v>1096</v>
      </c>
      <c r="B2224" s="5" t="s">
        <v>550</v>
      </c>
      <c r="C2224" s="5" t="s">
        <v>17</v>
      </c>
      <c r="D2224" s="5" t="s">
        <v>296</v>
      </c>
      <c r="E2224" s="5" t="s">
        <v>297</v>
      </c>
      <c r="F2224" s="5" t="s">
        <v>551</v>
      </c>
      <c r="G2224" s="22">
        <v>3277782.9</v>
      </c>
      <c r="H2224" s="22">
        <v>0</v>
      </c>
      <c r="I2224" s="22">
        <v>0</v>
      </c>
      <c r="J2224" s="22">
        <v>0</v>
      </c>
      <c r="K2224" s="22">
        <v>-65555.66</v>
      </c>
      <c r="L2224" s="22">
        <v>3212227.24</v>
      </c>
      <c r="M2224" s="10"/>
      <c r="O2224" s="11"/>
    </row>
    <row r="2225" spans="1:15" x14ac:dyDescent="0.25">
      <c r="A2225" s="6"/>
      <c r="B2225" s="5"/>
      <c r="C2225" s="5"/>
      <c r="D2225" s="5" t="s">
        <v>296</v>
      </c>
      <c r="E2225" s="5" t="s">
        <v>297</v>
      </c>
      <c r="F2225" s="5" t="s">
        <v>551</v>
      </c>
      <c r="G2225" s="14">
        <f t="shared" ref="G2225:L2225" si="561">SUBTOTAL(9,G2223:G2224)</f>
        <v>3310746.6999999997</v>
      </c>
      <c r="H2225" s="14">
        <f t="shared" si="561"/>
        <v>0</v>
      </c>
      <c r="I2225" s="14">
        <f t="shared" si="561"/>
        <v>0</v>
      </c>
      <c r="J2225" s="14">
        <f t="shared" si="561"/>
        <v>0</v>
      </c>
      <c r="K2225" s="14">
        <f t="shared" si="561"/>
        <v>-66214.94</v>
      </c>
      <c r="L2225" s="14">
        <f t="shared" si="561"/>
        <v>3244531.7600000002</v>
      </c>
      <c r="M2225" s="10">
        <v>2660</v>
      </c>
      <c r="N2225" s="69"/>
      <c r="O2225" s="11">
        <f>O2221+1</f>
        <v>541</v>
      </c>
    </row>
    <row r="2226" spans="1:15" s="4" customFormat="1" x14ac:dyDescent="0.25">
      <c r="A2226" s="10"/>
      <c r="B2226"/>
      <c r="C2226"/>
      <c r="D2226"/>
      <c r="E2226"/>
      <c r="F2226"/>
      <c r="G2226" s="21"/>
      <c r="H2226" s="21"/>
      <c r="I2226" s="21"/>
      <c r="J2226" s="21"/>
      <c r="K2226" s="21"/>
      <c r="L2226" s="21"/>
      <c r="M2226" s="10"/>
      <c r="N2226" s="67"/>
      <c r="O2226" s="11"/>
    </row>
    <row r="2227" spans="1:15" s="4" customFormat="1" x14ac:dyDescent="0.25">
      <c r="A2227" s="6">
        <v>1097</v>
      </c>
      <c r="B2227" s="5" t="s">
        <v>550</v>
      </c>
      <c r="C2227" s="5" t="s">
        <v>17</v>
      </c>
      <c r="D2227" s="5" t="s">
        <v>296</v>
      </c>
      <c r="E2227" s="5" t="s">
        <v>297</v>
      </c>
      <c r="F2227" s="5" t="s">
        <v>552</v>
      </c>
      <c r="G2227" s="22">
        <v>2.37</v>
      </c>
      <c r="H2227" s="22">
        <v>0</v>
      </c>
      <c r="I2227" s="22">
        <v>0</v>
      </c>
      <c r="J2227" s="22">
        <v>0</v>
      </c>
      <c r="K2227" s="22">
        <v>-0.05</v>
      </c>
      <c r="L2227" s="22">
        <v>2.3199999999999998</v>
      </c>
      <c r="M2227" s="10"/>
      <c r="N2227" s="67"/>
      <c r="O2227" s="11"/>
    </row>
    <row r="2228" spans="1:15" x14ac:dyDescent="0.25">
      <c r="A2228" s="6">
        <v>1098</v>
      </c>
      <c r="B2228" s="5" t="s">
        <v>550</v>
      </c>
      <c r="C2228" s="5" t="s">
        <v>17</v>
      </c>
      <c r="D2228" s="5" t="s">
        <v>296</v>
      </c>
      <c r="E2228" s="5" t="s">
        <v>297</v>
      </c>
      <c r="F2228" s="5" t="s">
        <v>552</v>
      </c>
      <c r="G2228" s="22">
        <v>235.76</v>
      </c>
      <c r="H2228" s="22">
        <v>0</v>
      </c>
      <c r="I2228" s="22">
        <v>0</v>
      </c>
      <c r="J2228" s="22">
        <v>0</v>
      </c>
      <c r="K2228" s="22">
        <v>-4.72</v>
      </c>
      <c r="L2228" s="22">
        <v>231.04</v>
      </c>
      <c r="M2228" s="10"/>
      <c r="O2228" s="11"/>
    </row>
    <row r="2229" spans="1:15" x14ac:dyDescent="0.25">
      <c r="A2229" s="6"/>
      <c r="B2229" s="5"/>
      <c r="C2229" s="5"/>
      <c r="D2229" s="5" t="s">
        <v>296</v>
      </c>
      <c r="E2229" s="5" t="s">
        <v>297</v>
      </c>
      <c r="F2229" s="5" t="s">
        <v>552</v>
      </c>
      <c r="G2229" s="14">
        <f t="shared" ref="G2229:L2229" si="562">SUBTOTAL(9,G2227:G2228)</f>
        <v>238.13</v>
      </c>
      <c r="H2229" s="14">
        <f t="shared" si="562"/>
        <v>0</v>
      </c>
      <c r="I2229" s="14">
        <f t="shared" si="562"/>
        <v>0</v>
      </c>
      <c r="J2229" s="14">
        <f t="shared" si="562"/>
        <v>0</v>
      </c>
      <c r="K2229" s="14">
        <f t="shared" si="562"/>
        <v>-4.7699999999999996</v>
      </c>
      <c r="L2229" s="14">
        <f t="shared" si="562"/>
        <v>233.35999999999999</v>
      </c>
      <c r="M2229" s="10">
        <v>2661</v>
      </c>
      <c r="N2229" s="69"/>
      <c r="O2229" s="11">
        <f>O2225+1</f>
        <v>542</v>
      </c>
    </row>
    <row r="2230" spans="1:15" s="4" customFormat="1" x14ac:dyDescent="0.25">
      <c r="A2230" s="10"/>
      <c r="B2230"/>
      <c r="C2230"/>
      <c r="D2230"/>
      <c r="E2230"/>
      <c r="F2230"/>
      <c r="G2230" s="21"/>
      <c r="H2230" s="21"/>
      <c r="I2230" s="21"/>
      <c r="J2230" s="21"/>
      <c r="K2230" s="21"/>
      <c r="L2230" s="21"/>
      <c r="M2230" s="10"/>
      <c r="N2230" s="67"/>
      <c r="O2230" s="11"/>
    </row>
    <row r="2231" spans="1:15" x14ac:dyDescent="0.25">
      <c r="A2231" s="6">
        <v>1099</v>
      </c>
      <c r="B2231" s="5" t="s">
        <v>559</v>
      </c>
      <c r="C2231" s="5" t="s">
        <v>17</v>
      </c>
      <c r="D2231" s="5" t="s">
        <v>298</v>
      </c>
      <c r="E2231" s="5" t="s">
        <v>299</v>
      </c>
      <c r="F2231" s="5" t="s">
        <v>560</v>
      </c>
      <c r="G2231" s="22">
        <v>0.01</v>
      </c>
      <c r="H2231" s="22">
        <v>0</v>
      </c>
      <c r="I2231" s="22">
        <v>0</v>
      </c>
      <c r="J2231" s="22">
        <v>0</v>
      </c>
      <c r="K2231" s="22">
        <v>0</v>
      </c>
      <c r="L2231" s="22">
        <v>0.01</v>
      </c>
      <c r="M2231" s="10"/>
      <c r="O2231" s="11"/>
    </row>
    <row r="2232" spans="1:15" x14ac:dyDescent="0.25">
      <c r="A2232" s="6">
        <v>1100</v>
      </c>
      <c r="B2232" s="5" t="s">
        <v>559</v>
      </c>
      <c r="C2232" s="5" t="s">
        <v>13</v>
      </c>
      <c r="D2232" s="5" t="s">
        <v>298</v>
      </c>
      <c r="E2232" s="5" t="s">
        <v>299</v>
      </c>
      <c r="F2232" s="5" t="s">
        <v>560</v>
      </c>
      <c r="G2232" s="22">
        <v>0</v>
      </c>
      <c r="H2232" s="22">
        <v>0</v>
      </c>
      <c r="I2232" s="22">
        <v>0</v>
      </c>
      <c r="J2232" s="22">
        <v>0</v>
      </c>
      <c r="K2232" s="22">
        <v>0</v>
      </c>
      <c r="L2232" s="22">
        <v>0</v>
      </c>
      <c r="M2232" s="10"/>
      <c r="O2232" s="11"/>
    </row>
    <row r="2233" spans="1:15" s="4" customFormat="1" x14ac:dyDescent="0.25">
      <c r="A2233" s="6"/>
      <c r="B2233" s="5"/>
      <c r="C2233" s="5"/>
      <c r="D2233" s="5" t="s">
        <v>298</v>
      </c>
      <c r="E2233" s="5" t="s">
        <v>299</v>
      </c>
      <c r="F2233" s="5" t="s">
        <v>560</v>
      </c>
      <c r="G2233" s="14">
        <f t="shared" ref="G2233:L2233" si="563">SUBTOTAL(9,G2231:G2232)</f>
        <v>0.01</v>
      </c>
      <c r="H2233" s="14">
        <f t="shared" si="563"/>
        <v>0</v>
      </c>
      <c r="I2233" s="14">
        <f t="shared" si="563"/>
        <v>0</v>
      </c>
      <c r="J2233" s="14">
        <f t="shared" si="563"/>
        <v>0</v>
      </c>
      <c r="K2233" s="14">
        <f t="shared" si="563"/>
        <v>0</v>
      </c>
      <c r="L2233" s="14">
        <f t="shared" si="563"/>
        <v>0.01</v>
      </c>
      <c r="M2233" s="10">
        <v>2662</v>
      </c>
      <c r="N2233" s="69"/>
      <c r="O2233" s="11">
        <f>O2229+1</f>
        <v>543</v>
      </c>
    </row>
    <row r="2234" spans="1:15" x14ac:dyDescent="0.25">
      <c r="A2234" s="10"/>
      <c r="G2234" s="21"/>
      <c r="H2234" s="21"/>
      <c r="I2234" s="21"/>
      <c r="J2234" s="21"/>
      <c r="K2234" s="21"/>
      <c r="L2234" s="21"/>
      <c r="M2234" s="10"/>
      <c r="O2234" s="11"/>
    </row>
    <row r="2235" spans="1:15" x14ac:dyDescent="0.25">
      <c r="A2235" s="6">
        <v>1101</v>
      </c>
      <c r="B2235" s="5" t="s">
        <v>18</v>
      </c>
      <c r="C2235" s="5" t="s">
        <v>17</v>
      </c>
      <c r="D2235" s="5" t="s">
        <v>298</v>
      </c>
      <c r="E2235" s="5" t="s">
        <v>299</v>
      </c>
      <c r="F2235" s="5" t="s">
        <v>19</v>
      </c>
      <c r="G2235" s="22">
        <v>0.26</v>
      </c>
      <c r="H2235" s="22">
        <v>0</v>
      </c>
      <c r="I2235" s="22">
        <v>0</v>
      </c>
      <c r="J2235" s="22">
        <v>0</v>
      </c>
      <c r="K2235" s="22">
        <v>0</v>
      </c>
      <c r="L2235" s="22">
        <v>0.26</v>
      </c>
      <c r="M2235" s="10"/>
      <c r="O2235" s="11"/>
    </row>
    <row r="2236" spans="1:15" s="4" customFormat="1" x14ac:dyDescent="0.25">
      <c r="A2236" s="6"/>
      <c r="B2236" s="5"/>
      <c r="C2236" s="5"/>
      <c r="D2236" s="5" t="s">
        <v>298</v>
      </c>
      <c r="E2236" s="5" t="s">
        <v>299</v>
      </c>
      <c r="F2236" s="5" t="s">
        <v>19</v>
      </c>
      <c r="G2236" s="14">
        <f t="shared" ref="G2236:L2236" si="564">SUBTOTAL(9,G2235:G2235)</f>
        <v>0.26</v>
      </c>
      <c r="H2236" s="14">
        <f t="shared" si="564"/>
        <v>0</v>
      </c>
      <c r="I2236" s="14">
        <f t="shared" si="564"/>
        <v>0</v>
      </c>
      <c r="J2236" s="14">
        <f t="shared" si="564"/>
        <v>0</v>
      </c>
      <c r="K2236" s="14">
        <f t="shared" si="564"/>
        <v>0</v>
      </c>
      <c r="L2236" s="14">
        <f t="shared" si="564"/>
        <v>0.26</v>
      </c>
      <c r="M2236" s="10">
        <v>2663</v>
      </c>
      <c r="N2236" s="69"/>
      <c r="O2236" s="11">
        <f>O2233+1</f>
        <v>544</v>
      </c>
    </row>
    <row r="2237" spans="1:15" s="4" customFormat="1" x14ac:dyDescent="0.25">
      <c r="A2237" s="10"/>
      <c r="B2237"/>
      <c r="C2237"/>
      <c r="D2237"/>
      <c r="E2237"/>
      <c r="F2237"/>
      <c r="G2237" s="21"/>
      <c r="H2237" s="21"/>
      <c r="I2237" s="21"/>
      <c r="J2237" s="21"/>
      <c r="K2237" s="21"/>
      <c r="L2237" s="21"/>
      <c r="M2237" s="10"/>
      <c r="N2237" s="67"/>
      <c r="O2237" s="11"/>
    </row>
    <row r="2238" spans="1:15" x14ac:dyDescent="0.25">
      <c r="A2238" s="6">
        <v>1102</v>
      </c>
      <c r="B2238" s="5" t="s">
        <v>550</v>
      </c>
      <c r="C2238" s="5" t="s">
        <v>17</v>
      </c>
      <c r="D2238" s="5" t="s">
        <v>298</v>
      </c>
      <c r="E2238" s="5" t="s">
        <v>299</v>
      </c>
      <c r="F2238" s="5" t="s">
        <v>551</v>
      </c>
      <c r="G2238" s="22">
        <v>3458.73</v>
      </c>
      <c r="H2238" s="22">
        <v>0</v>
      </c>
      <c r="I2238" s="22">
        <v>0</v>
      </c>
      <c r="J2238" s="22">
        <v>0</v>
      </c>
      <c r="K2238" s="22">
        <v>0</v>
      </c>
      <c r="L2238" s="22">
        <v>3458.73</v>
      </c>
      <c r="M2238" s="10"/>
      <c r="O2238" s="11"/>
    </row>
    <row r="2239" spans="1:15" x14ac:dyDescent="0.25">
      <c r="A2239" s="6">
        <v>1103</v>
      </c>
      <c r="B2239" s="5" t="s">
        <v>550</v>
      </c>
      <c r="C2239" s="5" t="s">
        <v>13</v>
      </c>
      <c r="D2239" s="5" t="s">
        <v>298</v>
      </c>
      <c r="E2239" s="5" t="s">
        <v>299</v>
      </c>
      <c r="F2239" s="5" t="s">
        <v>551</v>
      </c>
      <c r="G2239" s="22">
        <v>0</v>
      </c>
      <c r="H2239" s="22">
        <v>0</v>
      </c>
      <c r="I2239" s="22">
        <v>0</v>
      </c>
      <c r="J2239" s="22">
        <v>415.05</v>
      </c>
      <c r="K2239" s="22">
        <v>0</v>
      </c>
      <c r="L2239" s="22">
        <v>415.05</v>
      </c>
      <c r="M2239" s="10"/>
      <c r="O2239" s="11"/>
    </row>
    <row r="2240" spans="1:15" s="4" customFormat="1" x14ac:dyDescent="0.25">
      <c r="A2240" s="6"/>
      <c r="B2240" s="5"/>
      <c r="C2240" s="5"/>
      <c r="D2240" s="5" t="s">
        <v>298</v>
      </c>
      <c r="E2240" s="5" t="s">
        <v>299</v>
      </c>
      <c r="F2240" s="5" t="s">
        <v>551</v>
      </c>
      <c r="G2240" s="14">
        <f t="shared" ref="G2240:L2240" si="565">SUBTOTAL(9,G2238:G2239)</f>
        <v>3458.73</v>
      </c>
      <c r="H2240" s="14">
        <f t="shared" si="565"/>
        <v>0</v>
      </c>
      <c r="I2240" s="14">
        <f t="shared" si="565"/>
        <v>0</v>
      </c>
      <c r="J2240" s="14">
        <f t="shared" si="565"/>
        <v>415.05</v>
      </c>
      <c r="K2240" s="14">
        <f t="shared" si="565"/>
        <v>0</v>
      </c>
      <c r="L2240" s="14">
        <f t="shared" si="565"/>
        <v>3873.78</v>
      </c>
      <c r="M2240" s="10">
        <v>2664</v>
      </c>
      <c r="N2240" s="69"/>
      <c r="O2240" s="11">
        <f>O2236+1</f>
        <v>545</v>
      </c>
    </row>
    <row r="2241" spans="1:15" s="4" customFormat="1" x14ac:dyDescent="0.25">
      <c r="A2241" s="10"/>
      <c r="B2241"/>
      <c r="C2241"/>
      <c r="D2241"/>
      <c r="E2241"/>
      <c r="F2241"/>
      <c r="G2241" s="21"/>
      <c r="H2241" s="21"/>
      <c r="I2241" s="21"/>
      <c r="J2241" s="21"/>
      <c r="K2241" s="21"/>
      <c r="L2241" s="21"/>
      <c r="M2241" s="10"/>
      <c r="N2241" s="67"/>
      <c r="O2241" s="11"/>
    </row>
    <row r="2242" spans="1:15" x14ac:dyDescent="0.25">
      <c r="A2242" s="6">
        <v>1104</v>
      </c>
      <c r="B2242" s="5" t="s">
        <v>550</v>
      </c>
      <c r="C2242" s="5" t="s">
        <v>17</v>
      </c>
      <c r="D2242" s="5" t="s">
        <v>298</v>
      </c>
      <c r="E2242" s="5" t="s">
        <v>299</v>
      </c>
      <c r="F2242" s="5" t="s">
        <v>552</v>
      </c>
      <c r="G2242" s="22">
        <v>0.25</v>
      </c>
      <c r="H2242" s="22">
        <v>0</v>
      </c>
      <c r="I2242" s="22">
        <v>0</v>
      </c>
      <c r="J2242" s="22">
        <v>0</v>
      </c>
      <c r="K2242" s="22">
        <v>0</v>
      </c>
      <c r="L2242" s="22">
        <v>0.25</v>
      </c>
      <c r="M2242" s="10"/>
      <c r="O2242" s="11"/>
    </row>
    <row r="2243" spans="1:15" x14ac:dyDescent="0.25">
      <c r="A2243" s="6">
        <v>1105</v>
      </c>
      <c r="B2243" s="5" t="s">
        <v>550</v>
      </c>
      <c r="C2243" s="5" t="s">
        <v>13</v>
      </c>
      <c r="D2243" s="5" t="s">
        <v>298</v>
      </c>
      <c r="E2243" s="5" t="s">
        <v>299</v>
      </c>
      <c r="F2243" s="5" t="s">
        <v>552</v>
      </c>
      <c r="G2243" s="22">
        <v>0</v>
      </c>
      <c r="H2243" s="22">
        <v>0</v>
      </c>
      <c r="I2243" s="22">
        <v>0</v>
      </c>
      <c r="J2243" s="22">
        <v>0.03</v>
      </c>
      <c r="K2243" s="22">
        <v>0</v>
      </c>
      <c r="L2243" s="22">
        <v>0.03</v>
      </c>
      <c r="M2243" s="10"/>
      <c r="O2243" s="11"/>
    </row>
    <row r="2244" spans="1:15" s="4" customFormat="1" x14ac:dyDescent="0.25">
      <c r="A2244" s="6"/>
      <c r="B2244" s="5"/>
      <c r="C2244" s="5"/>
      <c r="D2244" s="5" t="s">
        <v>298</v>
      </c>
      <c r="E2244" s="5" t="s">
        <v>299</v>
      </c>
      <c r="F2244" s="5" t="s">
        <v>552</v>
      </c>
      <c r="G2244" s="14">
        <f t="shared" ref="G2244:L2244" si="566">SUBTOTAL(9,G2242:G2243)</f>
        <v>0.25</v>
      </c>
      <c r="H2244" s="14">
        <f t="shared" si="566"/>
        <v>0</v>
      </c>
      <c r="I2244" s="14">
        <f t="shared" si="566"/>
        <v>0</v>
      </c>
      <c r="J2244" s="14">
        <f t="shared" si="566"/>
        <v>0.03</v>
      </c>
      <c r="K2244" s="14">
        <f t="shared" si="566"/>
        <v>0</v>
      </c>
      <c r="L2244" s="14">
        <f t="shared" si="566"/>
        <v>0.28000000000000003</v>
      </c>
      <c r="M2244" s="10">
        <v>2665</v>
      </c>
      <c r="N2244" s="69"/>
      <c r="O2244" s="11">
        <f>O2240+1</f>
        <v>546</v>
      </c>
    </row>
    <row r="2245" spans="1:15" s="4" customFormat="1" x14ac:dyDescent="0.25">
      <c r="A2245" s="10"/>
      <c r="B2245"/>
      <c r="C2245"/>
      <c r="D2245"/>
      <c r="E2245"/>
      <c r="F2245"/>
      <c r="G2245" s="21"/>
      <c r="H2245" s="21"/>
      <c r="I2245" s="21"/>
      <c r="J2245" s="21"/>
      <c r="K2245" s="21"/>
      <c r="L2245" s="21"/>
      <c r="M2245" s="10"/>
      <c r="N2245" s="67"/>
      <c r="O2245" s="11"/>
    </row>
    <row r="2246" spans="1:15" x14ac:dyDescent="0.25">
      <c r="A2246" s="6">
        <v>1106</v>
      </c>
      <c r="B2246" s="5" t="s">
        <v>555</v>
      </c>
      <c r="C2246" s="5" t="s">
        <v>17</v>
      </c>
      <c r="D2246" s="5" t="s">
        <v>300</v>
      </c>
      <c r="E2246" s="5" t="s">
        <v>301</v>
      </c>
      <c r="F2246" s="5" t="s">
        <v>556</v>
      </c>
      <c r="G2246" s="22">
        <v>0</v>
      </c>
      <c r="H2246" s="22">
        <v>0</v>
      </c>
      <c r="I2246" s="22">
        <v>206.33</v>
      </c>
      <c r="J2246" s="22">
        <v>0</v>
      </c>
      <c r="K2246" s="22">
        <v>-4.13</v>
      </c>
      <c r="L2246" s="22">
        <v>202.2</v>
      </c>
      <c r="M2246" s="10"/>
      <c r="O2246" s="11"/>
    </row>
    <row r="2247" spans="1:15" x14ac:dyDescent="0.25">
      <c r="A2247" s="6"/>
      <c r="B2247" s="5"/>
      <c r="C2247" s="5"/>
      <c r="D2247" s="5" t="s">
        <v>300</v>
      </c>
      <c r="E2247" s="5" t="s">
        <v>301</v>
      </c>
      <c r="F2247" s="5" t="s">
        <v>556</v>
      </c>
      <c r="G2247" s="14">
        <f t="shared" ref="G2247:L2247" si="567">SUBTOTAL(9,G2246:G2246)</f>
        <v>0</v>
      </c>
      <c r="H2247" s="14">
        <f t="shared" si="567"/>
        <v>0</v>
      </c>
      <c r="I2247" s="14">
        <f t="shared" si="567"/>
        <v>206.33</v>
      </c>
      <c r="J2247" s="14">
        <f t="shared" si="567"/>
        <v>0</v>
      </c>
      <c r="K2247" s="14">
        <f t="shared" si="567"/>
        <v>-4.13</v>
      </c>
      <c r="L2247" s="14">
        <f t="shared" si="567"/>
        <v>202.2</v>
      </c>
      <c r="M2247" s="10">
        <v>2666</v>
      </c>
      <c r="N2247" s="69"/>
      <c r="O2247" s="11">
        <f>O2244+1</f>
        <v>547</v>
      </c>
    </row>
    <row r="2248" spans="1:15" s="4" customFormat="1" x14ac:dyDescent="0.25">
      <c r="A2248" s="10"/>
      <c r="B2248"/>
      <c r="C2248"/>
      <c r="D2248"/>
      <c r="E2248"/>
      <c r="F2248"/>
      <c r="G2248" s="21"/>
      <c r="H2248" s="21"/>
      <c r="I2248" s="21"/>
      <c r="J2248" s="21"/>
      <c r="K2248" s="21"/>
      <c r="L2248" s="21"/>
      <c r="M2248" s="10"/>
      <c r="N2248" s="67"/>
      <c r="O2248" s="11"/>
    </row>
    <row r="2249" spans="1:15" s="4" customFormat="1" x14ac:dyDescent="0.25">
      <c r="A2249" s="6">
        <v>1107</v>
      </c>
      <c r="B2249" s="5" t="s">
        <v>557</v>
      </c>
      <c r="C2249" s="5" t="s">
        <v>17</v>
      </c>
      <c r="D2249" s="5" t="s">
        <v>300</v>
      </c>
      <c r="E2249" s="5" t="s">
        <v>301</v>
      </c>
      <c r="F2249" s="5" t="s">
        <v>558</v>
      </c>
      <c r="G2249" s="22">
        <v>0</v>
      </c>
      <c r="H2249" s="22">
        <v>0</v>
      </c>
      <c r="I2249" s="22">
        <v>105.78</v>
      </c>
      <c r="J2249" s="22">
        <v>0</v>
      </c>
      <c r="K2249" s="22">
        <v>-2.12</v>
      </c>
      <c r="L2249" s="22">
        <v>103.66</v>
      </c>
      <c r="M2249" s="10"/>
      <c r="N2249" s="67"/>
      <c r="O2249" s="11"/>
    </row>
    <row r="2250" spans="1:15" x14ac:dyDescent="0.25">
      <c r="A2250" s="6"/>
      <c r="B2250" s="5"/>
      <c r="C2250" s="5"/>
      <c r="D2250" s="5" t="s">
        <v>300</v>
      </c>
      <c r="E2250" s="5" t="s">
        <v>301</v>
      </c>
      <c r="F2250" s="5" t="s">
        <v>558</v>
      </c>
      <c r="G2250" s="14">
        <f t="shared" ref="G2250:L2250" si="568">SUBTOTAL(9,G2249:G2249)</f>
        <v>0</v>
      </c>
      <c r="H2250" s="14">
        <f t="shared" si="568"/>
        <v>0</v>
      </c>
      <c r="I2250" s="14">
        <f t="shared" si="568"/>
        <v>105.78</v>
      </c>
      <c r="J2250" s="14">
        <f t="shared" si="568"/>
        <v>0</v>
      </c>
      <c r="K2250" s="14">
        <f t="shared" si="568"/>
        <v>-2.12</v>
      </c>
      <c r="L2250" s="14">
        <f t="shared" si="568"/>
        <v>103.66</v>
      </c>
      <c r="M2250" s="10">
        <v>2667</v>
      </c>
      <c r="N2250" s="69"/>
      <c r="O2250" s="11">
        <f>O2247+1</f>
        <v>548</v>
      </c>
    </row>
    <row r="2251" spans="1:15" x14ac:dyDescent="0.25">
      <c r="A2251" s="10"/>
      <c r="G2251" s="21"/>
      <c r="H2251" s="21"/>
      <c r="I2251" s="21"/>
      <c r="J2251" s="21"/>
      <c r="K2251" s="21"/>
      <c r="L2251" s="21"/>
      <c r="M2251" s="10"/>
      <c r="O2251" s="11"/>
    </row>
    <row r="2252" spans="1:15" s="4" customFormat="1" x14ac:dyDescent="0.25">
      <c r="A2252" s="6">
        <v>1108</v>
      </c>
      <c r="B2252" s="5" t="s">
        <v>18</v>
      </c>
      <c r="C2252" s="5" t="s">
        <v>17</v>
      </c>
      <c r="D2252" s="5" t="s">
        <v>300</v>
      </c>
      <c r="E2252" s="5" t="s">
        <v>301</v>
      </c>
      <c r="F2252" s="5" t="s">
        <v>19</v>
      </c>
      <c r="G2252" s="22">
        <v>0</v>
      </c>
      <c r="H2252" s="22">
        <v>0</v>
      </c>
      <c r="I2252" s="22">
        <v>4.7</v>
      </c>
      <c r="J2252" s="22">
        <v>0</v>
      </c>
      <c r="K2252" s="22">
        <v>-0.55000000000000004</v>
      </c>
      <c r="L2252" s="22">
        <v>4.1500000000000004</v>
      </c>
      <c r="M2252" s="10"/>
      <c r="N2252" s="67"/>
      <c r="O2252" s="11"/>
    </row>
    <row r="2253" spans="1:15" x14ac:dyDescent="0.25">
      <c r="A2253" s="6"/>
      <c r="B2253" s="5"/>
      <c r="C2253" s="5"/>
      <c r="D2253" s="5" t="s">
        <v>300</v>
      </c>
      <c r="E2253" s="5" t="s">
        <v>301</v>
      </c>
      <c r="F2253" s="5" t="s">
        <v>19</v>
      </c>
      <c r="G2253" s="14">
        <f t="shared" ref="G2253:L2253" si="569">SUBTOTAL(9,G2252:G2252)</f>
        <v>0</v>
      </c>
      <c r="H2253" s="14">
        <f t="shared" si="569"/>
        <v>0</v>
      </c>
      <c r="I2253" s="14">
        <f t="shared" si="569"/>
        <v>4.7</v>
      </c>
      <c r="J2253" s="14">
        <f t="shared" si="569"/>
        <v>0</v>
      </c>
      <c r="K2253" s="14">
        <f t="shared" si="569"/>
        <v>-0.55000000000000004</v>
      </c>
      <c r="L2253" s="14">
        <f t="shared" si="569"/>
        <v>4.1500000000000004</v>
      </c>
      <c r="M2253" s="10">
        <v>2668</v>
      </c>
      <c r="N2253" s="69"/>
      <c r="O2253" s="11">
        <f>O2250+1</f>
        <v>549</v>
      </c>
    </row>
    <row r="2254" spans="1:15" x14ac:dyDescent="0.25">
      <c r="A2254" s="10"/>
      <c r="G2254" s="21"/>
      <c r="H2254" s="21"/>
      <c r="I2254" s="21"/>
      <c r="J2254" s="21"/>
      <c r="K2254" s="21"/>
      <c r="L2254" s="21"/>
      <c r="M2254" s="10"/>
      <c r="O2254" s="11"/>
    </row>
    <row r="2255" spans="1:15" s="4" customFormat="1" x14ac:dyDescent="0.25">
      <c r="A2255" s="6">
        <v>1109</v>
      </c>
      <c r="B2255" s="5" t="s">
        <v>550</v>
      </c>
      <c r="C2255" s="5" t="s">
        <v>17</v>
      </c>
      <c r="D2255" s="5" t="s">
        <v>300</v>
      </c>
      <c r="E2255" s="5" t="s">
        <v>301</v>
      </c>
      <c r="F2255" s="5" t="s">
        <v>551</v>
      </c>
      <c r="G2255" s="22">
        <v>0</v>
      </c>
      <c r="H2255" s="22">
        <v>0</v>
      </c>
      <c r="I2255" s="22">
        <v>7434.15</v>
      </c>
      <c r="J2255" s="22">
        <v>0</v>
      </c>
      <c r="K2255" s="22">
        <v>-148.68</v>
      </c>
      <c r="L2255" s="22">
        <v>7285.47</v>
      </c>
      <c r="M2255" s="10"/>
      <c r="N2255" s="67"/>
      <c r="O2255" s="11"/>
    </row>
    <row r="2256" spans="1:15" x14ac:dyDescent="0.25">
      <c r="A2256" s="6"/>
      <c r="B2256" s="5"/>
      <c r="C2256" s="5"/>
      <c r="D2256" s="5" t="s">
        <v>300</v>
      </c>
      <c r="E2256" s="5" t="s">
        <v>301</v>
      </c>
      <c r="F2256" s="5" t="s">
        <v>551</v>
      </c>
      <c r="G2256" s="14">
        <f t="shared" ref="G2256:L2256" si="570">SUBTOTAL(9,G2255:G2255)</f>
        <v>0</v>
      </c>
      <c r="H2256" s="14">
        <f t="shared" si="570"/>
        <v>0</v>
      </c>
      <c r="I2256" s="14">
        <f t="shared" si="570"/>
        <v>7434.15</v>
      </c>
      <c r="J2256" s="14">
        <f t="shared" si="570"/>
        <v>0</v>
      </c>
      <c r="K2256" s="14">
        <f t="shared" si="570"/>
        <v>-148.68</v>
      </c>
      <c r="L2256" s="14">
        <f t="shared" si="570"/>
        <v>7285.47</v>
      </c>
      <c r="M2256" s="10">
        <v>2669</v>
      </c>
      <c r="N2256" s="69"/>
      <c r="O2256" s="11">
        <f>O2253+1</f>
        <v>550</v>
      </c>
    </row>
    <row r="2257" spans="1:15" x14ac:dyDescent="0.25">
      <c r="A2257" s="10"/>
      <c r="G2257" s="21"/>
      <c r="H2257" s="21"/>
      <c r="I2257" s="21"/>
      <c r="J2257" s="21"/>
      <c r="K2257" s="21"/>
      <c r="L2257" s="21"/>
      <c r="M2257" s="10"/>
      <c r="O2257" s="11"/>
    </row>
    <row r="2258" spans="1:15" s="4" customFormat="1" x14ac:dyDescent="0.25">
      <c r="A2258" s="6">
        <v>1110</v>
      </c>
      <c r="B2258" s="5" t="s">
        <v>550</v>
      </c>
      <c r="C2258" s="5" t="s">
        <v>17</v>
      </c>
      <c r="D2258" s="5" t="s">
        <v>300</v>
      </c>
      <c r="E2258" s="5" t="s">
        <v>301</v>
      </c>
      <c r="F2258" s="5" t="s">
        <v>552</v>
      </c>
      <c r="G2258" s="22">
        <v>0</v>
      </c>
      <c r="H2258" s="22">
        <v>0</v>
      </c>
      <c r="I2258" s="22">
        <v>0.53</v>
      </c>
      <c r="J2258" s="22">
        <v>0</v>
      </c>
      <c r="K2258" s="22">
        <v>-0.01</v>
      </c>
      <c r="L2258" s="22">
        <v>0.52</v>
      </c>
      <c r="M2258" s="10"/>
      <c r="N2258" s="67"/>
      <c r="O2258" s="11"/>
    </row>
    <row r="2259" spans="1:15" x14ac:dyDescent="0.25">
      <c r="A2259" s="6"/>
      <c r="B2259" s="5"/>
      <c r="C2259" s="5"/>
      <c r="D2259" s="5" t="s">
        <v>300</v>
      </c>
      <c r="E2259" s="5" t="s">
        <v>301</v>
      </c>
      <c r="F2259" s="5" t="s">
        <v>552</v>
      </c>
      <c r="G2259" s="14">
        <f t="shared" ref="G2259:L2259" si="571">SUBTOTAL(9,G2258:G2258)</f>
        <v>0</v>
      </c>
      <c r="H2259" s="14">
        <f t="shared" si="571"/>
        <v>0</v>
      </c>
      <c r="I2259" s="14">
        <f t="shared" si="571"/>
        <v>0.53</v>
      </c>
      <c r="J2259" s="14">
        <f t="shared" si="571"/>
        <v>0</v>
      </c>
      <c r="K2259" s="14">
        <f t="shared" si="571"/>
        <v>-0.01</v>
      </c>
      <c r="L2259" s="14">
        <f t="shared" si="571"/>
        <v>0.52</v>
      </c>
      <c r="M2259" s="10">
        <v>2670</v>
      </c>
      <c r="N2259" s="69"/>
      <c r="O2259" s="11">
        <f>O2256+1</f>
        <v>551</v>
      </c>
    </row>
    <row r="2260" spans="1:15" x14ac:dyDescent="0.25">
      <c r="A2260" s="10"/>
      <c r="G2260" s="21"/>
      <c r="H2260" s="21"/>
      <c r="I2260" s="21"/>
      <c r="J2260" s="21"/>
      <c r="K2260" s="21"/>
      <c r="L2260" s="21"/>
      <c r="M2260" s="10"/>
      <c r="O2260" s="11"/>
    </row>
    <row r="2261" spans="1:15" s="4" customFormat="1" x14ac:dyDescent="0.25">
      <c r="A2261" s="6">
        <v>1111</v>
      </c>
      <c r="B2261" s="5" t="s">
        <v>18</v>
      </c>
      <c r="C2261" s="5" t="s">
        <v>17</v>
      </c>
      <c r="D2261" s="5" t="s">
        <v>302</v>
      </c>
      <c r="E2261" s="5" t="s">
        <v>303</v>
      </c>
      <c r="F2261" s="5" t="s">
        <v>19</v>
      </c>
      <c r="G2261" s="22">
        <v>7.0000000000000007E-2</v>
      </c>
      <c r="H2261" s="22">
        <v>0</v>
      </c>
      <c r="I2261" s="22">
        <v>0</v>
      </c>
      <c r="J2261" s="22">
        <v>0</v>
      </c>
      <c r="K2261" s="22">
        <v>-0.06</v>
      </c>
      <c r="L2261" s="22">
        <v>0.01</v>
      </c>
      <c r="M2261" s="10"/>
      <c r="N2261" s="67"/>
      <c r="O2261" s="11"/>
    </row>
    <row r="2262" spans="1:15" s="4" customFormat="1" x14ac:dyDescent="0.25">
      <c r="A2262" s="6"/>
      <c r="B2262" s="5"/>
      <c r="C2262" s="5"/>
      <c r="D2262" s="5" t="s">
        <v>302</v>
      </c>
      <c r="E2262" s="5" t="s">
        <v>303</v>
      </c>
      <c r="F2262" s="5" t="s">
        <v>19</v>
      </c>
      <c r="G2262" s="14">
        <f t="shared" ref="G2262:L2262" si="572">SUBTOTAL(9,G2261:G2261)</f>
        <v>7.0000000000000007E-2</v>
      </c>
      <c r="H2262" s="14">
        <f t="shared" si="572"/>
        <v>0</v>
      </c>
      <c r="I2262" s="14">
        <f t="shared" si="572"/>
        <v>0</v>
      </c>
      <c r="J2262" s="14">
        <f t="shared" si="572"/>
        <v>0</v>
      </c>
      <c r="K2262" s="14">
        <f t="shared" si="572"/>
        <v>-0.06</v>
      </c>
      <c r="L2262" s="14">
        <f t="shared" si="572"/>
        <v>0.01</v>
      </c>
      <c r="M2262" s="10">
        <v>2671</v>
      </c>
      <c r="N2262" s="69"/>
      <c r="O2262" s="11">
        <f>O2259+1</f>
        <v>552</v>
      </c>
    </row>
    <row r="2263" spans="1:15" x14ac:dyDescent="0.25">
      <c r="A2263" s="10"/>
      <c r="G2263" s="21"/>
      <c r="H2263" s="21"/>
      <c r="I2263" s="21"/>
      <c r="J2263" s="21"/>
      <c r="K2263" s="21"/>
      <c r="L2263" s="21"/>
      <c r="M2263" s="10"/>
      <c r="O2263" s="11"/>
    </row>
    <row r="2264" spans="1:15" x14ac:dyDescent="0.25">
      <c r="A2264" s="6">
        <v>1112</v>
      </c>
      <c r="B2264" s="5" t="s">
        <v>20</v>
      </c>
      <c r="C2264" s="5" t="s">
        <v>17</v>
      </c>
      <c r="D2264" s="5" t="s">
        <v>302</v>
      </c>
      <c r="E2264" s="5" t="s">
        <v>303</v>
      </c>
      <c r="F2264" s="5" t="s">
        <v>21</v>
      </c>
      <c r="G2264" s="22">
        <v>0</v>
      </c>
      <c r="H2264" s="22">
        <v>0</v>
      </c>
      <c r="I2264" s="22">
        <v>0</v>
      </c>
      <c r="J2264" s="22">
        <v>0</v>
      </c>
      <c r="K2264" s="22">
        <v>0</v>
      </c>
      <c r="L2264" s="22">
        <v>0</v>
      </c>
      <c r="M2264" s="10"/>
      <c r="O2264" s="11"/>
    </row>
    <row r="2265" spans="1:15" s="4" customFormat="1" x14ac:dyDescent="0.25">
      <c r="A2265" s="28"/>
      <c r="B2265" s="29"/>
      <c r="C2265" s="29"/>
      <c r="D2265" s="29"/>
      <c r="E2265" s="29"/>
      <c r="F2265" s="29" t="s">
        <v>662</v>
      </c>
      <c r="G2265" s="31">
        <f t="shared" ref="G2265:L2265" si="573">SUBTOTAL(9,G2264:G2264)</f>
        <v>0</v>
      </c>
      <c r="H2265" s="31">
        <f t="shared" si="573"/>
        <v>0</v>
      </c>
      <c r="I2265" s="31">
        <f t="shared" si="573"/>
        <v>0</v>
      </c>
      <c r="J2265" s="31">
        <f t="shared" si="573"/>
        <v>0</v>
      </c>
      <c r="K2265" s="31">
        <f t="shared" si="573"/>
        <v>0</v>
      </c>
      <c r="L2265" s="31">
        <f t="shared" si="573"/>
        <v>0</v>
      </c>
      <c r="M2265" s="15"/>
      <c r="N2265" s="67"/>
      <c r="O2265" s="11"/>
    </row>
    <row r="2266" spans="1:15" s="4" customFormat="1" x14ac:dyDescent="0.25">
      <c r="A2266" s="10"/>
      <c r="B2266"/>
      <c r="C2266"/>
      <c r="D2266"/>
      <c r="E2266"/>
      <c r="F2266"/>
      <c r="G2266" s="21"/>
      <c r="H2266" s="21"/>
      <c r="I2266" s="21"/>
      <c r="J2266" s="21"/>
      <c r="K2266" s="21"/>
      <c r="L2266" s="21"/>
      <c r="M2266" s="10"/>
      <c r="N2266" s="67"/>
      <c r="O2266" s="11"/>
    </row>
    <row r="2267" spans="1:15" x14ac:dyDescent="0.25">
      <c r="A2267" s="6">
        <v>1113</v>
      </c>
      <c r="B2267" s="5" t="s">
        <v>550</v>
      </c>
      <c r="C2267" s="5" t="s">
        <v>17</v>
      </c>
      <c r="D2267" s="5" t="s">
        <v>302</v>
      </c>
      <c r="E2267" s="5" t="s">
        <v>303</v>
      </c>
      <c r="F2267" s="5" t="s">
        <v>551</v>
      </c>
      <c r="G2267" s="22">
        <v>0</v>
      </c>
      <c r="H2267" s="22">
        <v>0</v>
      </c>
      <c r="I2267" s="22">
        <v>6421.62</v>
      </c>
      <c r="J2267" s="22">
        <v>0</v>
      </c>
      <c r="K2267" s="22">
        <v>-128.43</v>
      </c>
      <c r="L2267" s="22">
        <v>6293.19</v>
      </c>
      <c r="M2267" s="10"/>
      <c r="O2267" s="11"/>
    </row>
    <row r="2268" spans="1:15" x14ac:dyDescent="0.25">
      <c r="A2268" s="6"/>
      <c r="B2268" s="5"/>
      <c r="C2268" s="5"/>
      <c r="D2268" s="5" t="s">
        <v>302</v>
      </c>
      <c r="E2268" s="5" t="s">
        <v>303</v>
      </c>
      <c r="F2268" s="5" t="s">
        <v>551</v>
      </c>
      <c r="G2268" s="14">
        <f t="shared" ref="G2268:L2268" si="574">SUBTOTAL(9,G2267:G2267)</f>
        <v>0</v>
      </c>
      <c r="H2268" s="14">
        <f t="shared" si="574"/>
        <v>0</v>
      </c>
      <c r="I2268" s="14">
        <f t="shared" si="574"/>
        <v>6421.62</v>
      </c>
      <c r="J2268" s="14">
        <f t="shared" si="574"/>
        <v>0</v>
      </c>
      <c r="K2268" s="14">
        <f t="shared" si="574"/>
        <v>-128.43</v>
      </c>
      <c r="L2268" s="14">
        <f t="shared" si="574"/>
        <v>6293.19</v>
      </c>
      <c r="M2268" s="10">
        <v>2672</v>
      </c>
      <c r="N2268" s="69"/>
      <c r="O2268" s="11">
        <f>O2262+1</f>
        <v>553</v>
      </c>
    </row>
    <row r="2269" spans="1:15" s="4" customFormat="1" x14ac:dyDescent="0.25">
      <c r="A2269" s="10"/>
      <c r="B2269"/>
      <c r="C2269"/>
      <c r="D2269"/>
      <c r="E2269"/>
      <c r="F2269"/>
      <c r="G2269" s="21"/>
      <c r="H2269" s="21"/>
      <c r="I2269" s="21"/>
      <c r="J2269" s="21"/>
      <c r="K2269" s="21"/>
      <c r="L2269" s="21"/>
      <c r="M2269" s="10"/>
      <c r="N2269" s="67"/>
      <c r="O2269" s="11"/>
    </row>
    <row r="2270" spans="1:15" s="4" customFormat="1" x14ac:dyDescent="0.25">
      <c r="A2270" s="6">
        <v>1114</v>
      </c>
      <c r="B2270" s="5" t="s">
        <v>550</v>
      </c>
      <c r="C2270" s="5" t="s">
        <v>17</v>
      </c>
      <c r="D2270" s="5" t="s">
        <v>302</v>
      </c>
      <c r="E2270" s="5" t="s">
        <v>303</v>
      </c>
      <c r="F2270" s="5" t="s">
        <v>552</v>
      </c>
      <c r="G2270" s="22">
        <v>0</v>
      </c>
      <c r="H2270" s="22">
        <v>0</v>
      </c>
      <c r="I2270" s="22">
        <v>0.46</v>
      </c>
      <c r="J2270" s="22">
        <v>0</v>
      </c>
      <c r="K2270" s="22">
        <v>-0.01</v>
      </c>
      <c r="L2270" s="22">
        <v>0.45</v>
      </c>
      <c r="M2270" s="10"/>
      <c r="N2270" s="67"/>
      <c r="O2270" s="11"/>
    </row>
    <row r="2271" spans="1:15" x14ac:dyDescent="0.25">
      <c r="A2271" s="10"/>
      <c r="D2271" s="5" t="s">
        <v>302</v>
      </c>
      <c r="E2271" s="5" t="s">
        <v>303</v>
      </c>
      <c r="F2271" s="5" t="s">
        <v>552</v>
      </c>
      <c r="G2271" s="35">
        <f t="shared" ref="G2271:L2271" si="575">SUBTOTAL(9,G2270:G2270)</f>
        <v>0</v>
      </c>
      <c r="H2271" s="35">
        <f t="shared" si="575"/>
        <v>0</v>
      </c>
      <c r="I2271" s="35">
        <f t="shared" si="575"/>
        <v>0.46</v>
      </c>
      <c r="J2271" s="35">
        <f t="shared" si="575"/>
        <v>0</v>
      </c>
      <c r="K2271" s="35">
        <f t="shared" si="575"/>
        <v>-0.01</v>
      </c>
      <c r="L2271" s="35">
        <f t="shared" si="575"/>
        <v>0.45</v>
      </c>
      <c r="M2271" s="10">
        <v>2673</v>
      </c>
      <c r="N2271" s="69"/>
      <c r="O2271" s="11">
        <f>O2268+1</f>
        <v>554</v>
      </c>
    </row>
    <row r="2272" spans="1:15" x14ac:dyDescent="0.25">
      <c r="A2272" s="10"/>
      <c r="G2272" s="21"/>
      <c r="H2272" s="21"/>
      <c r="I2272" s="21"/>
      <c r="J2272" s="21"/>
      <c r="K2272" s="21"/>
      <c r="L2272" s="21"/>
      <c r="M2272" s="10"/>
      <c r="O2272" s="11"/>
    </row>
    <row r="2273" spans="1:15" s="4" customFormat="1" x14ac:dyDescent="0.25">
      <c r="A2273" s="6">
        <v>1115</v>
      </c>
      <c r="B2273" s="5" t="s">
        <v>22</v>
      </c>
      <c r="C2273" s="5" t="s">
        <v>17</v>
      </c>
      <c r="D2273" s="5" t="s">
        <v>304</v>
      </c>
      <c r="E2273" s="5" t="s">
        <v>305</v>
      </c>
      <c r="F2273" s="5" t="s">
        <v>23</v>
      </c>
      <c r="G2273" s="22">
        <v>0</v>
      </c>
      <c r="H2273" s="22">
        <v>0</v>
      </c>
      <c r="I2273" s="22">
        <v>0</v>
      </c>
      <c r="J2273" s="22">
        <v>0</v>
      </c>
      <c r="K2273" s="22">
        <v>0</v>
      </c>
      <c r="L2273" s="22">
        <v>0</v>
      </c>
      <c r="M2273" s="10"/>
      <c r="N2273" s="67"/>
      <c r="O2273" s="11"/>
    </row>
    <row r="2274" spans="1:15" s="4" customFormat="1" x14ac:dyDescent="0.25">
      <c r="A2274" s="28"/>
      <c r="B2274" s="29"/>
      <c r="C2274" s="29"/>
      <c r="D2274" s="29"/>
      <c r="E2274" s="29"/>
      <c r="F2274" s="29" t="s">
        <v>666</v>
      </c>
      <c r="G2274" s="31">
        <f t="shared" ref="G2274:L2274" si="576">SUBTOTAL(9,G2273:G2273)</f>
        <v>0</v>
      </c>
      <c r="H2274" s="31">
        <f t="shared" si="576"/>
        <v>0</v>
      </c>
      <c r="I2274" s="31">
        <f t="shared" si="576"/>
        <v>0</v>
      </c>
      <c r="J2274" s="31">
        <f t="shared" si="576"/>
        <v>0</v>
      </c>
      <c r="K2274" s="31">
        <f t="shared" si="576"/>
        <v>0</v>
      </c>
      <c r="L2274" s="31">
        <f t="shared" si="576"/>
        <v>0</v>
      </c>
      <c r="M2274" s="15"/>
      <c r="N2274" s="67"/>
      <c r="O2274" s="11"/>
    </row>
    <row r="2275" spans="1:15" x14ac:dyDescent="0.25">
      <c r="A2275" s="10"/>
      <c r="G2275" s="21"/>
      <c r="H2275" s="21"/>
      <c r="I2275" s="21"/>
      <c r="J2275" s="21"/>
      <c r="K2275" s="21"/>
      <c r="L2275" s="21"/>
      <c r="M2275" s="10"/>
      <c r="O2275" s="11"/>
    </row>
    <row r="2276" spans="1:15" x14ac:dyDescent="0.25">
      <c r="A2276" s="6">
        <v>1116</v>
      </c>
      <c r="B2276" s="5" t="s">
        <v>550</v>
      </c>
      <c r="C2276" s="5" t="s">
        <v>17</v>
      </c>
      <c r="D2276" s="5" t="s">
        <v>616</v>
      </c>
      <c r="E2276" s="5" t="s">
        <v>617</v>
      </c>
      <c r="F2276" s="5" t="s">
        <v>551</v>
      </c>
      <c r="G2276" s="22">
        <v>0</v>
      </c>
      <c r="H2276" s="22">
        <v>0</v>
      </c>
      <c r="I2276" s="22">
        <v>8.2100000000000009</v>
      </c>
      <c r="J2276" s="22">
        <v>0</v>
      </c>
      <c r="K2276" s="22">
        <v>-0.16</v>
      </c>
      <c r="L2276" s="22">
        <v>8.0500000000000007</v>
      </c>
      <c r="M2276" s="10"/>
      <c r="O2276" s="11"/>
    </row>
    <row r="2277" spans="1:15" s="4" customFormat="1" x14ac:dyDescent="0.25">
      <c r="A2277" s="6"/>
      <c r="B2277" s="5"/>
      <c r="C2277" s="5"/>
      <c r="D2277" s="5" t="s">
        <v>304</v>
      </c>
      <c r="E2277" s="5" t="s">
        <v>617</v>
      </c>
      <c r="F2277" s="5" t="s">
        <v>551</v>
      </c>
      <c r="G2277" s="14">
        <f t="shared" ref="G2277:L2277" si="577">SUBTOTAL(9,G2276:G2276)</f>
        <v>0</v>
      </c>
      <c r="H2277" s="14">
        <f t="shared" si="577"/>
        <v>0</v>
      </c>
      <c r="I2277" s="14">
        <f t="shared" si="577"/>
        <v>8.2100000000000009</v>
      </c>
      <c r="J2277" s="14">
        <f t="shared" si="577"/>
        <v>0</v>
      </c>
      <c r="K2277" s="14">
        <f t="shared" si="577"/>
        <v>-0.16</v>
      </c>
      <c r="L2277" s="14">
        <f t="shared" si="577"/>
        <v>8.0500000000000007</v>
      </c>
      <c r="M2277" s="10">
        <v>2674</v>
      </c>
      <c r="N2277" s="69"/>
      <c r="O2277" s="11">
        <f>O2271+1</f>
        <v>555</v>
      </c>
    </row>
    <row r="2278" spans="1:15" s="4" customFormat="1" x14ac:dyDescent="0.25">
      <c r="A2278" s="10"/>
      <c r="B2278"/>
      <c r="C2278"/>
      <c r="D2278"/>
      <c r="E2278"/>
      <c r="F2278"/>
      <c r="G2278" s="21"/>
      <c r="H2278" s="21"/>
      <c r="I2278" s="21"/>
      <c r="J2278" s="21"/>
      <c r="K2278" s="21"/>
      <c r="L2278" s="21"/>
      <c r="M2278" s="10"/>
      <c r="N2278" s="67"/>
      <c r="O2278" s="11"/>
    </row>
    <row r="2279" spans="1:15" x14ac:dyDescent="0.25">
      <c r="A2279" s="6">
        <v>1117</v>
      </c>
      <c r="B2279" s="5" t="s">
        <v>18</v>
      </c>
      <c r="C2279" s="5" t="s">
        <v>17</v>
      </c>
      <c r="D2279" s="5" t="s">
        <v>306</v>
      </c>
      <c r="E2279" s="5" t="s">
        <v>307</v>
      </c>
      <c r="F2279" s="5" t="s">
        <v>19</v>
      </c>
      <c r="G2279" s="22">
        <v>0</v>
      </c>
      <c r="H2279" s="22">
        <v>0</v>
      </c>
      <c r="I2279" s="22">
        <v>0.05</v>
      </c>
      <c r="J2279" s="22">
        <v>0</v>
      </c>
      <c r="K2279" s="22">
        <v>-0.01</v>
      </c>
      <c r="L2279" s="22">
        <v>0.04</v>
      </c>
      <c r="M2279" s="10"/>
      <c r="O2279" s="11"/>
    </row>
    <row r="2280" spans="1:15" x14ac:dyDescent="0.25">
      <c r="A2280" s="6"/>
      <c r="B2280" s="5"/>
      <c r="C2280" s="5"/>
      <c r="D2280" s="5" t="s">
        <v>306</v>
      </c>
      <c r="E2280" s="5" t="s">
        <v>307</v>
      </c>
      <c r="F2280" s="5" t="s">
        <v>19</v>
      </c>
      <c r="G2280" s="14">
        <f t="shared" ref="G2280:L2280" si="578">SUBTOTAL(9,G2279:G2279)</f>
        <v>0</v>
      </c>
      <c r="H2280" s="14">
        <f t="shared" si="578"/>
        <v>0</v>
      </c>
      <c r="I2280" s="14">
        <f t="shared" si="578"/>
        <v>0.05</v>
      </c>
      <c r="J2280" s="14">
        <f t="shared" si="578"/>
        <v>0</v>
      </c>
      <c r="K2280" s="14">
        <f t="shared" si="578"/>
        <v>-0.01</v>
      </c>
      <c r="L2280" s="14">
        <f t="shared" si="578"/>
        <v>0.04</v>
      </c>
      <c r="M2280" s="10">
        <v>2675</v>
      </c>
      <c r="N2280" s="69"/>
      <c r="O2280" s="11">
        <f>O2277+1</f>
        <v>556</v>
      </c>
    </row>
    <row r="2281" spans="1:15" s="4" customFormat="1" x14ac:dyDescent="0.25">
      <c r="A2281" s="10"/>
      <c r="B2281"/>
      <c r="C2281"/>
      <c r="D2281"/>
      <c r="E2281"/>
      <c r="F2281"/>
      <c r="G2281" s="21"/>
      <c r="H2281" s="21"/>
      <c r="I2281" s="21"/>
      <c r="J2281" s="21"/>
      <c r="K2281" s="21"/>
      <c r="L2281" s="21"/>
      <c r="M2281" s="10"/>
      <c r="N2281" s="67"/>
      <c r="O2281" s="11"/>
    </row>
    <row r="2282" spans="1:15" s="4" customFormat="1" x14ac:dyDescent="0.25">
      <c r="A2282" s="6">
        <v>1118</v>
      </c>
      <c r="B2282" s="5" t="s">
        <v>555</v>
      </c>
      <c r="C2282" s="5" t="s">
        <v>17</v>
      </c>
      <c r="D2282" s="5" t="s">
        <v>618</v>
      </c>
      <c r="E2282" s="5" t="s">
        <v>307</v>
      </c>
      <c r="F2282" s="5" t="s">
        <v>556</v>
      </c>
      <c r="G2282" s="22">
        <v>0</v>
      </c>
      <c r="H2282" s="22">
        <v>0</v>
      </c>
      <c r="I2282" s="22">
        <v>1.32</v>
      </c>
      <c r="J2282" s="22">
        <v>0</v>
      </c>
      <c r="K2282" s="22">
        <v>-0.03</v>
      </c>
      <c r="L2282" s="22">
        <v>1.29</v>
      </c>
      <c r="M2282" s="10"/>
      <c r="N2282" s="67"/>
      <c r="O2282" s="11"/>
    </row>
    <row r="2283" spans="1:15" x14ac:dyDescent="0.25">
      <c r="A2283" s="6"/>
      <c r="B2283" s="5"/>
      <c r="C2283" s="5"/>
      <c r="D2283" s="5" t="s">
        <v>618</v>
      </c>
      <c r="E2283" s="5" t="s">
        <v>307</v>
      </c>
      <c r="F2283" s="5" t="s">
        <v>556</v>
      </c>
      <c r="G2283" s="14">
        <f t="shared" ref="G2283:L2283" si="579">SUBTOTAL(9,G2282:G2282)</f>
        <v>0</v>
      </c>
      <c r="H2283" s="14">
        <f t="shared" si="579"/>
        <v>0</v>
      </c>
      <c r="I2283" s="14">
        <f t="shared" si="579"/>
        <v>1.32</v>
      </c>
      <c r="J2283" s="14">
        <f t="shared" si="579"/>
        <v>0</v>
      </c>
      <c r="K2283" s="14">
        <f t="shared" si="579"/>
        <v>-0.03</v>
      </c>
      <c r="L2283" s="14">
        <f t="shared" si="579"/>
        <v>1.29</v>
      </c>
      <c r="M2283" s="10">
        <v>2676</v>
      </c>
      <c r="N2283" s="69"/>
      <c r="O2283" s="11">
        <f>O2280+1</f>
        <v>557</v>
      </c>
    </row>
    <row r="2284" spans="1:15" x14ac:dyDescent="0.25">
      <c r="A2284" s="10"/>
      <c r="G2284" s="21"/>
      <c r="H2284" s="21"/>
      <c r="I2284" s="21"/>
      <c r="J2284" s="21"/>
      <c r="K2284" s="21"/>
      <c r="L2284" s="21"/>
      <c r="M2284" s="10"/>
      <c r="O2284" s="11"/>
    </row>
    <row r="2285" spans="1:15" s="4" customFormat="1" x14ac:dyDescent="0.25">
      <c r="A2285" s="6">
        <v>1119</v>
      </c>
      <c r="B2285" s="5" t="s">
        <v>557</v>
      </c>
      <c r="C2285" s="5" t="s">
        <v>17</v>
      </c>
      <c r="D2285" s="5" t="s">
        <v>618</v>
      </c>
      <c r="E2285" s="5" t="s">
        <v>307</v>
      </c>
      <c r="F2285" s="5" t="s">
        <v>558</v>
      </c>
      <c r="G2285" s="22">
        <v>0</v>
      </c>
      <c r="H2285" s="22">
        <v>0</v>
      </c>
      <c r="I2285" s="22">
        <v>0.98</v>
      </c>
      <c r="J2285" s="22">
        <v>0</v>
      </c>
      <c r="K2285" s="22">
        <v>-0.02</v>
      </c>
      <c r="L2285" s="22">
        <v>0.96</v>
      </c>
      <c r="M2285" s="10"/>
      <c r="N2285" s="67"/>
      <c r="O2285" s="11"/>
    </row>
    <row r="2286" spans="1:15" s="4" customFormat="1" x14ac:dyDescent="0.25">
      <c r="A2286" s="6"/>
      <c r="B2286" s="5"/>
      <c r="C2286" s="5"/>
      <c r="D2286" s="5" t="s">
        <v>618</v>
      </c>
      <c r="E2286" s="5" t="s">
        <v>307</v>
      </c>
      <c r="F2286" s="5" t="s">
        <v>558</v>
      </c>
      <c r="G2286" s="14">
        <f t="shared" ref="G2286:L2286" si="580">SUBTOTAL(9,G2285:G2285)</f>
        <v>0</v>
      </c>
      <c r="H2286" s="14">
        <f t="shared" si="580"/>
        <v>0</v>
      </c>
      <c r="I2286" s="14">
        <f t="shared" si="580"/>
        <v>0.98</v>
      </c>
      <c r="J2286" s="14">
        <f t="shared" si="580"/>
        <v>0</v>
      </c>
      <c r="K2286" s="14">
        <f t="shared" si="580"/>
        <v>-0.02</v>
      </c>
      <c r="L2286" s="14">
        <f t="shared" si="580"/>
        <v>0.96</v>
      </c>
      <c r="M2286" s="10">
        <v>2677</v>
      </c>
      <c r="N2286" s="69"/>
      <c r="O2286" s="11">
        <f>O2283+1</f>
        <v>558</v>
      </c>
    </row>
    <row r="2287" spans="1:15" x14ac:dyDescent="0.25">
      <c r="A2287" s="10"/>
      <c r="G2287" s="21"/>
      <c r="H2287" s="21"/>
      <c r="I2287" s="21"/>
      <c r="J2287" s="21"/>
      <c r="K2287" s="21"/>
      <c r="L2287" s="21"/>
      <c r="M2287" s="10"/>
      <c r="O2287" s="11"/>
    </row>
    <row r="2288" spans="1:15" x14ac:dyDescent="0.25">
      <c r="A2288" s="6">
        <v>1120</v>
      </c>
      <c r="B2288" s="5" t="s">
        <v>22</v>
      </c>
      <c r="C2288" s="5" t="s">
        <v>17</v>
      </c>
      <c r="D2288" s="5" t="s">
        <v>618</v>
      </c>
      <c r="E2288" s="5" t="s">
        <v>307</v>
      </c>
      <c r="F2288" s="5" t="s">
        <v>23</v>
      </c>
      <c r="G2288" s="22">
        <v>0</v>
      </c>
      <c r="H2288" s="22">
        <v>0</v>
      </c>
      <c r="I2288" s="22">
        <v>97.59</v>
      </c>
      <c r="J2288" s="22">
        <v>0</v>
      </c>
      <c r="K2288" s="22">
        <v>-1.95</v>
      </c>
      <c r="L2288" s="22">
        <v>95.64</v>
      </c>
      <c r="M2288" s="10"/>
      <c r="O2288" s="11"/>
    </row>
    <row r="2289" spans="1:15" s="4" customFormat="1" x14ac:dyDescent="0.25">
      <c r="A2289" s="6">
        <v>1121</v>
      </c>
      <c r="B2289" s="5" t="s">
        <v>22</v>
      </c>
      <c r="C2289" s="5" t="s">
        <v>17</v>
      </c>
      <c r="D2289" s="5" t="s">
        <v>618</v>
      </c>
      <c r="E2289" s="5" t="s">
        <v>307</v>
      </c>
      <c r="F2289" s="5" t="s">
        <v>23</v>
      </c>
      <c r="G2289" s="22">
        <v>0</v>
      </c>
      <c r="H2289" s="22">
        <v>0</v>
      </c>
      <c r="I2289" s="22">
        <v>0.02</v>
      </c>
      <c r="J2289" s="22">
        <v>0</v>
      </c>
      <c r="K2289" s="22">
        <v>0</v>
      </c>
      <c r="L2289" s="22">
        <v>0.02</v>
      </c>
      <c r="M2289" s="10"/>
      <c r="N2289" s="67"/>
      <c r="O2289" s="11"/>
    </row>
    <row r="2290" spans="1:15" s="4" customFormat="1" x14ac:dyDescent="0.25">
      <c r="A2290" s="6">
        <v>1122</v>
      </c>
      <c r="B2290" s="5" t="s">
        <v>22</v>
      </c>
      <c r="C2290" s="5" t="s">
        <v>49</v>
      </c>
      <c r="D2290" s="5" t="s">
        <v>618</v>
      </c>
      <c r="E2290" s="5" t="s">
        <v>307</v>
      </c>
      <c r="F2290" s="5" t="s">
        <v>23</v>
      </c>
      <c r="G2290" s="22">
        <v>0</v>
      </c>
      <c r="H2290" s="22">
        <v>0</v>
      </c>
      <c r="I2290" s="22">
        <v>0.12</v>
      </c>
      <c r="J2290" s="22">
        <v>0</v>
      </c>
      <c r="K2290" s="22">
        <v>0</v>
      </c>
      <c r="L2290" s="22">
        <v>0.12</v>
      </c>
      <c r="M2290" s="10"/>
      <c r="N2290" s="70">
        <v>0.12</v>
      </c>
      <c r="O2290" s="11"/>
    </row>
    <row r="2291" spans="1:15" x14ac:dyDescent="0.25">
      <c r="A2291" s="10"/>
      <c r="D2291" s="5" t="s">
        <v>306</v>
      </c>
      <c r="E2291" s="5" t="s">
        <v>307</v>
      </c>
      <c r="F2291" s="5" t="s">
        <v>23</v>
      </c>
      <c r="G2291" s="35">
        <f t="shared" ref="G2291:L2291" si="581">SUBTOTAL(9,G2288:G2290)</f>
        <v>0</v>
      </c>
      <c r="H2291" s="35">
        <f t="shared" si="581"/>
        <v>0</v>
      </c>
      <c r="I2291" s="35">
        <f t="shared" si="581"/>
        <v>97.73</v>
      </c>
      <c r="J2291" s="35">
        <f t="shared" si="581"/>
        <v>0</v>
      </c>
      <c r="K2291" s="35">
        <f t="shared" si="581"/>
        <v>-1.95</v>
      </c>
      <c r="L2291" s="35">
        <f t="shared" si="581"/>
        <v>95.78</v>
      </c>
      <c r="M2291" s="10">
        <v>2678</v>
      </c>
      <c r="N2291" s="71">
        <f>SUBTOTAL(9,N2288:N2290)</f>
        <v>0.12</v>
      </c>
      <c r="O2291" s="11">
        <f>O2286+1</f>
        <v>559</v>
      </c>
    </row>
    <row r="2292" spans="1:15" x14ac:dyDescent="0.25">
      <c r="A2292" s="10"/>
      <c r="G2292" s="21"/>
      <c r="H2292" s="21"/>
      <c r="I2292" s="21"/>
      <c r="J2292" s="21"/>
      <c r="K2292" s="21"/>
      <c r="L2292" s="21"/>
      <c r="M2292" s="10"/>
      <c r="O2292" s="11"/>
    </row>
    <row r="2293" spans="1:15" s="4" customFormat="1" x14ac:dyDescent="0.25">
      <c r="A2293" s="6">
        <v>1123</v>
      </c>
      <c r="B2293" s="5" t="s">
        <v>22</v>
      </c>
      <c r="C2293" s="5" t="s">
        <v>17</v>
      </c>
      <c r="D2293" s="5" t="s">
        <v>618</v>
      </c>
      <c r="E2293" s="5" t="s">
        <v>307</v>
      </c>
      <c r="F2293" s="5" t="s">
        <v>24</v>
      </c>
      <c r="G2293" s="22">
        <v>0</v>
      </c>
      <c r="H2293" s="22">
        <v>0</v>
      </c>
      <c r="I2293" s="22">
        <v>0.19</v>
      </c>
      <c r="J2293" s="22">
        <v>0</v>
      </c>
      <c r="K2293" s="22">
        <v>0</v>
      </c>
      <c r="L2293" s="22">
        <v>0.19</v>
      </c>
      <c r="M2293" s="10"/>
      <c r="N2293" s="67"/>
      <c r="O2293" s="11"/>
    </row>
    <row r="2294" spans="1:15" s="4" customFormat="1" x14ac:dyDescent="0.25">
      <c r="A2294" s="6">
        <v>1124</v>
      </c>
      <c r="B2294" s="5" t="s">
        <v>22</v>
      </c>
      <c r="C2294" s="5" t="s">
        <v>17</v>
      </c>
      <c r="D2294" s="5" t="s">
        <v>618</v>
      </c>
      <c r="E2294" s="5" t="s">
        <v>307</v>
      </c>
      <c r="F2294" s="5" t="s">
        <v>24</v>
      </c>
      <c r="G2294" s="22">
        <v>0</v>
      </c>
      <c r="H2294" s="22">
        <v>0</v>
      </c>
      <c r="I2294" s="22">
        <v>0</v>
      </c>
      <c r="J2294" s="22">
        <v>0</v>
      </c>
      <c r="K2294" s="22">
        <v>0</v>
      </c>
      <c r="L2294" s="22">
        <v>0</v>
      </c>
      <c r="M2294" s="10"/>
      <c r="N2294" s="67"/>
      <c r="O2294" s="11"/>
    </row>
    <row r="2295" spans="1:15" x14ac:dyDescent="0.25">
      <c r="A2295" s="6"/>
      <c r="B2295" s="5"/>
      <c r="C2295" s="5"/>
      <c r="D2295" s="5" t="s">
        <v>306</v>
      </c>
      <c r="E2295" s="5" t="s">
        <v>307</v>
      </c>
      <c r="F2295" s="5" t="s">
        <v>24</v>
      </c>
      <c r="G2295" s="14">
        <f t="shared" ref="G2295:L2295" si="582">SUBTOTAL(9,G2293:G2294)</f>
        <v>0</v>
      </c>
      <c r="H2295" s="14">
        <f t="shared" si="582"/>
        <v>0</v>
      </c>
      <c r="I2295" s="14">
        <f t="shared" si="582"/>
        <v>0.19</v>
      </c>
      <c r="J2295" s="14">
        <f t="shared" si="582"/>
        <v>0</v>
      </c>
      <c r="K2295" s="14">
        <f t="shared" si="582"/>
        <v>0</v>
      </c>
      <c r="L2295" s="14">
        <f t="shared" si="582"/>
        <v>0.19</v>
      </c>
      <c r="M2295" s="10">
        <v>2679</v>
      </c>
      <c r="N2295" s="69"/>
      <c r="O2295" s="11">
        <f>O2291+1</f>
        <v>560</v>
      </c>
    </row>
    <row r="2296" spans="1:15" x14ac:dyDescent="0.25">
      <c r="A2296" s="10"/>
      <c r="G2296" s="21"/>
      <c r="H2296" s="21"/>
      <c r="I2296" s="21"/>
      <c r="J2296" s="21"/>
      <c r="K2296" s="21"/>
      <c r="L2296" s="21"/>
      <c r="M2296" s="10"/>
      <c r="O2296" s="11"/>
    </row>
    <row r="2297" spans="1:15" s="4" customFormat="1" x14ac:dyDescent="0.25">
      <c r="A2297" s="6">
        <v>1125</v>
      </c>
      <c r="B2297" s="5" t="s">
        <v>550</v>
      </c>
      <c r="C2297" s="5" t="s">
        <v>17</v>
      </c>
      <c r="D2297" s="5" t="s">
        <v>618</v>
      </c>
      <c r="E2297" s="5" t="s">
        <v>307</v>
      </c>
      <c r="F2297" s="5" t="s">
        <v>551</v>
      </c>
      <c r="G2297" s="22">
        <v>0</v>
      </c>
      <c r="H2297" s="22">
        <v>0</v>
      </c>
      <c r="I2297" s="22">
        <v>11.63</v>
      </c>
      <c r="J2297" s="22">
        <v>0</v>
      </c>
      <c r="K2297" s="22">
        <v>-0.23</v>
      </c>
      <c r="L2297" s="22">
        <v>11.4</v>
      </c>
      <c r="M2297" s="10"/>
      <c r="N2297" s="67"/>
      <c r="O2297" s="11"/>
    </row>
    <row r="2298" spans="1:15" s="4" customFormat="1" x14ac:dyDescent="0.25">
      <c r="A2298" s="6">
        <v>1126</v>
      </c>
      <c r="B2298" s="5" t="s">
        <v>550</v>
      </c>
      <c r="C2298" s="5" t="s">
        <v>17</v>
      </c>
      <c r="D2298" s="5" t="s">
        <v>618</v>
      </c>
      <c r="E2298" s="5" t="s">
        <v>307</v>
      </c>
      <c r="F2298" s="5" t="s">
        <v>551</v>
      </c>
      <c r="G2298" s="22">
        <v>0</v>
      </c>
      <c r="H2298" s="22">
        <v>0</v>
      </c>
      <c r="I2298" s="22">
        <v>154.86000000000001</v>
      </c>
      <c r="J2298" s="22">
        <v>0</v>
      </c>
      <c r="K2298" s="22">
        <v>-3.1</v>
      </c>
      <c r="L2298" s="22">
        <v>151.76</v>
      </c>
      <c r="M2298" s="10"/>
      <c r="N2298" s="67"/>
      <c r="O2298" s="11"/>
    </row>
    <row r="2299" spans="1:15" x14ac:dyDescent="0.25">
      <c r="A2299" s="6"/>
      <c r="B2299" s="5"/>
      <c r="C2299" s="5"/>
      <c r="D2299" s="5" t="s">
        <v>618</v>
      </c>
      <c r="E2299" s="5" t="s">
        <v>307</v>
      </c>
      <c r="F2299" s="5" t="s">
        <v>551</v>
      </c>
      <c r="G2299" s="14">
        <f t="shared" ref="G2299:L2299" si="583">SUBTOTAL(9,G2297:G2298)</f>
        <v>0</v>
      </c>
      <c r="H2299" s="14">
        <f t="shared" si="583"/>
        <v>0</v>
      </c>
      <c r="I2299" s="14">
        <f t="shared" si="583"/>
        <v>166.49</v>
      </c>
      <c r="J2299" s="14">
        <f t="shared" si="583"/>
        <v>0</v>
      </c>
      <c r="K2299" s="14">
        <f t="shared" si="583"/>
        <v>-3.33</v>
      </c>
      <c r="L2299" s="14">
        <f t="shared" si="583"/>
        <v>163.16</v>
      </c>
      <c r="M2299" s="10">
        <v>2680</v>
      </c>
      <c r="N2299" s="69"/>
      <c r="O2299" s="11">
        <f>O2295+1</f>
        <v>561</v>
      </c>
    </row>
    <row r="2300" spans="1:15" x14ac:dyDescent="0.25">
      <c r="A2300" s="10"/>
      <c r="G2300" s="21"/>
      <c r="H2300" s="21"/>
      <c r="I2300" s="21"/>
      <c r="J2300" s="21"/>
      <c r="K2300" s="21"/>
      <c r="L2300" s="21"/>
      <c r="M2300" s="10"/>
      <c r="O2300" s="11"/>
    </row>
    <row r="2301" spans="1:15" s="4" customFormat="1" x14ac:dyDescent="0.25">
      <c r="A2301" s="6">
        <v>1127</v>
      </c>
      <c r="B2301" s="5" t="s">
        <v>550</v>
      </c>
      <c r="C2301" s="5" t="s">
        <v>17</v>
      </c>
      <c r="D2301" s="5" t="s">
        <v>618</v>
      </c>
      <c r="E2301" s="5" t="s">
        <v>307</v>
      </c>
      <c r="F2301" s="5" t="s">
        <v>552</v>
      </c>
      <c r="G2301" s="22">
        <v>0</v>
      </c>
      <c r="H2301" s="22">
        <v>0</v>
      </c>
      <c r="I2301" s="22">
        <v>0.01</v>
      </c>
      <c r="J2301" s="22">
        <v>0</v>
      </c>
      <c r="K2301" s="22">
        <v>0</v>
      </c>
      <c r="L2301" s="22">
        <v>0.01</v>
      </c>
      <c r="M2301" s="10"/>
      <c r="N2301" s="67"/>
      <c r="O2301" s="11"/>
    </row>
    <row r="2302" spans="1:15" s="4" customFormat="1" x14ac:dyDescent="0.25">
      <c r="A2302" s="6"/>
      <c r="B2302" s="5"/>
      <c r="C2302" s="5"/>
      <c r="D2302" s="5" t="s">
        <v>618</v>
      </c>
      <c r="E2302" s="5" t="s">
        <v>307</v>
      </c>
      <c r="F2302" s="5" t="s">
        <v>552</v>
      </c>
      <c r="G2302" s="14">
        <f t="shared" ref="G2302:L2302" si="584">SUBTOTAL(9,G2301:G2301)</f>
        <v>0</v>
      </c>
      <c r="H2302" s="14">
        <f t="shared" si="584"/>
        <v>0</v>
      </c>
      <c r="I2302" s="14">
        <f t="shared" si="584"/>
        <v>0.01</v>
      </c>
      <c r="J2302" s="14">
        <f t="shared" si="584"/>
        <v>0</v>
      </c>
      <c r="K2302" s="14">
        <f t="shared" si="584"/>
        <v>0</v>
      </c>
      <c r="L2302" s="14">
        <f t="shared" si="584"/>
        <v>0.01</v>
      </c>
      <c r="M2302" s="10">
        <v>2681</v>
      </c>
      <c r="N2302" s="69"/>
      <c r="O2302" s="11">
        <f>O2299+1</f>
        <v>562</v>
      </c>
    </row>
    <row r="2303" spans="1:15" x14ac:dyDescent="0.25">
      <c r="A2303" s="10"/>
      <c r="G2303" s="21"/>
      <c r="H2303" s="21"/>
      <c r="I2303" s="21"/>
      <c r="J2303" s="21"/>
      <c r="K2303" s="21"/>
      <c r="L2303" s="21"/>
      <c r="M2303" s="10"/>
      <c r="O2303" s="11"/>
    </row>
    <row r="2304" spans="1:15" x14ac:dyDescent="0.25">
      <c r="A2304" s="6">
        <v>1128</v>
      </c>
      <c r="B2304" s="5" t="s">
        <v>559</v>
      </c>
      <c r="C2304" s="5" t="s">
        <v>17</v>
      </c>
      <c r="D2304" s="5" t="s">
        <v>308</v>
      </c>
      <c r="E2304" s="5" t="s">
        <v>309</v>
      </c>
      <c r="F2304" s="5" t="s">
        <v>560</v>
      </c>
      <c r="G2304" s="22">
        <v>0.11</v>
      </c>
      <c r="H2304" s="22">
        <v>0</v>
      </c>
      <c r="I2304" s="22">
        <v>0</v>
      </c>
      <c r="J2304" s="22">
        <v>0</v>
      </c>
      <c r="K2304" s="22">
        <v>0</v>
      </c>
      <c r="L2304" s="22">
        <v>0.11</v>
      </c>
      <c r="M2304" s="10"/>
      <c r="O2304" s="11"/>
    </row>
    <row r="2305" spans="1:15" s="4" customFormat="1" x14ac:dyDescent="0.25">
      <c r="A2305" s="6"/>
      <c r="B2305" s="5"/>
      <c r="C2305" s="5"/>
      <c r="D2305" s="5" t="s">
        <v>308</v>
      </c>
      <c r="E2305" s="5" t="s">
        <v>309</v>
      </c>
      <c r="F2305" s="5" t="s">
        <v>560</v>
      </c>
      <c r="G2305" s="14">
        <f t="shared" ref="G2305:L2305" si="585">SUBTOTAL(9,G2304:G2304)</f>
        <v>0.11</v>
      </c>
      <c r="H2305" s="14">
        <f t="shared" si="585"/>
        <v>0</v>
      </c>
      <c r="I2305" s="14">
        <f t="shared" si="585"/>
        <v>0</v>
      </c>
      <c r="J2305" s="14">
        <f t="shared" si="585"/>
        <v>0</v>
      </c>
      <c r="K2305" s="14">
        <f t="shared" si="585"/>
        <v>0</v>
      </c>
      <c r="L2305" s="14">
        <f t="shared" si="585"/>
        <v>0.11</v>
      </c>
      <c r="M2305" s="10">
        <v>2682</v>
      </c>
      <c r="N2305" s="69"/>
      <c r="O2305" s="11">
        <f>O2302+1</f>
        <v>563</v>
      </c>
    </row>
    <row r="2306" spans="1:15" x14ac:dyDescent="0.25">
      <c r="A2306" s="10"/>
      <c r="G2306" s="21"/>
      <c r="H2306" s="21"/>
      <c r="I2306" s="21"/>
      <c r="J2306" s="21"/>
      <c r="K2306" s="21"/>
      <c r="L2306" s="21"/>
      <c r="M2306" s="10"/>
      <c r="O2306" s="11"/>
    </row>
    <row r="2307" spans="1:15" x14ac:dyDescent="0.25">
      <c r="A2307" s="6">
        <v>1129</v>
      </c>
      <c r="B2307" s="5" t="s">
        <v>18</v>
      </c>
      <c r="C2307" s="5" t="s">
        <v>17</v>
      </c>
      <c r="D2307" s="5" t="s">
        <v>308</v>
      </c>
      <c r="E2307" s="5" t="s">
        <v>309</v>
      </c>
      <c r="F2307" s="5" t="s">
        <v>19</v>
      </c>
      <c r="G2307" s="22">
        <v>1.1000000000000001</v>
      </c>
      <c r="H2307" s="22">
        <v>0</v>
      </c>
      <c r="I2307" s="22">
        <v>0</v>
      </c>
      <c r="J2307" s="22">
        <v>0</v>
      </c>
      <c r="K2307" s="22">
        <v>-0.98</v>
      </c>
      <c r="L2307" s="22">
        <v>0.12</v>
      </c>
      <c r="M2307" s="10"/>
      <c r="O2307" s="11"/>
    </row>
    <row r="2308" spans="1:15" s="4" customFormat="1" x14ac:dyDescent="0.25">
      <c r="A2308" s="6"/>
      <c r="B2308" s="5"/>
      <c r="C2308" s="5"/>
      <c r="D2308" s="5" t="s">
        <v>308</v>
      </c>
      <c r="E2308" s="5" t="s">
        <v>309</v>
      </c>
      <c r="F2308" s="5" t="s">
        <v>19</v>
      </c>
      <c r="G2308" s="14">
        <f t="shared" ref="G2308:L2308" si="586">SUBTOTAL(9,G2307:G2307)</f>
        <v>1.1000000000000001</v>
      </c>
      <c r="H2308" s="14">
        <f t="shared" si="586"/>
        <v>0</v>
      </c>
      <c r="I2308" s="14">
        <f t="shared" si="586"/>
        <v>0</v>
      </c>
      <c r="J2308" s="14">
        <f t="shared" si="586"/>
        <v>0</v>
      </c>
      <c r="K2308" s="14">
        <f t="shared" si="586"/>
        <v>-0.98</v>
      </c>
      <c r="L2308" s="14">
        <f t="shared" si="586"/>
        <v>0.12</v>
      </c>
      <c r="M2308" s="10">
        <v>2683</v>
      </c>
      <c r="N2308" s="69"/>
      <c r="O2308" s="11">
        <f>O2305+1</f>
        <v>564</v>
      </c>
    </row>
    <row r="2309" spans="1:15" x14ac:dyDescent="0.25">
      <c r="A2309" s="10"/>
      <c r="G2309" s="21"/>
      <c r="H2309" s="21"/>
      <c r="I2309" s="21"/>
      <c r="J2309" s="21"/>
      <c r="K2309" s="21"/>
      <c r="L2309" s="21"/>
      <c r="M2309" s="10"/>
      <c r="O2309" s="11"/>
    </row>
    <row r="2310" spans="1:15" x14ac:dyDescent="0.25">
      <c r="A2310" s="6">
        <v>1130</v>
      </c>
      <c r="B2310" s="5" t="s">
        <v>550</v>
      </c>
      <c r="C2310" s="5" t="s">
        <v>17</v>
      </c>
      <c r="D2310" s="5" t="s">
        <v>308</v>
      </c>
      <c r="E2310" s="5" t="s">
        <v>309</v>
      </c>
      <c r="F2310" s="5" t="s">
        <v>551</v>
      </c>
      <c r="G2310" s="22">
        <v>5909.21</v>
      </c>
      <c r="H2310" s="22">
        <v>0</v>
      </c>
      <c r="I2310" s="22">
        <v>0</v>
      </c>
      <c r="J2310" s="22">
        <v>0</v>
      </c>
      <c r="K2310" s="22">
        <v>-118.18</v>
      </c>
      <c r="L2310" s="22">
        <v>5791.03</v>
      </c>
      <c r="M2310" s="10"/>
      <c r="O2310" s="11"/>
    </row>
    <row r="2311" spans="1:15" s="4" customFormat="1" x14ac:dyDescent="0.25">
      <c r="A2311" s="6">
        <v>1131</v>
      </c>
      <c r="B2311" s="5" t="s">
        <v>550</v>
      </c>
      <c r="C2311" s="5" t="s">
        <v>13</v>
      </c>
      <c r="D2311" s="5" t="s">
        <v>308</v>
      </c>
      <c r="E2311" s="5" t="s">
        <v>309</v>
      </c>
      <c r="F2311" s="5" t="s">
        <v>551</v>
      </c>
      <c r="G2311" s="22">
        <v>0</v>
      </c>
      <c r="H2311" s="22">
        <v>0</v>
      </c>
      <c r="I2311" s="22">
        <v>0</v>
      </c>
      <c r="J2311" s="22">
        <v>709.11</v>
      </c>
      <c r="K2311" s="22">
        <v>0</v>
      </c>
      <c r="L2311" s="22">
        <v>709.11</v>
      </c>
      <c r="M2311" s="10"/>
      <c r="N2311" s="67"/>
      <c r="O2311" s="11"/>
    </row>
    <row r="2312" spans="1:15" s="4" customFormat="1" x14ac:dyDescent="0.25">
      <c r="A2312" s="6"/>
      <c r="B2312" s="5"/>
      <c r="C2312" s="5"/>
      <c r="D2312" s="5" t="s">
        <v>308</v>
      </c>
      <c r="E2312" s="5" t="s">
        <v>309</v>
      </c>
      <c r="F2312" s="5" t="s">
        <v>551</v>
      </c>
      <c r="G2312" s="14">
        <f t="shared" ref="G2312:L2312" si="587">SUBTOTAL(9,G2310:G2311)</f>
        <v>5909.21</v>
      </c>
      <c r="H2312" s="14">
        <f t="shared" si="587"/>
        <v>0</v>
      </c>
      <c r="I2312" s="14">
        <f t="shared" si="587"/>
        <v>0</v>
      </c>
      <c r="J2312" s="14">
        <f t="shared" si="587"/>
        <v>709.11</v>
      </c>
      <c r="K2312" s="14">
        <f t="shared" si="587"/>
        <v>-118.18</v>
      </c>
      <c r="L2312" s="14">
        <f t="shared" si="587"/>
        <v>6500.1399999999994</v>
      </c>
      <c r="M2312" s="10">
        <v>2684</v>
      </c>
      <c r="N2312" s="69"/>
      <c r="O2312" s="11">
        <f>O2308+1</f>
        <v>565</v>
      </c>
    </row>
    <row r="2313" spans="1:15" x14ac:dyDescent="0.25">
      <c r="A2313" s="10"/>
      <c r="G2313" s="21"/>
      <c r="H2313" s="21"/>
      <c r="I2313" s="21"/>
      <c r="J2313" s="21"/>
      <c r="K2313" s="21"/>
      <c r="L2313" s="21"/>
      <c r="M2313" s="10"/>
      <c r="O2313" s="11"/>
    </row>
    <row r="2314" spans="1:15" x14ac:dyDescent="0.25">
      <c r="A2314" s="6">
        <v>1132</v>
      </c>
      <c r="B2314" s="5" t="s">
        <v>550</v>
      </c>
      <c r="C2314" s="5" t="s">
        <v>17</v>
      </c>
      <c r="D2314" s="5" t="s">
        <v>308</v>
      </c>
      <c r="E2314" s="5" t="s">
        <v>309</v>
      </c>
      <c r="F2314" s="5" t="s">
        <v>552</v>
      </c>
      <c r="G2314" s="22">
        <v>0.43</v>
      </c>
      <c r="H2314" s="22">
        <v>0</v>
      </c>
      <c r="I2314" s="22">
        <v>0</v>
      </c>
      <c r="J2314" s="22">
        <v>0</v>
      </c>
      <c r="K2314" s="22">
        <v>-0.01</v>
      </c>
      <c r="L2314" s="22">
        <v>0.42</v>
      </c>
      <c r="M2314" s="10"/>
      <c r="O2314" s="11"/>
    </row>
    <row r="2315" spans="1:15" s="4" customFormat="1" x14ac:dyDescent="0.25">
      <c r="A2315" s="6">
        <v>1133</v>
      </c>
      <c r="B2315" s="5" t="s">
        <v>550</v>
      </c>
      <c r="C2315" s="5" t="s">
        <v>13</v>
      </c>
      <c r="D2315" s="5" t="s">
        <v>308</v>
      </c>
      <c r="E2315" s="5" t="s">
        <v>309</v>
      </c>
      <c r="F2315" s="5" t="s">
        <v>552</v>
      </c>
      <c r="G2315" s="22">
        <v>0</v>
      </c>
      <c r="H2315" s="22">
        <v>0</v>
      </c>
      <c r="I2315" s="22">
        <v>0</v>
      </c>
      <c r="J2315" s="22">
        <v>0.05</v>
      </c>
      <c r="K2315" s="22">
        <v>0</v>
      </c>
      <c r="L2315" s="22">
        <v>0.05</v>
      </c>
      <c r="M2315" s="10"/>
      <c r="N2315" s="67"/>
      <c r="O2315" s="11"/>
    </row>
    <row r="2316" spans="1:15" s="4" customFormat="1" x14ac:dyDescent="0.25">
      <c r="A2316" s="6"/>
      <c r="B2316" s="5"/>
      <c r="C2316" s="5"/>
      <c r="D2316" s="5" t="s">
        <v>308</v>
      </c>
      <c r="E2316" s="5" t="s">
        <v>309</v>
      </c>
      <c r="F2316" s="5" t="s">
        <v>552</v>
      </c>
      <c r="G2316" s="14">
        <f t="shared" ref="G2316:L2316" si="588">SUBTOTAL(9,G2314:G2315)</f>
        <v>0.43</v>
      </c>
      <c r="H2316" s="14">
        <f t="shared" si="588"/>
        <v>0</v>
      </c>
      <c r="I2316" s="14">
        <f t="shared" si="588"/>
        <v>0</v>
      </c>
      <c r="J2316" s="14">
        <f t="shared" si="588"/>
        <v>0.05</v>
      </c>
      <c r="K2316" s="14">
        <f t="shared" si="588"/>
        <v>-0.01</v>
      </c>
      <c r="L2316" s="14">
        <f t="shared" si="588"/>
        <v>0.47</v>
      </c>
      <c r="M2316" s="10">
        <v>2685</v>
      </c>
      <c r="N2316" s="69"/>
      <c r="O2316" s="11">
        <f>O2312+1</f>
        <v>566</v>
      </c>
    </row>
    <row r="2317" spans="1:15" x14ac:dyDescent="0.25">
      <c r="A2317" s="10"/>
      <c r="G2317" s="21"/>
      <c r="H2317" s="21"/>
      <c r="I2317" s="21"/>
      <c r="J2317" s="21"/>
      <c r="K2317" s="21"/>
      <c r="L2317" s="21"/>
      <c r="M2317" s="10"/>
      <c r="O2317" s="11"/>
    </row>
    <row r="2318" spans="1:15" x14ac:dyDescent="0.25">
      <c r="A2318" s="6">
        <v>1134</v>
      </c>
      <c r="B2318" s="5" t="s">
        <v>12</v>
      </c>
      <c r="C2318" s="5" t="s">
        <v>13</v>
      </c>
      <c r="D2318" s="5" t="s">
        <v>310</v>
      </c>
      <c r="E2318" s="5" t="s">
        <v>311</v>
      </c>
      <c r="F2318" s="5" t="s">
        <v>16</v>
      </c>
      <c r="G2318" s="22">
        <v>0</v>
      </c>
      <c r="H2318" s="22">
        <v>0</v>
      </c>
      <c r="I2318" s="22">
        <v>0</v>
      </c>
      <c r="J2318" s="22">
        <v>250.05</v>
      </c>
      <c r="K2318" s="22">
        <v>0</v>
      </c>
      <c r="L2318" s="22">
        <v>250.05</v>
      </c>
      <c r="M2318" s="10"/>
      <c r="O2318" s="11"/>
    </row>
    <row r="2319" spans="1:15" s="4" customFormat="1" x14ac:dyDescent="0.25">
      <c r="A2319" s="6"/>
      <c r="B2319" s="5"/>
      <c r="C2319" s="5"/>
      <c r="D2319" s="5" t="s">
        <v>310</v>
      </c>
      <c r="E2319" s="5" t="s">
        <v>311</v>
      </c>
      <c r="F2319" s="5" t="s">
        <v>16</v>
      </c>
      <c r="G2319" s="14">
        <f t="shared" ref="G2319:L2319" si="589">SUBTOTAL(9,G2318:G2318)</f>
        <v>0</v>
      </c>
      <c r="H2319" s="14">
        <f t="shared" si="589"/>
        <v>0</v>
      </c>
      <c r="I2319" s="14">
        <f t="shared" si="589"/>
        <v>0</v>
      </c>
      <c r="J2319" s="14">
        <f t="shared" si="589"/>
        <v>250.05</v>
      </c>
      <c r="K2319" s="14">
        <f t="shared" si="589"/>
        <v>0</v>
      </c>
      <c r="L2319" s="14">
        <f t="shared" si="589"/>
        <v>250.05</v>
      </c>
      <c r="M2319" s="10">
        <v>2686</v>
      </c>
      <c r="N2319" s="69"/>
      <c r="O2319" s="11">
        <f>O2316+1</f>
        <v>567</v>
      </c>
    </row>
    <row r="2320" spans="1:15" s="4" customFormat="1" x14ac:dyDescent="0.25">
      <c r="A2320" s="10"/>
      <c r="B2320"/>
      <c r="C2320"/>
      <c r="D2320"/>
      <c r="E2320"/>
      <c r="F2320"/>
      <c r="G2320" s="21"/>
      <c r="H2320" s="21"/>
      <c r="I2320" s="21"/>
      <c r="J2320" s="21"/>
      <c r="K2320" s="21"/>
      <c r="L2320" s="21"/>
      <c r="M2320" s="10"/>
      <c r="N2320" s="67"/>
      <c r="O2320" s="11"/>
    </row>
    <row r="2321" spans="1:15" x14ac:dyDescent="0.25">
      <c r="A2321" s="6">
        <v>1135</v>
      </c>
      <c r="B2321" s="5" t="s">
        <v>555</v>
      </c>
      <c r="C2321" s="5" t="s">
        <v>17</v>
      </c>
      <c r="D2321" s="5" t="s">
        <v>310</v>
      </c>
      <c r="E2321" s="5" t="s">
        <v>311</v>
      </c>
      <c r="F2321" s="5" t="s">
        <v>556</v>
      </c>
      <c r="G2321" s="22">
        <v>2727.98</v>
      </c>
      <c r="H2321" s="22">
        <v>0</v>
      </c>
      <c r="I2321" s="22">
        <v>0</v>
      </c>
      <c r="J2321" s="22">
        <v>0</v>
      </c>
      <c r="K2321" s="22">
        <v>0</v>
      </c>
      <c r="L2321" s="22">
        <v>2727.98</v>
      </c>
      <c r="M2321" s="10"/>
      <c r="O2321" s="11"/>
    </row>
    <row r="2322" spans="1:15" x14ac:dyDescent="0.25">
      <c r="A2322" s="6"/>
      <c r="B2322" s="5"/>
      <c r="C2322" s="5"/>
      <c r="D2322" s="5" t="s">
        <v>310</v>
      </c>
      <c r="E2322" s="5" t="s">
        <v>311</v>
      </c>
      <c r="F2322" s="5" t="s">
        <v>556</v>
      </c>
      <c r="G2322" s="14">
        <f t="shared" ref="G2322:L2322" si="590">SUBTOTAL(9,G2321:G2321)</f>
        <v>2727.98</v>
      </c>
      <c r="H2322" s="14">
        <f t="shared" si="590"/>
        <v>0</v>
      </c>
      <c r="I2322" s="14">
        <f t="shared" si="590"/>
        <v>0</v>
      </c>
      <c r="J2322" s="14">
        <f t="shared" si="590"/>
        <v>0</v>
      </c>
      <c r="K2322" s="14">
        <f t="shared" si="590"/>
        <v>0</v>
      </c>
      <c r="L2322" s="14">
        <f t="shared" si="590"/>
        <v>2727.98</v>
      </c>
      <c r="M2322" s="10">
        <v>2687</v>
      </c>
      <c r="N2322" s="69"/>
      <c r="O2322" s="11">
        <f>O2319+1</f>
        <v>568</v>
      </c>
    </row>
    <row r="2323" spans="1:15" s="4" customFormat="1" x14ac:dyDescent="0.25">
      <c r="A2323" s="10"/>
      <c r="B2323"/>
      <c r="C2323"/>
      <c r="D2323"/>
      <c r="E2323"/>
      <c r="F2323"/>
      <c r="G2323" s="21"/>
      <c r="H2323" s="21"/>
      <c r="I2323" s="21"/>
      <c r="J2323" s="21"/>
      <c r="K2323" s="21"/>
      <c r="L2323" s="21"/>
      <c r="M2323" s="10"/>
      <c r="N2323" s="67"/>
      <c r="O2323" s="11"/>
    </row>
    <row r="2324" spans="1:15" s="4" customFormat="1" x14ac:dyDescent="0.25">
      <c r="A2324" s="6">
        <v>1136</v>
      </c>
      <c r="B2324" s="5" t="s">
        <v>33</v>
      </c>
      <c r="C2324" s="5" t="s">
        <v>13</v>
      </c>
      <c r="D2324" s="5" t="s">
        <v>310</v>
      </c>
      <c r="E2324" s="5" t="s">
        <v>311</v>
      </c>
      <c r="F2324" s="5" t="s">
        <v>34</v>
      </c>
      <c r="G2324" s="22">
        <v>0</v>
      </c>
      <c r="H2324" s="22">
        <v>0</v>
      </c>
      <c r="I2324" s="22">
        <v>0</v>
      </c>
      <c r="J2324" s="22">
        <v>7469.92</v>
      </c>
      <c r="K2324" s="22">
        <v>0</v>
      </c>
      <c r="L2324" s="22">
        <v>7469.92</v>
      </c>
      <c r="M2324" s="10"/>
      <c r="N2324" s="67"/>
      <c r="O2324" s="11"/>
    </row>
    <row r="2325" spans="1:15" x14ac:dyDescent="0.25">
      <c r="A2325" s="6"/>
      <c r="B2325" s="5"/>
      <c r="C2325" s="5"/>
      <c r="D2325" s="5" t="s">
        <v>310</v>
      </c>
      <c r="E2325" s="5" t="s">
        <v>311</v>
      </c>
      <c r="F2325" s="5" t="s">
        <v>34</v>
      </c>
      <c r="G2325" s="14">
        <f t="shared" ref="G2325:L2325" si="591">SUBTOTAL(9,G2324:G2324)</f>
        <v>0</v>
      </c>
      <c r="H2325" s="14">
        <f t="shared" si="591"/>
        <v>0</v>
      </c>
      <c r="I2325" s="14">
        <f t="shared" si="591"/>
        <v>0</v>
      </c>
      <c r="J2325" s="14">
        <f t="shared" si="591"/>
        <v>7469.92</v>
      </c>
      <c r="K2325" s="14">
        <f t="shared" si="591"/>
        <v>0</v>
      </c>
      <c r="L2325" s="14">
        <f t="shared" si="591"/>
        <v>7469.92</v>
      </c>
      <c r="M2325" s="10">
        <v>2688</v>
      </c>
      <c r="N2325" s="69"/>
      <c r="O2325" s="11">
        <f>O2322+1</f>
        <v>569</v>
      </c>
    </row>
    <row r="2326" spans="1:15" x14ac:dyDescent="0.25">
      <c r="A2326" s="10"/>
      <c r="G2326" s="21"/>
      <c r="H2326" s="21"/>
      <c r="I2326" s="21"/>
      <c r="J2326" s="21"/>
      <c r="K2326" s="21"/>
      <c r="L2326" s="21"/>
      <c r="M2326" s="10"/>
      <c r="O2326" s="11"/>
    </row>
    <row r="2327" spans="1:15" s="4" customFormat="1" x14ac:dyDescent="0.25">
      <c r="A2327" s="6">
        <v>1137</v>
      </c>
      <c r="B2327" s="5" t="s">
        <v>557</v>
      </c>
      <c r="C2327" s="5" t="s">
        <v>17</v>
      </c>
      <c r="D2327" s="5" t="s">
        <v>310</v>
      </c>
      <c r="E2327" s="5" t="s">
        <v>311</v>
      </c>
      <c r="F2327" s="5" t="s">
        <v>558</v>
      </c>
      <c r="G2327" s="22">
        <v>1607.03</v>
      </c>
      <c r="H2327" s="22">
        <v>0</v>
      </c>
      <c r="I2327" s="22">
        <v>0</v>
      </c>
      <c r="J2327" s="22">
        <v>0</v>
      </c>
      <c r="K2327" s="22">
        <v>-32.14</v>
      </c>
      <c r="L2327" s="22">
        <v>1574.89</v>
      </c>
      <c r="M2327" s="10"/>
      <c r="N2327" s="67"/>
      <c r="O2327" s="11"/>
    </row>
    <row r="2328" spans="1:15" s="4" customFormat="1" x14ac:dyDescent="0.25">
      <c r="A2328" s="6"/>
      <c r="B2328" s="5"/>
      <c r="C2328" s="5"/>
      <c r="D2328" s="5" t="s">
        <v>310</v>
      </c>
      <c r="E2328" s="5" t="s">
        <v>311</v>
      </c>
      <c r="F2328" s="5" t="s">
        <v>558</v>
      </c>
      <c r="G2328" s="14">
        <f t="shared" ref="G2328:L2328" si="592">SUBTOTAL(9,G2327:G2327)</f>
        <v>1607.03</v>
      </c>
      <c r="H2328" s="14">
        <f t="shared" si="592"/>
        <v>0</v>
      </c>
      <c r="I2328" s="14">
        <f t="shared" si="592"/>
        <v>0</v>
      </c>
      <c r="J2328" s="14">
        <f t="shared" si="592"/>
        <v>0</v>
      </c>
      <c r="K2328" s="14">
        <f t="shared" si="592"/>
        <v>-32.14</v>
      </c>
      <c r="L2328" s="14">
        <f t="shared" si="592"/>
        <v>1574.89</v>
      </c>
      <c r="M2328" s="10">
        <v>2689</v>
      </c>
      <c r="N2328" s="69"/>
      <c r="O2328" s="11">
        <f>O2325+1</f>
        <v>570</v>
      </c>
    </row>
    <row r="2329" spans="1:15" x14ac:dyDescent="0.25">
      <c r="A2329" s="10"/>
      <c r="G2329" s="21"/>
      <c r="H2329" s="21"/>
      <c r="I2329" s="21"/>
      <c r="J2329" s="21"/>
      <c r="K2329" s="21"/>
      <c r="L2329" s="21"/>
      <c r="M2329" s="10"/>
      <c r="O2329" s="11"/>
    </row>
    <row r="2330" spans="1:15" x14ac:dyDescent="0.25">
      <c r="A2330" s="6">
        <v>1138</v>
      </c>
      <c r="B2330" s="5" t="s">
        <v>29</v>
      </c>
      <c r="C2330" s="5" t="s">
        <v>13</v>
      </c>
      <c r="D2330" s="5" t="s">
        <v>310</v>
      </c>
      <c r="E2330" s="5" t="s">
        <v>311</v>
      </c>
      <c r="F2330" s="5" t="s">
        <v>30</v>
      </c>
      <c r="G2330" s="22">
        <v>0</v>
      </c>
      <c r="H2330" s="22">
        <v>0</v>
      </c>
      <c r="I2330" s="22">
        <v>0</v>
      </c>
      <c r="J2330" s="22">
        <v>0.95</v>
      </c>
      <c r="K2330" s="22">
        <v>0</v>
      </c>
      <c r="L2330" s="22">
        <v>0.95</v>
      </c>
      <c r="M2330" s="10"/>
      <c r="O2330" s="11"/>
    </row>
    <row r="2331" spans="1:15" s="4" customFormat="1" x14ac:dyDescent="0.25">
      <c r="A2331" s="6"/>
      <c r="B2331" s="5"/>
      <c r="C2331" s="5"/>
      <c r="D2331" s="5" t="s">
        <v>310</v>
      </c>
      <c r="E2331" s="5" t="s">
        <v>311</v>
      </c>
      <c r="F2331" s="5" t="s">
        <v>30</v>
      </c>
      <c r="G2331" s="14">
        <f t="shared" ref="G2331:L2331" si="593">SUBTOTAL(9,G2330:G2330)</f>
        <v>0</v>
      </c>
      <c r="H2331" s="14">
        <f t="shared" si="593"/>
        <v>0</v>
      </c>
      <c r="I2331" s="14">
        <f t="shared" si="593"/>
        <v>0</v>
      </c>
      <c r="J2331" s="14">
        <f t="shared" si="593"/>
        <v>0.95</v>
      </c>
      <c r="K2331" s="14">
        <f t="shared" si="593"/>
        <v>0</v>
      </c>
      <c r="L2331" s="14">
        <f t="shared" si="593"/>
        <v>0.95</v>
      </c>
      <c r="M2331" s="10">
        <v>2690</v>
      </c>
      <c r="N2331" s="69"/>
      <c r="O2331" s="11">
        <f>O2328+1</f>
        <v>571</v>
      </c>
    </row>
    <row r="2332" spans="1:15" x14ac:dyDescent="0.25">
      <c r="A2332" s="10"/>
      <c r="G2332" s="21"/>
      <c r="H2332" s="21"/>
      <c r="I2332" s="21"/>
      <c r="J2332" s="21"/>
      <c r="K2332" s="21"/>
      <c r="L2332" s="21"/>
      <c r="M2332" s="10"/>
      <c r="O2332" s="11"/>
    </row>
    <row r="2333" spans="1:15" x14ac:dyDescent="0.25">
      <c r="A2333" s="6">
        <v>1139</v>
      </c>
      <c r="B2333" s="5" t="s">
        <v>22</v>
      </c>
      <c r="C2333" s="5" t="s">
        <v>13</v>
      </c>
      <c r="D2333" s="5" t="s">
        <v>310</v>
      </c>
      <c r="E2333" s="5" t="s">
        <v>311</v>
      </c>
      <c r="F2333" s="5" t="s">
        <v>23</v>
      </c>
      <c r="G2333" s="22">
        <v>0</v>
      </c>
      <c r="H2333" s="22">
        <v>0</v>
      </c>
      <c r="I2333" s="22">
        <v>0</v>
      </c>
      <c r="J2333" s="22">
        <v>1147.52</v>
      </c>
      <c r="K2333" s="22">
        <v>0</v>
      </c>
      <c r="L2333" s="22">
        <v>1147.52</v>
      </c>
      <c r="M2333" s="10"/>
      <c r="O2333" s="11"/>
    </row>
    <row r="2334" spans="1:15" s="4" customFormat="1" x14ac:dyDescent="0.25">
      <c r="A2334" s="6"/>
      <c r="B2334" s="5"/>
      <c r="C2334" s="5"/>
      <c r="D2334" s="5" t="s">
        <v>310</v>
      </c>
      <c r="E2334" s="5" t="s">
        <v>311</v>
      </c>
      <c r="F2334" s="5" t="s">
        <v>23</v>
      </c>
      <c r="G2334" s="14">
        <f t="shared" ref="G2334:L2334" si="594">SUBTOTAL(9,G2333:G2333)</f>
        <v>0</v>
      </c>
      <c r="H2334" s="14">
        <f t="shared" si="594"/>
        <v>0</v>
      </c>
      <c r="I2334" s="14">
        <f t="shared" si="594"/>
        <v>0</v>
      </c>
      <c r="J2334" s="14">
        <f t="shared" si="594"/>
        <v>1147.52</v>
      </c>
      <c r="K2334" s="14">
        <f t="shared" si="594"/>
        <v>0</v>
      </c>
      <c r="L2334" s="14">
        <f t="shared" si="594"/>
        <v>1147.52</v>
      </c>
      <c r="M2334" s="10">
        <v>2691</v>
      </c>
      <c r="N2334" s="69"/>
      <c r="O2334" s="11">
        <f>O2331+1</f>
        <v>572</v>
      </c>
    </row>
    <row r="2335" spans="1:15" s="4" customFormat="1" x14ac:dyDescent="0.25">
      <c r="A2335" s="10"/>
      <c r="B2335"/>
      <c r="C2335"/>
      <c r="D2335"/>
      <c r="E2335"/>
      <c r="F2335"/>
      <c r="G2335" s="21"/>
      <c r="H2335" s="21"/>
      <c r="I2335" s="21"/>
      <c r="J2335" s="21"/>
      <c r="K2335" s="21"/>
      <c r="L2335" s="21"/>
      <c r="M2335" s="10"/>
      <c r="N2335" s="67"/>
      <c r="O2335" s="11"/>
    </row>
    <row r="2336" spans="1:15" x14ac:dyDescent="0.25">
      <c r="A2336" s="6">
        <v>1140</v>
      </c>
      <c r="B2336" s="5" t="s">
        <v>22</v>
      </c>
      <c r="C2336" s="5" t="s">
        <v>13</v>
      </c>
      <c r="D2336" s="5" t="s">
        <v>310</v>
      </c>
      <c r="E2336" s="5" t="s">
        <v>311</v>
      </c>
      <c r="F2336" s="5" t="s">
        <v>24</v>
      </c>
      <c r="G2336" s="22">
        <v>0</v>
      </c>
      <c r="H2336" s="22">
        <v>0</v>
      </c>
      <c r="I2336" s="22">
        <v>0</v>
      </c>
      <c r="J2336" s="22">
        <v>2.23</v>
      </c>
      <c r="K2336" s="22">
        <v>0</v>
      </c>
      <c r="L2336" s="22">
        <v>2.23</v>
      </c>
      <c r="M2336" s="10"/>
      <c r="O2336" s="11"/>
    </row>
    <row r="2337" spans="1:15" x14ac:dyDescent="0.25">
      <c r="A2337" s="6"/>
      <c r="B2337" s="5"/>
      <c r="C2337" s="5"/>
      <c r="D2337" s="5" t="s">
        <v>310</v>
      </c>
      <c r="E2337" s="5" t="s">
        <v>311</v>
      </c>
      <c r="F2337" s="5" t="s">
        <v>24</v>
      </c>
      <c r="G2337" s="14">
        <f t="shared" ref="G2337:L2337" si="595">SUBTOTAL(9,G2336:G2336)</f>
        <v>0</v>
      </c>
      <c r="H2337" s="14">
        <f t="shared" si="595"/>
        <v>0</v>
      </c>
      <c r="I2337" s="14">
        <f t="shared" si="595"/>
        <v>0</v>
      </c>
      <c r="J2337" s="14">
        <f t="shared" si="595"/>
        <v>2.23</v>
      </c>
      <c r="K2337" s="14">
        <f t="shared" si="595"/>
        <v>0</v>
      </c>
      <c r="L2337" s="14">
        <f t="shared" si="595"/>
        <v>2.23</v>
      </c>
      <c r="M2337" s="10">
        <v>2692</v>
      </c>
      <c r="N2337" s="69"/>
      <c r="O2337" s="11">
        <f>O2334+1</f>
        <v>573</v>
      </c>
    </row>
    <row r="2338" spans="1:15" s="4" customFormat="1" x14ac:dyDescent="0.25">
      <c r="A2338" s="10"/>
      <c r="B2338"/>
      <c r="C2338"/>
      <c r="D2338"/>
      <c r="E2338"/>
      <c r="F2338"/>
      <c r="G2338" s="21"/>
      <c r="H2338" s="21"/>
      <c r="I2338" s="21"/>
      <c r="J2338" s="21"/>
      <c r="K2338" s="21"/>
      <c r="L2338" s="21"/>
      <c r="M2338" s="10"/>
      <c r="N2338" s="67"/>
      <c r="O2338" s="11"/>
    </row>
    <row r="2339" spans="1:15" s="4" customFormat="1" x14ac:dyDescent="0.25">
      <c r="A2339" s="6">
        <v>1141</v>
      </c>
      <c r="B2339" s="5" t="s">
        <v>550</v>
      </c>
      <c r="C2339" s="5" t="s">
        <v>17</v>
      </c>
      <c r="D2339" s="5" t="s">
        <v>310</v>
      </c>
      <c r="E2339" s="5" t="s">
        <v>311</v>
      </c>
      <c r="F2339" s="5" t="s">
        <v>551</v>
      </c>
      <c r="G2339" s="22">
        <v>70320.75</v>
      </c>
      <c r="H2339" s="22">
        <v>0</v>
      </c>
      <c r="I2339" s="22">
        <v>0</v>
      </c>
      <c r="J2339" s="22">
        <v>0</v>
      </c>
      <c r="K2339" s="22">
        <v>0</v>
      </c>
      <c r="L2339" s="22">
        <v>70320.75</v>
      </c>
      <c r="M2339" s="10"/>
      <c r="N2339" s="67"/>
      <c r="O2339" s="11"/>
    </row>
    <row r="2340" spans="1:15" x14ac:dyDescent="0.25">
      <c r="A2340" s="6"/>
      <c r="B2340" s="5"/>
      <c r="C2340" s="5"/>
      <c r="D2340" s="5" t="s">
        <v>310</v>
      </c>
      <c r="E2340" s="5" t="s">
        <v>311</v>
      </c>
      <c r="F2340" s="5" t="s">
        <v>551</v>
      </c>
      <c r="G2340" s="14">
        <f t="shared" ref="G2340:L2340" si="596">SUBTOTAL(9,G2339:G2339)</f>
        <v>70320.75</v>
      </c>
      <c r="H2340" s="14">
        <f t="shared" si="596"/>
        <v>0</v>
      </c>
      <c r="I2340" s="14">
        <f t="shared" si="596"/>
        <v>0</v>
      </c>
      <c r="J2340" s="14">
        <f t="shared" si="596"/>
        <v>0</v>
      </c>
      <c r="K2340" s="14">
        <f t="shared" si="596"/>
        <v>0</v>
      </c>
      <c r="L2340" s="14">
        <f t="shared" si="596"/>
        <v>70320.75</v>
      </c>
      <c r="M2340" s="10">
        <v>2693</v>
      </c>
      <c r="N2340" s="69"/>
      <c r="O2340" s="11">
        <f>O2337+1</f>
        <v>574</v>
      </c>
    </row>
    <row r="2341" spans="1:15" x14ac:dyDescent="0.25">
      <c r="A2341" s="10"/>
      <c r="G2341" s="21"/>
      <c r="H2341" s="21"/>
      <c r="I2341" s="21"/>
      <c r="J2341" s="21"/>
      <c r="K2341" s="21"/>
      <c r="L2341" s="21"/>
      <c r="M2341" s="10"/>
      <c r="O2341" s="11"/>
    </row>
    <row r="2342" spans="1:15" s="4" customFormat="1" x14ac:dyDescent="0.25">
      <c r="A2342" s="6">
        <v>1142</v>
      </c>
      <c r="B2342" s="5" t="s">
        <v>550</v>
      </c>
      <c r="C2342" s="5" t="s">
        <v>17</v>
      </c>
      <c r="D2342" s="5" t="s">
        <v>310</v>
      </c>
      <c r="E2342" s="5" t="s">
        <v>311</v>
      </c>
      <c r="F2342" s="5" t="s">
        <v>552</v>
      </c>
      <c r="G2342" s="22">
        <v>5.0599999999999996</v>
      </c>
      <c r="H2342" s="22">
        <v>0</v>
      </c>
      <c r="I2342" s="22">
        <v>0</v>
      </c>
      <c r="J2342" s="22">
        <v>0</v>
      </c>
      <c r="K2342" s="22">
        <v>0</v>
      </c>
      <c r="L2342" s="22">
        <v>5.0599999999999996</v>
      </c>
      <c r="M2342" s="10"/>
      <c r="N2342" s="67"/>
      <c r="O2342" s="11"/>
    </row>
    <row r="2343" spans="1:15" x14ac:dyDescent="0.25">
      <c r="A2343" s="6"/>
      <c r="B2343" s="5"/>
      <c r="C2343" s="5"/>
      <c r="D2343" s="5" t="s">
        <v>310</v>
      </c>
      <c r="E2343" s="5" t="s">
        <v>311</v>
      </c>
      <c r="F2343" s="5" t="s">
        <v>552</v>
      </c>
      <c r="G2343" s="14">
        <f t="shared" ref="G2343:L2343" si="597">SUBTOTAL(9,G2342:G2342)</f>
        <v>5.0599999999999996</v>
      </c>
      <c r="H2343" s="14">
        <f t="shared" si="597"/>
        <v>0</v>
      </c>
      <c r="I2343" s="14">
        <f t="shared" si="597"/>
        <v>0</v>
      </c>
      <c r="J2343" s="14">
        <f t="shared" si="597"/>
        <v>0</v>
      </c>
      <c r="K2343" s="14">
        <f t="shared" si="597"/>
        <v>0</v>
      </c>
      <c r="L2343" s="14">
        <f t="shared" si="597"/>
        <v>5.0599999999999996</v>
      </c>
      <c r="M2343" s="10">
        <v>2694</v>
      </c>
      <c r="N2343" s="69"/>
      <c r="O2343" s="11">
        <f>O2340+1</f>
        <v>575</v>
      </c>
    </row>
    <row r="2344" spans="1:15" x14ac:dyDescent="0.25">
      <c r="A2344" s="10"/>
      <c r="G2344" s="21"/>
      <c r="H2344" s="21"/>
      <c r="I2344" s="21"/>
      <c r="J2344" s="21"/>
      <c r="K2344" s="21"/>
      <c r="L2344" s="21"/>
      <c r="M2344" s="10"/>
      <c r="O2344" s="11"/>
    </row>
    <row r="2345" spans="1:15" s="4" customFormat="1" x14ac:dyDescent="0.25">
      <c r="A2345" s="6">
        <v>1143</v>
      </c>
      <c r="B2345" s="5" t="s">
        <v>550</v>
      </c>
      <c r="C2345" s="5" t="s">
        <v>17</v>
      </c>
      <c r="D2345" s="5" t="s">
        <v>312</v>
      </c>
      <c r="E2345" s="5" t="s">
        <v>313</v>
      </c>
      <c r="F2345" s="5" t="s">
        <v>551</v>
      </c>
      <c r="G2345" s="22">
        <v>769.03</v>
      </c>
      <c r="H2345" s="22">
        <v>0</v>
      </c>
      <c r="I2345" s="22">
        <v>0</v>
      </c>
      <c r="J2345" s="22">
        <v>0</v>
      </c>
      <c r="K2345" s="22">
        <v>-15.38</v>
      </c>
      <c r="L2345" s="22">
        <v>753.65</v>
      </c>
      <c r="M2345" s="10"/>
      <c r="N2345" s="67"/>
      <c r="O2345" s="11"/>
    </row>
    <row r="2346" spans="1:15" x14ac:dyDescent="0.25">
      <c r="A2346" s="6">
        <v>1144</v>
      </c>
      <c r="B2346" s="5" t="s">
        <v>550</v>
      </c>
      <c r="C2346" s="5" t="s">
        <v>13</v>
      </c>
      <c r="D2346" s="5" t="s">
        <v>312</v>
      </c>
      <c r="E2346" s="5" t="s">
        <v>313</v>
      </c>
      <c r="F2346" s="5" t="s">
        <v>551</v>
      </c>
      <c r="G2346" s="22">
        <v>0</v>
      </c>
      <c r="H2346" s="22">
        <v>0</v>
      </c>
      <c r="I2346" s="22">
        <v>0</v>
      </c>
      <c r="J2346" s="22">
        <v>92.28</v>
      </c>
      <c r="K2346" s="22">
        <v>0</v>
      </c>
      <c r="L2346" s="22">
        <v>92.28</v>
      </c>
      <c r="M2346" s="10"/>
      <c r="O2346" s="11"/>
    </row>
    <row r="2347" spans="1:15" x14ac:dyDescent="0.25">
      <c r="A2347" s="6"/>
      <c r="B2347" s="5"/>
      <c r="C2347" s="5"/>
      <c r="D2347" s="5" t="s">
        <v>312</v>
      </c>
      <c r="E2347" s="5" t="s">
        <v>313</v>
      </c>
      <c r="F2347" s="5" t="s">
        <v>551</v>
      </c>
      <c r="G2347" s="14">
        <f t="shared" ref="G2347:L2347" si="598">SUBTOTAL(9,G2345:G2346)</f>
        <v>769.03</v>
      </c>
      <c r="H2347" s="14">
        <f t="shared" si="598"/>
        <v>0</v>
      </c>
      <c r="I2347" s="14">
        <f t="shared" si="598"/>
        <v>0</v>
      </c>
      <c r="J2347" s="14">
        <f t="shared" si="598"/>
        <v>92.28</v>
      </c>
      <c r="K2347" s="14">
        <f t="shared" si="598"/>
        <v>-15.38</v>
      </c>
      <c r="L2347" s="14">
        <f t="shared" si="598"/>
        <v>845.93</v>
      </c>
      <c r="M2347" s="10">
        <v>2695</v>
      </c>
      <c r="N2347" s="69"/>
      <c r="O2347" s="11">
        <f>O2343+1</f>
        <v>576</v>
      </c>
    </row>
    <row r="2348" spans="1:15" s="4" customFormat="1" x14ac:dyDescent="0.25">
      <c r="A2348" s="10"/>
      <c r="B2348"/>
      <c r="C2348"/>
      <c r="D2348"/>
      <c r="E2348"/>
      <c r="F2348"/>
      <c r="G2348" s="21"/>
      <c r="H2348" s="21"/>
      <c r="I2348" s="21"/>
      <c r="J2348" s="21"/>
      <c r="K2348" s="21"/>
      <c r="L2348" s="21"/>
      <c r="M2348" s="10"/>
      <c r="N2348" s="67"/>
      <c r="O2348" s="11"/>
    </row>
    <row r="2349" spans="1:15" x14ac:dyDescent="0.25">
      <c r="A2349" s="6">
        <v>1145</v>
      </c>
      <c r="B2349" s="5" t="s">
        <v>550</v>
      </c>
      <c r="C2349" s="5" t="s">
        <v>17</v>
      </c>
      <c r="D2349" s="5" t="s">
        <v>312</v>
      </c>
      <c r="E2349" s="5" t="s">
        <v>313</v>
      </c>
      <c r="F2349" s="5" t="s">
        <v>552</v>
      </c>
      <c r="G2349" s="22">
        <v>0.06</v>
      </c>
      <c r="H2349" s="22">
        <v>0</v>
      </c>
      <c r="I2349" s="22">
        <v>0</v>
      </c>
      <c r="J2349" s="22">
        <v>0</v>
      </c>
      <c r="K2349" s="22">
        <v>0</v>
      </c>
      <c r="L2349" s="22">
        <v>0.06</v>
      </c>
      <c r="M2349" s="10"/>
      <c r="O2349" s="11"/>
    </row>
    <row r="2350" spans="1:15" x14ac:dyDescent="0.25">
      <c r="A2350" s="6">
        <v>1146</v>
      </c>
      <c r="B2350" s="5" t="s">
        <v>550</v>
      </c>
      <c r="C2350" s="5" t="s">
        <v>13</v>
      </c>
      <c r="D2350" s="5" t="s">
        <v>312</v>
      </c>
      <c r="E2350" s="5" t="s">
        <v>313</v>
      </c>
      <c r="F2350" s="5" t="s">
        <v>552</v>
      </c>
      <c r="G2350" s="22">
        <v>0</v>
      </c>
      <c r="H2350" s="22">
        <v>0</v>
      </c>
      <c r="I2350" s="22">
        <v>0</v>
      </c>
      <c r="J2350" s="22">
        <v>0.01</v>
      </c>
      <c r="K2350" s="22">
        <v>0</v>
      </c>
      <c r="L2350" s="22">
        <v>0.01</v>
      </c>
      <c r="M2350" s="10"/>
      <c r="O2350" s="11"/>
    </row>
    <row r="2351" spans="1:15" s="4" customFormat="1" x14ac:dyDescent="0.25">
      <c r="A2351" s="6"/>
      <c r="B2351" s="5"/>
      <c r="C2351" s="5"/>
      <c r="D2351" s="5" t="s">
        <v>312</v>
      </c>
      <c r="E2351" s="5" t="s">
        <v>313</v>
      </c>
      <c r="F2351" s="5" t="s">
        <v>552</v>
      </c>
      <c r="G2351" s="14">
        <f t="shared" ref="G2351:L2351" si="599">SUBTOTAL(9,G2349:G2350)</f>
        <v>0.06</v>
      </c>
      <c r="H2351" s="14">
        <f t="shared" si="599"/>
        <v>0</v>
      </c>
      <c r="I2351" s="14">
        <f t="shared" si="599"/>
        <v>0</v>
      </c>
      <c r="J2351" s="14">
        <f t="shared" si="599"/>
        <v>0.01</v>
      </c>
      <c r="K2351" s="14">
        <f t="shared" si="599"/>
        <v>0</v>
      </c>
      <c r="L2351" s="14">
        <f t="shared" si="599"/>
        <v>6.9999999999999993E-2</v>
      </c>
      <c r="M2351" s="10">
        <v>2696</v>
      </c>
      <c r="N2351" s="69"/>
      <c r="O2351" s="11">
        <f>O2347+1</f>
        <v>577</v>
      </c>
    </row>
    <row r="2352" spans="1:15" x14ac:dyDescent="0.25">
      <c r="A2352" s="10"/>
      <c r="G2352" s="21"/>
      <c r="H2352" s="21"/>
      <c r="I2352" s="21"/>
      <c r="J2352" s="21"/>
      <c r="K2352" s="21"/>
      <c r="L2352" s="21"/>
      <c r="M2352" s="10"/>
      <c r="O2352" s="11"/>
    </row>
    <row r="2353" spans="1:15" x14ac:dyDescent="0.25">
      <c r="A2353" s="6">
        <v>1147</v>
      </c>
      <c r="B2353" s="5" t="s">
        <v>559</v>
      </c>
      <c r="C2353" s="5" t="s">
        <v>17</v>
      </c>
      <c r="D2353" s="5" t="s">
        <v>314</v>
      </c>
      <c r="E2353" s="5" t="s">
        <v>315</v>
      </c>
      <c r="F2353" s="5" t="s">
        <v>560</v>
      </c>
      <c r="G2353" s="22">
        <v>0.16</v>
      </c>
      <c r="H2353" s="22">
        <v>0</v>
      </c>
      <c r="I2353" s="22">
        <v>0</v>
      </c>
      <c r="J2353" s="22">
        <v>0</v>
      </c>
      <c r="K2353" s="22">
        <v>0</v>
      </c>
      <c r="L2353" s="22">
        <v>0.16</v>
      </c>
      <c r="M2353" s="10"/>
      <c r="O2353" s="11"/>
    </row>
    <row r="2354" spans="1:15" s="4" customFormat="1" x14ac:dyDescent="0.25">
      <c r="A2354" s="6">
        <v>1148</v>
      </c>
      <c r="B2354" s="5" t="s">
        <v>559</v>
      </c>
      <c r="C2354" s="5" t="s">
        <v>13</v>
      </c>
      <c r="D2354" s="5" t="s">
        <v>314</v>
      </c>
      <c r="E2354" s="5" t="s">
        <v>315</v>
      </c>
      <c r="F2354" s="5" t="s">
        <v>560</v>
      </c>
      <c r="G2354" s="22">
        <v>0</v>
      </c>
      <c r="H2354" s="22">
        <v>0</v>
      </c>
      <c r="I2354" s="22">
        <v>0</v>
      </c>
      <c r="J2354" s="22">
        <v>0.02</v>
      </c>
      <c r="K2354" s="22">
        <v>0</v>
      </c>
      <c r="L2354" s="22">
        <v>0.02</v>
      </c>
      <c r="M2354" s="10"/>
      <c r="N2354" s="67"/>
      <c r="O2354" s="11"/>
    </row>
    <row r="2355" spans="1:15" x14ac:dyDescent="0.25">
      <c r="A2355" s="6"/>
      <c r="B2355" s="5"/>
      <c r="C2355" s="5"/>
      <c r="D2355" s="5" t="s">
        <v>314</v>
      </c>
      <c r="E2355" s="5" t="s">
        <v>315</v>
      </c>
      <c r="F2355" s="5" t="s">
        <v>560</v>
      </c>
      <c r="G2355" s="14">
        <f t="shared" ref="G2355:L2355" si="600">SUBTOTAL(9,G2353:G2354)</f>
        <v>0.16</v>
      </c>
      <c r="H2355" s="14">
        <f t="shared" si="600"/>
        <v>0</v>
      </c>
      <c r="I2355" s="14">
        <f t="shared" si="600"/>
        <v>0</v>
      </c>
      <c r="J2355" s="14">
        <f t="shared" si="600"/>
        <v>0.02</v>
      </c>
      <c r="K2355" s="14">
        <f t="shared" si="600"/>
        <v>0</v>
      </c>
      <c r="L2355" s="14">
        <f t="shared" si="600"/>
        <v>0.18</v>
      </c>
      <c r="M2355" s="10">
        <v>2697</v>
      </c>
      <c r="N2355" s="69"/>
      <c r="O2355" s="11">
        <f>O2351+1</f>
        <v>578</v>
      </c>
    </row>
    <row r="2356" spans="1:15" x14ac:dyDescent="0.25">
      <c r="A2356" s="10"/>
      <c r="G2356" s="21"/>
      <c r="H2356" s="21"/>
      <c r="I2356" s="21"/>
      <c r="J2356" s="21"/>
      <c r="K2356" s="21"/>
      <c r="L2356" s="21"/>
      <c r="M2356" s="10"/>
      <c r="O2356" s="11"/>
    </row>
    <row r="2357" spans="1:15" s="4" customFormat="1" x14ac:dyDescent="0.25">
      <c r="A2357" s="6">
        <v>1149</v>
      </c>
      <c r="B2357" s="5" t="s">
        <v>18</v>
      </c>
      <c r="C2357" s="5" t="s">
        <v>17</v>
      </c>
      <c r="D2357" s="5" t="s">
        <v>314</v>
      </c>
      <c r="E2357" s="5" t="s">
        <v>315</v>
      </c>
      <c r="F2357" s="5" t="s">
        <v>19</v>
      </c>
      <c r="G2357" s="22">
        <v>1.04</v>
      </c>
      <c r="H2357" s="22">
        <v>0</v>
      </c>
      <c r="I2357" s="22">
        <v>0</v>
      </c>
      <c r="J2357" s="22">
        <v>0</v>
      </c>
      <c r="K2357" s="22">
        <v>-0.92</v>
      </c>
      <c r="L2357" s="22">
        <v>0.12</v>
      </c>
      <c r="M2357" s="10"/>
      <c r="N2357" s="67"/>
      <c r="O2357" s="11"/>
    </row>
    <row r="2358" spans="1:15" x14ac:dyDescent="0.25">
      <c r="A2358" s="6">
        <v>1150</v>
      </c>
      <c r="B2358" s="5" t="s">
        <v>18</v>
      </c>
      <c r="C2358" s="5" t="s">
        <v>17</v>
      </c>
      <c r="D2358" s="5" t="s">
        <v>314</v>
      </c>
      <c r="E2358" s="5" t="s">
        <v>315</v>
      </c>
      <c r="F2358" s="5" t="s">
        <v>19</v>
      </c>
      <c r="G2358" s="22">
        <v>0</v>
      </c>
      <c r="H2358" s="22">
        <v>0</v>
      </c>
      <c r="I2358" s="22">
        <v>0</v>
      </c>
      <c r="J2358" s="22">
        <v>0</v>
      </c>
      <c r="K2358" s="22">
        <v>0</v>
      </c>
      <c r="L2358" s="22">
        <v>0</v>
      </c>
      <c r="M2358" s="10"/>
      <c r="O2358" s="11"/>
    </row>
    <row r="2359" spans="1:15" x14ac:dyDescent="0.25">
      <c r="A2359" s="6">
        <v>1151</v>
      </c>
      <c r="B2359" s="5" t="s">
        <v>18</v>
      </c>
      <c r="C2359" s="5" t="s">
        <v>17</v>
      </c>
      <c r="D2359" s="5" t="s">
        <v>314</v>
      </c>
      <c r="E2359" s="5" t="s">
        <v>315</v>
      </c>
      <c r="F2359" s="5" t="s">
        <v>19</v>
      </c>
      <c r="G2359" s="22">
        <v>0.61</v>
      </c>
      <c r="H2359" s="22">
        <v>0</v>
      </c>
      <c r="I2359" s="22">
        <v>0</v>
      </c>
      <c r="J2359" s="22">
        <v>0</v>
      </c>
      <c r="K2359" s="22">
        <v>-0.54</v>
      </c>
      <c r="L2359" s="22">
        <v>7.0000000000000007E-2</v>
      </c>
      <c r="M2359" s="10"/>
      <c r="O2359" s="11"/>
    </row>
    <row r="2360" spans="1:15" s="4" customFormat="1" x14ac:dyDescent="0.25">
      <c r="A2360" s="6">
        <v>1152</v>
      </c>
      <c r="B2360" s="5" t="s">
        <v>18</v>
      </c>
      <c r="C2360" s="5" t="s">
        <v>17</v>
      </c>
      <c r="D2360" s="5" t="s">
        <v>314</v>
      </c>
      <c r="E2360" s="5" t="s">
        <v>315</v>
      </c>
      <c r="F2360" s="5" t="s">
        <v>19</v>
      </c>
      <c r="G2360" s="22">
        <v>4.96</v>
      </c>
      <c r="H2360" s="22">
        <v>0</v>
      </c>
      <c r="I2360" s="22">
        <v>0</v>
      </c>
      <c r="J2360" s="22">
        <v>0</v>
      </c>
      <c r="K2360" s="22">
        <v>-4.4000000000000004</v>
      </c>
      <c r="L2360" s="22">
        <v>0.56000000000000005</v>
      </c>
      <c r="M2360" s="10"/>
      <c r="N2360" s="67"/>
      <c r="O2360" s="11"/>
    </row>
    <row r="2361" spans="1:15" x14ac:dyDescent="0.25">
      <c r="A2361" s="6">
        <v>1153</v>
      </c>
      <c r="B2361" s="5" t="s">
        <v>18</v>
      </c>
      <c r="C2361" s="5" t="s">
        <v>17</v>
      </c>
      <c r="D2361" s="5" t="s">
        <v>314</v>
      </c>
      <c r="E2361" s="5" t="s">
        <v>315</v>
      </c>
      <c r="F2361" s="5" t="s">
        <v>19</v>
      </c>
      <c r="G2361" s="22">
        <v>1.03</v>
      </c>
      <c r="H2361" s="22">
        <v>0</v>
      </c>
      <c r="I2361" s="22">
        <v>0</v>
      </c>
      <c r="J2361" s="22">
        <v>0</v>
      </c>
      <c r="K2361" s="22">
        <v>-0.92</v>
      </c>
      <c r="L2361" s="22">
        <v>0.11</v>
      </c>
      <c r="M2361" s="10"/>
      <c r="O2361" s="11"/>
    </row>
    <row r="2362" spans="1:15" x14ac:dyDescent="0.25">
      <c r="A2362" s="6">
        <v>1154</v>
      </c>
      <c r="B2362" s="5" t="s">
        <v>18</v>
      </c>
      <c r="C2362" s="5" t="s">
        <v>17</v>
      </c>
      <c r="D2362" s="5" t="s">
        <v>314</v>
      </c>
      <c r="E2362" s="5" t="s">
        <v>315</v>
      </c>
      <c r="F2362" s="5" t="s">
        <v>19</v>
      </c>
      <c r="G2362" s="22">
        <v>3.21</v>
      </c>
      <c r="H2362" s="22">
        <v>0</v>
      </c>
      <c r="I2362" s="22">
        <v>0</v>
      </c>
      <c r="J2362" s="22">
        <v>0</v>
      </c>
      <c r="K2362" s="22">
        <v>-2.85</v>
      </c>
      <c r="L2362" s="22">
        <v>0.36</v>
      </c>
      <c r="M2362" s="10"/>
      <c r="O2362" s="11"/>
    </row>
    <row r="2363" spans="1:15" s="4" customFormat="1" x14ac:dyDescent="0.25">
      <c r="A2363" s="6">
        <v>1155</v>
      </c>
      <c r="B2363" s="5" t="s">
        <v>18</v>
      </c>
      <c r="C2363" s="5" t="s">
        <v>17</v>
      </c>
      <c r="D2363" s="5" t="s">
        <v>314</v>
      </c>
      <c r="E2363" s="5" t="s">
        <v>315</v>
      </c>
      <c r="F2363" s="5" t="s">
        <v>19</v>
      </c>
      <c r="G2363" s="22">
        <v>106.42</v>
      </c>
      <c r="H2363" s="22">
        <v>0</v>
      </c>
      <c r="I2363" s="22">
        <v>0</v>
      </c>
      <c r="J2363" s="22">
        <v>0</v>
      </c>
      <c r="K2363" s="22">
        <v>-94.42</v>
      </c>
      <c r="L2363" s="22">
        <v>12</v>
      </c>
      <c r="M2363" s="10"/>
      <c r="N2363" s="67"/>
      <c r="O2363" s="11"/>
    </row>
    <row r="2364" spans="1:15" x14ac:dyDescent="0.25">
      <c r="A2364" s="6">
        <v>1156</v>
      </c>
      <c r="B2364" s="5" t="s">
        <v>18</v>
      </c>
      <c r="C2364" s="5" t="s">
        <v>17</v>
      </c>
      <c r="D2364" s="5" t="s">
        <v>314</v>
      </c>
      <c r="E2364" s="5" t="s">
        <v>315</v>
      </c>
      <c r="F2364" s="5" t="s">
        <v>19</v>
      </c>
      <c r="G2364" s="22">
        <v>0.66</v>
      </c>
      <c r="H2364" s="22">
        <v>0</v>
      </c>
      <c r="I2364" s="22">
        <v>0</v>
      </c>
      <c r="J2364" s="22">
        <v>0</v>
      </c>
      <c r="K2364" s="22">
        <v>-0.57999999999999996</v>
      </c>
      <c r="L2364" s="22">
        <v>0.08</v>
      </c>
      <c r="M2364" s="10"/>
      <c r="O2364" s="11"/>
    </row>
    <row r="2365" spans="1:15" x14ac:dyDescent="0.25">
      <c r="A2365" s="6">
        <v>1157</v>
      </c>
      <c r="B2365" s="5" t="s">
        <v>18</v>
      </c>
      <c r="C2365" s="5" t="s">
        <v>17</v>
      </c>
      <c r="D2365" s="5" t="s">
        <v>314</v>
      </c>
      <c r="E2365" s="5" t="s">
        <v>315</v>
      </c>
      <c r="F2365" s="5" t="s">
        <v>19</v>
      </c>
      <c r="G2365" s="22">
        <v>4.2699999999999996</v>
      </c>
      <c r="H2365" s="22">
        <v>0</v>
      </c>
      <c r="I2365" s="22">
        <v>0</v>
      </c>
      <c r="J2365" s="22">
        <v>0</v>
      </c>
      <c r="K2365" s="22">
        <v>-3.78</v>
      </c>
      <c r="L2365" s="22">
        <v>0.49</v>
      </c>
      <c r="M2365" s="10"/>
      <c r="O2365" s="11"/>
    </row>
    <row r="2366" spans="1:15" s="4" customFormat="1" x14ac:dyDescent="0.25">
      <c r="A2366" s="6"/>
      <c r="B2366" s="5"/>
      <c r="C2366" s="5"/>
      <c r="D2366" s="5" t="s">
        <v>314</v>
      </c>
      <c r="E2366" s="5" t="s">
        <v>315</v>
      </c>
      <c r="F2366" s="5" t="s">
        <v>19</v>
      </c>
      <c r="G2366" s="14">
        <f t="shared" ref="G2366:L2366" si="601">SUBTOTAL(9,G2357:G2365)</f>
        <v>122.19999999999999</v>
      </c>
      <c r="H2366" s="14">
        <f t="shared" si="601"/>
        <v>0</v>
      </c>
      <c r="I2366" s="14">
        <f t="shared" si="601"/>
        <v>0</v>
      </c>
      <c r="J2366" s="14">
        <f t="shared" si="601"/>
        <v>0</v>
      </c>
      <c r="K2366" s="14">
        <f t="shared" si="601"/>
        <v>-108.41</v>
      </c>
      <c r="L2366" s="14">
        <f t="shared" si="601"/>
        <v>13.790000000000001</v>
      </c>
      <c r="M2366" s="10">
        <v>2698</v>
      </c>
      <c r="N2366" s="69"/>
      <c r="O2366" s="11">
        <f>O2355+1</f>
        <v>579</v>
      </c>
    </row>
    <row r="2367" spans="1:15" x14ac:dyDescent="0.25">
      <c r="A2367" s="10"/>
      <c r="G2367" s="21"/>
      <c r="H2367" s="21"/>
      <c r="I2367" s="21"/>
      <c r="J2367" s="21"/>
      <c r="K2367" s="21"/>
      <c r="L2367" s="21"/>
      <c r="M2367" s="10"/>
      <c r="O2367" s="11"/>
    </row>
    <row r="2368" spans="1:15" x14ac:dyDescent="0.25">
      <c r="A2368" s="6">
        <v>1158</v>
      </c>
      <c r="B2368" s="5" t="s">
        <v>550</v>
      </c>
      <c r="C2368" s="5" t="s">
        <v>17</v>
      </c>
      <c r="D2368" s="5" t="s">
        <v>314</v>
      </c>
      <c r="E2368" s="5" t="s">
        <v>315</v>
      </c>
      <c r="F2368" s="5" t="s">
        <v>551</v>
      </c>
      <c r="G2368" s="22">
        <v>25737.97</v>
      </c>
      <c r="H2368" s="22">
        <v>0</v>
      </c>
      <c r="I2368" s="22">
        <v>0</v>
      </c>
      <c r="J2368" s="22">
        <v>0</v>
      </c>
      <c r="K2368" s="22">
        <v>-514.76</v>
      </c>
      <c r="L2368" s="22">
        <v>25223.21</v>
      </c>
      <c r="M2368" s="10"/>
      <c r="O2368" s="11"/>
    </row>
    <row r="2369" spans="1:15" s="4" customFormat="1" x14ac:dyDescent="0.25">
      <c r="A2369" s="6">
        <v>1159</v>
      </c>
      <c r="B2369" s="5" t="s">
        <v>550</v>
      </c>
      <c r="C2369" s="5" t="s">
        <v>13</v>
      </c>
      <c r="D2369" s="5" t="s">
        <v>314</v>
      </c>
      <c r="E2369" s="5" t="s">
        <v>315</v>
      </c>
      <c r="F2369" s="5" t="s">
        <v>551</v>
      </c>
      <c r="G2369" s="22">
        <v>0</v>
      </c>
      <c r="H2369" s="22">
        <v>0</v>
      </c>
      <c r="I2369" s="22">
        <v>0</v>
      </c>
      <c r="J2369" s="22">
        <v>2782.57</v>
      </c>
      <c r="K2369" s="22">
        <v>0</v>
      </c>
      <c r="L2369" s="22">
        <v>2782.57</v>
      </c>
      <c r="M2369" s="10"/>
      <c r="N2369" s="67"/>
      <c r="O2369" s="11"/>
    </row>
    <row r="2370" spans="1:15" x14ac:dyDescent="0.25">
      <c r="A2370" s="6">
        <v>1160</v>
      </c>
      <c r="B2370" s="5" t="s">
        <v>550</v>
      </c>
      <c r="C2370" s="5" t="s">
        <v>13</v>
      </c>
      <c r="D2370" s="5" t="s">
        <v>314</v>
      </c>
      <c r="E2370" s="5" t="s">
        <v>315</v>
      </c>
      <c r="F2370" s="5" t="s">
        <v>551</v>
      </c>
      <c r="G2370" s="22">
        <v>0</v>
      </c>
      <c r="H2370" s="22">
        <v>0</v>
      </c>
      <c r="I2370" s="22">
        <v>0</v>
      </c>
      <c r="J2370" s="22">
        <v>8044.26</v>
      </c>
      <c r="K2370" s="22">
        <v>0</v>
      </c>
      <c r="L2370" s="22">
        <v>8044.26</v>
      </c>
      <c r="M2370" s="10"/>
      <c r="O2370" s="11"/>
    </row>
    <row r="2371" spans="1:15" x14ac:dyDescent="0.25">
      <c r="A2371" s="6">
        <v>1161</v>
      </c>
      <c r="B2371" s="5" t="s">
        <v>550</v>
      </c>
      <c r="C2371" s="5" t="s">
        <v>13</v>
      </c>
      <c r="D2371" s="5" t="s">
        <v>314</v>
      </c>
      <c r="E2371" s="5" t="s">
        <v>315</v>
      </c>
      <c r="F2371" s="5" t="s">
        <v>551</v>
      </c>
      <c r="G2371" s="22">
        <v>0</v>
      </c>
      <c r="H2371" s="22">
        <v>0</v>
      </c>
      <c r="I2371" s="22">
        <v>0</v>
      </c>
      <c r="J2371" s="22">
        <v>10.56</v>
      </c>
      <c r="K2371" s="22">
        <v>0</v>
      </c>
      <c r="L2371" s="22">
        <v>10.56</v>
      </c>
      <c r="M2371" s="10"/>
      <c r="O2371" s="11"/>
    </row>
    <row r="2372" spans="1:15" s="4" customFormat="1" x14ac:dyDescent="0.25">
      <c r="A2372" s="6">
        <v>1162</v>
      </c>
      <c r="B2372" s="5" t="s">
        <v>550</v>
      </c>
      <c r="C2372" s="5" t="s">
        <v>13</v>
      </c>
      <c r="D2372" s="5" t="s">
        <v>314</v>
      </c>
      <c r="E2372" s="5" t="s">
        <v>315</v>
      </c>
      <c r="F2372" s="5" t="s">
        <v>551</v>
      </c>
      <c r="G2372" s="22">
        <v>0</v>
      </c>
      <c r="H2372" s="22">
        <v>0</v>
      </c>
      <c r="I2372" s="22">
        <v>0</v>
      </c>
      <c r="J2372" s="22">
        <v>4763.26</v>
      </c>
      <c r="K2372" s="22">
        <v>0</v>
      </c>
      <c r="L2372" s="22">
        <v>4763.26</v>
      </c>
      <c r="M2372" s="10"/>
      <c r="N2372" s="67"/>
      <c r="O2372" s="11"/>
    </row>
    <row r="2373" spans="1:15" s="4" customFormat="1" x14ac:dyDescent="0.25">
      <c r="A2373" s="6">
        <v>1163</v>
      </c>
      <c r="B2373" s="5" t="s">
        <v>550</v>
      </c>
      <c r="C2373" s="5" t="s">
        <v>13</v>
      </c>
      <c r="D2373" s="5" t="s">
        <v>314</v>
      </c>
      <c r="E2373" s="5" t="s">
        <v>315</v>
      </c>
      <c r="F2373" s="5" t="s">
        <v>551</v>
      </c>
      <c r="G2373" s="22">
        <v>0</v>
      </c>
      <c r="H2373" s="22">
        <v>0</v>
      </c>
      <c r="I2373" s="22">
        <v>0</v>
      </c>
      <c r="J2373" s="22">
        <v>3123.05</v>
      </c>
      <c r="K2373" s="22">
        <v>0</v>
      </c>
      <c r="L2373" s="22">
        <v>3123.05</v>
      </c>
      <c r="M2373" s="10"/>
      <c r="N2373" s="67"/>
      <c r="O2373" s="11"/>
    </row>
    <row r="2374" spans="1:15" x14ac:dyDescent="0.25">
      <c r="A2374" s="6">
        <v>1164</v>
      </c>
      <c r="B2374" s="5" t="s">
        <v>550</v>
      </c>
      <c r="C2374" s="5" t="s">
        <v>13</v>
      </c>
      <c r="D2374" s="5" t="s">
        <v>314</v>
      </c>
      <c r="E2374" s="5" t="s">
        <v>315</v>
      </c>
      <c r="F2374" s="5" t="s">
        <v>551</v>
      </c>
      <c r="G2374" s="22">
        <v>0</v>
      </c>
      <c r="H2374" s="22">
        <v>0</v>
      </c>
      <c r="I2374" s="22">
        <v>0</v>
      </c>
      <c r="J2374" s="22">
        <v>5560.4</v>
      </c>
      <c r="K2374" s="22">
        <v>0</v>
      </c>
      <c r="L2374" s="22">
        <v>5560.4</v>
      </c>
      <c r="M2374" s="10"/>
      <c r="O2374" s="11"/>
    </row>
    <row r="2375" spans="1:15" x14ac:dyDescent="0.25">
      <c r="A2375" s="6">
        <v>1165</v>
      </c>
      <c r="B2375" s="5" t="s">
        <v>550</v>
      </c>
      <c r="C2375" s="5" t="s">
        <v>13</v>
      </c>
      <c r="D2375" s="5" t="s">
        <v>314</v>
      </c>
      <c r="E2375" s="5" t="s">
        <v>315</v>
      </c>
      <c r="F2375" s="5" t="s">
        <v>551</v>
      </c>
      <c r="G2375" s="22">
        <v>0</v>
      </c>
      <c r="H2375" s="22">
        <v>0</v>
      </c>
      <c r="I2375" s="22">
        <v>0</v>
      </c>
      <c r="J2375" s="22">
        <v>5873.89</v>
      </c>
      <c r="K2375" s="22">
        <v>0</v>
      </c>
      <c r="L2375" s="22">
        <v>5873.89</v>
      </c>
      <c r="M2375" s="10"/>
      <c r="O2375" s="11"/>
    </row>
    <row r="2376" spans="1:15" s="4" customFormat="1" x14ac:dyDescent="0.25">
      <c r="A2376" s="6">
        <v>1166</v>
      </c>
      <c r="B2376" s="5" t="s">
        <v>550</v>
      </c>
      <c r="C2376" s="5" t="s">
        <v>17</v>
      </c>
      <c r="D2376" s="5" t="s">
        <v>314</v>
      </c>
      <c r="E2376" s="5" t="s">
        <v>315</v>
      </c>
      <c r="F2376" s="5" t="s">
        <v>551</v>
      </c>
      <c r="G2376" s="22">
        <v>79861.649999999994</v>
      </c>
      <c r="H2376" s="22">
        <v>0</v>
      </c>
      <c r="I2376" s="22">
        <v>0</v>
      </c>
      <c r="J2376" s="22">
        <v>0</v>
      </c>
      <c r="K2376" s="22">
        <v>-1597.23</v>
      </c>
      <c r="L2376" s="22">
        <v>78264.42</v>
      </c>
      <c r="M2376" s="10"/>
      <c r="N2376" s="67"/>
      <c r="O2376" s="11"/>
    </row>
    <row r="2377" spans="1:15" s="4" customFormat="1" x14ac:dyDescent="0.25">
      <c r="A2377" s="6">
        <v>1167</v>
      </c>
      <c r="B2377" s="5" t="s">
        <v>550</v>
      </c>
      <c r="C2377" s="5" t="s">
        <v>17</v>
      </c>
      <c r="D2377" s="5" t="s">
        <v>314</v>
      </c>
      <c r="E2377" s="5" t="s">
        <v>315</v>
      </c>
      <c r="F2377" s="5" t="s">
        <v>551</v>
      </c>
      <c r="G2377" s="22">
        <v>416355.19</v>
      </c>
      <c r="H2377" s="22">
        <v>0</v>
      </c>
      <c r="I2377" s="22">
        <v>0</v>
      </c>
      <c r="J2377" s="22">
        <v>0</v>
      </c>
      <c r="K2377" s="22">
        <v>-8327.1</v>
      </c>
      <c r="L2377" s="22">
        <v>408028.09</v>
      </c>
      <c r="M2377" s="10"/>
      <c r="N2377" s="67"/>
      <c r="O2377" s="11"/>
    </row>
    <row r="2378" spans="1:15" x14ac:dyDescent="0.25">
      <c r="A2378" s="6">
        <v>1168</v>
      </c>
      <c r="B2378" s="5" t="s">
        <v>550</v>
      </c>
      <c r="C2378" s="5" t="s">
        <v>17</v>
      </c>
      <c r="D2378" s="5" t="s">
        <v>314</v>
      </c>
      <c r="E2378" s="5" t="s">
        <v>315</v>
      </c>
      <c r="F2378" s="5" t="s">
        <v>551</v>
      </c>
      <c r="G2378" s="22">
        <v>23188.12</v>
      </c>
      <c r="H2378" s="22">
        <v>0</v>
      </c>
      <c r="I2378" s="22">
        <v>0</v>
      </c>
      <c r="J2378" s="22">
        <v>0</v>
      </c>
      <c r="K2378" s="22">
        <v>-463.76</v>
      </c>
      <c r="L2378" s="22">
        <v>22724.36</v>
      </c>
      <c r="M2378" s="10"/>
      <c r="O2378" s="11"/>
    </row>
    <row r="2379" spans="1:15" x14ac:dyDescent="0.25">
      <c r="A2379" s="6">
        <v>1169</v>
      </c>
      <c r="B2379" s="5" t="s">
        <v>550</v>
      </c>
      <c r="C2379" s="5" t="s">
        <v>17</v>
      </c>
      <c r="D2379" s="5" t="s">
        <v>314</v>
      </c>
      <c r="E2379" s="5" t="s">
        <v>315</v>
      </c>
      <c r="F2379" s="5" t="s">
        <v>551</v>
      </c>
      <c r="G2379" s="22">
        <v>67035.47</v>
      </c>
      <c r="H2379" s="22">
        <v>0</v>
      </c>
      <c r="I2379" s="22">
        <v>0</v>
      </c>
      <c r="J2379" s="22">
        <v>0</v>
      </c>
      <c r="K2379" s="22">
        <v>-1340.71</v>
      </c>
      <c r="L2379" s="22">
        <v>65694.759999999995</v>
      </c>
      <c r="M2379" s="10"/>
      <c r="O2379" s="11"/>
    </row>
    <row r="2380" spans="1:15" s="4" customFormat="1" x14ac:dyDescent="0.25">
      <c r="A2380" s="6">
        <v>1170</v>
      </c>
      <c r="B2380" s="5" t="s">
        <v>550</v>
      </c>
      <c r="C2380" s="5" t="s">
        <v>17</v>
      </c>
      <c r="D2380" s="5" t="s">
        <v>314</v>
      </c>
      <c r="E2380" s="5" t="s">
        <v>315</v>
      </c>
      <c r="F2380" s="5" t="s">
        <v>551</v>
      </c>
      <c r="G2380" s="22">
        <v>87.99</v>
      </c>
      <c r="H2380" s="22">
        <v>0</v>
      </c>
      <c r="I2380" s="22">
        <v>0</v>
      </c>
      <c r="J2380" s="22">
        <v>0</v>
      </c>
      <c r="K2380" s="22">
        <v>-1.76</v>
      </c>
      <c r="L2380" s="22">
        <v>86.23</v>
      </c>
      <c r="M2380" s="10"/>
      <c r="N2380" s="67"/>
      <c r="O2380" s="11"/>
    </row>
    <row r="2381" spans="1:15" x14ac:dyDescent="0.25">
      <c r="A2381" s="6">
        <v>1171</v>
      </c>
      <c r="B2381" s="5" t="s">
        <v>550</v>
      </c>
      <c r="C2381" s="5" t="s">
        <v>17</v>
      </c>
      <c r="D2381" s="5" t="s">
        <v>314</v>
      </c>
      <c r="E2381" s="5" t="s">
        <v>315</v>
      </c>
      <c r="F2381" s="5" t="s">
        <v>551</v>
      </c>
      <c r="G2381" s="22">
        <v>39693.81</v>
      </c>
      <c r="H2381" s="22">
        <v>0</v>
      </c>
      <c r="I2381" s="22">
        <v>0</v>
      </c>
      <c r="J2381" s="22">
        <v>0</v>
      </c>
      <c r="K2381" s="22">
        <v>-793.88</v>
      </c>
      <c r="L2381" s="22">
        <v>38899.93</v>
      </c>
      <c r="M2381" s="10"/>
      <c r="O2381" s="11"/>
    </row>
    <row r="2382" spans="1:15" x14ac:dyDescent="0.25">
      <c r="A2382" s="6">
        <v>1172</v>
      </c>
      <c r="B2382" s="5" t="s">
        <v>550</v>
      </c>
      <c r="C2382" s="5" t="s">
        <v>17</v>
      </c>
      <c r="D2382" s="5" t="s">
        <v>314</v>
      </c>
      <c r="E2382" s="5" t="s">
        <v>315</v>
      </c>
      <c r="F2382" s="5" t="s">
        <v>551</v>
      </c>
      <c r="G2382" s="22">
        <v>26025.45</v>
      </c>
      <c r="H2382" s="22">
        <v>0</v>
      </c>
      <c r="I2382" s="22">
        <v>0</v>
      </c>
      <c r="J2382" s="22">
        <v>0</v>
      </c>
      <c r="K2382" s="22">
        <v>-520.51</v>
      </c>
      <c r="L2382" s="22">
        <v>25504.94</v>
      </c>
      <c r="M2382" s="10"/>
      <c r="O2382" s="11"/>
    </row>
    <row r="2383" spans="1:15" s="4" customFormat="1" x14ac:dyDescent="0.25">
      <c r="A2383" s="6">
        <v>1173</v>
      </c>
      <c r="B2383" s="5" t="s">
        <v>550</v>
      </c>
      <c r="C2383" s="5" t="s">
        <v>17</v>
      </c>
      <c r="D2383" s="5" t="s">
        <v>314</v>
      </c>
      <c r="E2383" s="5" t="s">
        <v>315</v>
      </c>
      <c r="F2383" s="5" t="s">
        <v>551</v>
      </c>
      <c r="G2383" s="22">
        <v>46336.7</v>
      </c>
      <c r="H2383" s="22">
        <v>0</v>
      </c>
      <c r="I2383" s="22">
        <v>0</v>
      </c>
      <c r="J2383" s="22">
        <v>0</v>
      </c>
      <c r="K2383" s="22">
        <v>-926.73</v>
      </c>
      <c r="L2383" s="22">
        <v>45409.97</v>
      </c>
      <c r="M2383" s="10"/>
      <c r="N2383" s="67"/>
      <c r="O2383" s="11"/>
    </row>
    <row r="2384" spans="1:15" x14ac:dyDescent="0.25">
      <c r="A2384" s="6">
        <v>1174</v>
      </c>
      <c r="B2384" s="5" t="s">
        <v>550</v>
      </c>
      <c r="C2384" s="5" t="s">
        <v>17</v>
      </c>
      <c r="D2384" s="5" t="s">
        <v>314</v>
      </c>
      <c r="E2384" s="5" t="s">
        <v>315</v>
      </c>
      <c r="F2384" s="5" t="s">
        <v>551</v>
      </c>
      <c r="G2384" s="22">
        <v>48949.06</v>
      </c>
      <c r="H2384" s="22">
        <v>0</v>
      </c>
      <c r="I2384" s="22">
        <v>0</v>
      </c>
      <c r="J2384" s="22">
        <v>0</v>
      </c>
      <c r="K2384" s="22">
        <v>-978.98</v>
      </c>
      <c r="L2384" s="22">
        <v>47970.080000000002</v>
      </c>
      <c r="M2384" s="10"/>
      <c r="O2384" s="11"/>
    </row>
    <row r="2385" spans="1:15" x14ac:dyDescent="0.25">
      <c r="A2385" s="6">
        <v>1175</v>
      </c>
      <c r="B2385" s="5" t="s">
        <v>550</v>
      </c>
      <c r="C2385" s="5" t="s">
        <v>13</v>
      </c>
      <c r="D2385" s="5" t="s">
        <v>314</v>
      </c>
      <c r="E2385" s="5" t="s">
        <v>315</v>
      </c>
      <c r="F2385" s="5" t="s">
        <v>551</v>
      </c>
      <c r="G2385" s="22">
        <v>0</v>
      </c>
      <c r="H2385" s="22">
        <v>0</v>
      </c>
      <c r="I2385" s="22">
        <v>0</v>
      </c>
      <c r="J2385" s="22">
        <v>3088.56</v>
      </c>
      <c r="K2385" s="22">
        <v>0</v>
      </c>
      <c r="L2385" s="22">
        <v>3088.56</v>
      </c>
      <c r="M2385" s="10"/>
      <c r="O2385" s="11"/>
    </row>
    <row r="2386" spans="1:15" s="4" customFormat="1" x14ac:dyDescent="0.25">
      <c r="A2386" s="6">
        <v>1176</v>
      </c>
      <c r="B2386" s="5" t="s">
        <v>550</v>
      </c>
      <c r="C2386" s="5" t="s">
        <v>13</v>
      </c>
      <c r="D2386" s="5" t="s">
        <v>314</v>
      </c>
      <c r="E2386" s="5" t="s">
        <v>315</v>
      </c>
      <c r="F2386" s="5" t="s">
        <v>551</v>
      </c>
      <c r="G2386" s="22">
        <v>0</v>
      </c>
      <c r="H2386" s="22">
        <v>0</v>
      </c>
      <c r="I2386" s="22">
        <v>0</v>
      </c>
      <c r="J2386" s="22">
        <v>9583.4</v>
      </c>
      <c r="K2386" s="22">
        <v>0</v>
      </c>
      <c r="L2386" s="22">
        <v>9583.4</v>
      </c>
      <c r="M2386" s="10"/>
      <c r="N2386" s="67"/>
      <c r="O2386" s="11"/>
    </row>
    <row r="2387" spans="1:15" s="4" customFormat="1" x14ac:dyDescent="0.25">
      <c r="A2387" s="6">
        <v>1177</v>
      </c>
      <c r="B2387" s="5" t="s">
        <v>550</v>
      </c>
      <c r="C2387" s="5" t="s">
        <v>13</v>
      </c>
      <c r="D2387" s="5" t="s">
        <v>314</v>
      </c>
      <c r="E2387" s="5" t="s">
        <v>315</v>
      </c>
      <c r="F2387" s="5" t="s">
        <v>551</v>
      </c>
      <c r="G2387" s="22">
        <v>0</v>
      </c>
      <c r="H2387" s="22">
        <v>0</v>
      </c>
      <c r="I2387" s="22">
        <v>0</v>
      </c>
      <c r="J2387" s="22">
        <v>49962.62</v>
      </c>
      <c r="K2387" s="22">
        <v>0</v>
      </c>
      <c r="L2387" s="22">
        <v>49962.62</v>
      </c>
      <c r="M2387" s="10"/>
      <c r="N2387" s="67"/>
      <c r="O2387" s="11"/>
    </row>
    <row r="2388" spans="1:15" x14ac:dyDescent="0.25">
      <c r="A2388" s="6"/>
      <c r="B2388" s="5"/>
      <c r="C2388" s="5"/>
      <c r="D2388" s="5" t="s">
        <v>314</v>
      </c>
      <c r="E2388" s="5" t="s">
        <v>315</v>
      </c>
      <c r="F2388" s="5" t="s">
        <v>551</v>
      </c>
      <c r="G2388" s="14">
        <f>SUBTOTAL(9,G2368:G2387)</f>
        <v>773271.40999999992</v>
      </c>
      <c r="H2388" s="14">
        <f t="shared" ref="H2388:L2388" si="602">SUBTOTAL(9,H2368:H2387)</f>
        <v>0</v>
      </c>
      <c r="I2388" s="14">
        <f t="shared" si="602"/>
        <v>0</v>
      </c>
      <c r="J2388" s="14">
        <f t="shared" si="602"/>
        <v>92792.57</v>
      </c>
      <c r="K2388" s="14">
        <f t="shared" si="602"/>
        <v>-15465.42</v>
      </c>
      <c r="L2388" s="14">
        <f t="shared" si="602"/>
        <v>850598.55999999994</v>
      </c>
      <c r="M2388" s="10">
        <v>2699</v>
      </c>
      <c r="N2388" s="69"/>
      <c r="O2388" s="11">
        <f>O2366+1</f>
        <v>580</v>
      </c>
    </row>
    <row r="2389" spans="1:15" x14ac:dyDescent="0.25">
      <c r="A2389" s="10"/>
      <c r="G2389" s="21"/>
      <c r="H2389" s="21"/>
      <c r="I2389" s="21"/>
      <c r="J2389" s="21"/>
      <c r="K2389" s="21"/>
      <c r="L2389" s="21"/>
      <c r="M2389" s="10"/>
      <c r="O2389" s="11"/>
    </row>
    <row r="2390" spans="1:15" s="4" customFormat="1" x14ac:dyDescent="0.25">
      <c r="A2390" s="6">
        <v>1178</v>
      </c>
      <c r="B2390" s="5" t="s">
        <v>550</v>
      </c>
      <c r="C2390" s="5" t="s">
        <v>17</v>
      </c>
      <c r="D2390" s="5" t="s">
        <v>314</v>
      </c>
      <c r="E2390" s="5" t="s">
        <v>315</v>
      </c>
      <c r="F2390" s="5" t="s">
        <v>552</v>
      </c>
      <c r="G2390" s="22">
        <v>1.85</v>
      </c>
      <c r="H2390" s="22">
        <v>0</v>
      </c>
      <c r="I2390" s="22">
        <v>0</v>
      </c>
      <c r="J2390" s="22">
        <v>0</v>
      </c>
      <c r="K2390" s="22">
        <v>-0.04</v>
      </c>
      <c r="L2390" s="22">
        <v>1.81</v>
      </c>
      <c r="M2390" s="10"/>
      <c r="N2390" s="67"/>
      <c r="O2390" s="11"/>
    </row>
    <row r="2391" spans="1:15" s="4" customFormat="1" x14ac:dyDescent="0.25">
      <c r="A2391" s="6">
        <v>1179</v>
      </c>
      <c r="B2391" s="5" t="s">
        <v>550</v>
      </c>
      <c r="C2391" s="5" t="s">
        <v>13</v>
      </c>
      <c r="D2391" s="5" t="s">
        <v>314</v>
      </c>
      <c r="E2391" s="5" t="s">
        <v>315</v>
      </c>
      <c r="F2391" s="5" t="s">
        <v>552</v>
      </c>
      <c r="G2391" s="22">
        <v>0</v>
      </c>
      <c r="H2391" s="22">
        <v>0</v>
      </c>
      <c r="I2391" s="22">
        <v>0</v>
      </c>
      <c r="J2391" s="22">
        <v>0.2</v>
      </c>
      <c r="K2391" s="22">
        <v>0</v>
      </c>
      <c r="L2391" s="22">
        <v>0.2</v>
      </c>
      <c r="M2391" s="10"/>
      <c r="N2391" s="67"/>
      <c r="O2391" s="11"/>
    </row>
    <row r="2392" spans="1:15" x14ac:dyDescent="0.25">
      <c r="A2392" s="6">
        <v>1180</v>
      </c>
      <c r="B2392" s="5" t="s">
        <v>550</v>
      </c>
      <c r="C2392" s="5" t="s">
        <v>13</v>
      </c>
      <c r="D2392" s="5" t="s">
        <v>314</v>
      </c>
      <c r="E2392" s="5" t="s">
        <v>315</v>
      </c>
      <c r="F2392" s="5" t="s">
        <v>552</v>
      </c>
      <c r="G2392" s="22">
        <v>0</v>
      </c>
      <c r="H2392" s="22">
        <v>0</v>
      </c>
      <c r="I2392" s="22">
        <v>0</v>
      </c>
      <c r="J2392" s="22">
        <v>0.57999999999999996</v>
      </c>
      <c r="K2392" s="22">
        <v>0</v>
      </c>
      <c r="L2392" s="22">
        <v>0.57999999999999996</v>
      </c>
      <c r="M2392" s="10"/>
      <c r="O2392" s="11"/>
    </row>
    <row r="2393" spans="1:15" x14ac:dyDescent="0.25">
      <c r="A2393" s="6">
        <v>1181</v>
      </c>
      <c r="B2393" s="5" t="s">
        <v>550</v>
      </c>
      <c r="C2393" s="5" t="s">
        <v>13</v>
      </c>
      <c r="D2393" s="5" t="s">
        <v>314</v>
      </c>
      <c r="E2393" s="5" t="s">
        <v>315</v>
      </c>
      <c r="F2393" s="5" t="s">
        <v>552</v>
      </c>
      <c r="G2393" s="22">
        <v>0</v>
      </c>
      <c r="H2393" s="22">
        <v>0</v>
      </c>
      <c r="I2393" s="22">
        <v>0</v>
      </c>
      <c r="J2393" s="22">
        <v>0</v>
      </c>
      <c r="K2393" s="22">
        <v>0</v>
      </c>
      <c r="L2393" s="22">
        <v>0</v>
      </c>
      <c r="M2393" s="10"/>
      <c r="O2393" s="11"/>
    </row>
    <row r="2394" spans="1:15" s="4" customFormat="1" x14ac:dyDescent="0.25">
      <c r="A2394" s="6">
        <v>1182</v>
      </c>
      <c r="B2394" s="5" t="s">
        <v>550</v>
      </c>
      <c r="C2394" s="5" t="s">
        <v>13</v>
      </c>
      <c r="D2394" s="5" t="s">
        <v>314</v>
      </c>
      <c r="E2394" s="5" t="s">
        <v>315</v>
      </c>
      <c r="F2394" s="5" t="s">
        <v>552</v>
      </c>
      <c r="G2394" s="22">
        <v>0</v>
      </c>
      <c r="H2394" s="22">
        <v>0</v>
      </c>
      <c r="I2394" s="22">
        <v>0</v>
      </c>
      <c r="J2394" s="22">
        <v>0.34</v>
      </c>
      <c r="K2394" s="22">
        <v>0</v>
      </c>
      <c r="L2394" s="22">
        <v>0.34</v>
      </c>
      <c r="M2394" s="10"/>
      <c r="N2394" s="67"/>
      <c r="O2394" s="11"/>
    </row>
    <row r="2395" spans="1:15" s="4" customFormat="1" x14ac:dyDescent="0.25">
      <c r="A2395" s="6">
        <v>1183</v>
      </c>
      <c r="B2395" s="5" t="s">
        <v>550</v>
      </c>
      <c r="C2395" s="5" t="s">
        <v>13</v>
      </c>
      <c r="D2395" s="5" t="s">
        <v>314</v>
      </c>
      <c r="E2395" s="5" t="s">
        <v>315</v>
      </c>
      <c r="F2395" s="5" t="s">
        <v>552</v>
      </c>
      <c r="G2395" s="22">
        <v>0</v>
      </c>
      <c r="H2395" s="22">
        <v>0</v>
      </c>
      <c r="I2395" s="22">
        <v>0</v>
      </c>
      <c r="J2395" s="22">
        <v>0.22</v>
      </c>
      <c r="K2395" s="22">
        <v>0</v>
      </c>
      <c r="L2395" s="22">
        <v>0.22</v>
      </c>
      <c r="M2395" s="10"/>
      <c r="N2395" s="67"/>
      <c r="O2395" s="11"/>
    </row>
    <row r="2396" spans="1:15" x14ac:dyDescent="0.25">
      <c r="A2396" s="6">
        <v>1184</v>
      </c>
      <c r="B2396" s="5" t="s">
        <v>550</v>
      </c>
      <c r="C2396" s="5" t="s">
        <v>13</v>
      </c>
      <c r="D2396" s="5" t="s">
        <v>314</v>
      </c>
      <c r="E2396" s="5" t="s">
        <v>315</v>
      </c>
      <c r="F2396" s="5" t="s">
        <v>552</v>
      </c>
      <c r="G2396" s="22">
        <v>0</v>
      </c>
      <c r="H2396" s="22">
        <v>0</v>
      </c>
      <c r="I2396" s="22">
        <v>0</v>
      </c>
      <c r="J2396" s="22">
        <v>0.4</v>
      </c>
      <c r="K2396" s="22">
        <v>0</v>
      </c>
      <c r="L2396" s="22">
        <v>0.4</v>
      </c>
      <c r="M2396" s="10"/>
      <c r="O2396" s="11"/>
    </row>
    <row r="2397" spans="1:15" x14ac:dyDescent="0.25">
      <c r="A2397" s="6">
        <v>1185</v>
      </c>
      <c r="B2397" s="5" t="s">
        <v>550</v>
      </c>
      <c r="C2397" s="5" t="s">
        <v>13</v>
      </c>
      <c r="D2397" s="5" t="s">
        <v>314</v>
      </c>
      <c r="E2397" s="5" t="s">
        <v>315</v>
      </c>
      <c r="F2397" s="5" t="s">
        <v>552</v>
      </c>
      <c r="G2397" s="22">
        <v>0</v>
      </c>
      <c r="H2397" s="22">
        <v>0</v>
      </c>
      <c r="I2397" s="22">
        <v>0</v>
      </c>
      <c r="J2397" s="22">
        <v>0.42</v>
      </c>
      <c r="K2397" s="22">
        <v>0</v>
      </c>
      <c r="L2397" s="22">
        <v>0.42</v>
      </c>
      <c r="M2397" s="10"/>
      <c r="O2397" s="11"/>
    </row>
    <row r="2398" spans="1:15" s="4" customFormat="1" x14ac:dyDescent="0.25">
      <c r="A2398" s="6">
        <v>1186</v>
      </c>
      <c r="B2398" s="5" t="s">
        <v>550</v>
      </c>
      <c r="C2398" s="5" t="s">
        <v>17</v>
      </c>
      <c r="D2398" s="5" t="s">
        <v>314</v>
      </c>
      <c r="E2398" s="5" t="s">
        <v>315</v>
      </c>
      <c r="F2398" s="5" t="s">
        <v>552</v>
      </c>
      <c r="G2398" s="22">
        <v>5.74</v>
      </c>
      <c r="H2398" s="22">
        <v>0</v>
      </c>
      <c r="I2398" s="22">
        <v>0</v>
      </c>
      <c r="J2398" s="22">
        <v>0</v>
      </c>
      <c r="K2398" s="22">
        <v>-0.11</v>
      </c>
      <c r="L2398" s="22">
        <v>5.63</v>
      </c>
      <c r="M2398" s="10"/>
      <c r="N2398" s="67"/>
      <c r="O2398" s="11"/>
    </row>
    <row r="2399" spans="1:15" s="4" customFormat="1" x14ac:dyDescent="0.25">
      <c r="A2399" s="6">
        <v>1187</v>
      </c>
      <c r="B2399" s="5" t="s">
        <v>550</v>
      </c>
      <c r="C2399" s="5" t="s">
        <v>17</v>
      </c>
      <c r="D2399" s="5" t="s">
        <v>314</v>
      </c>
      <c r="E2399" s="5" t="s">
        <v>315</v>
      </c>
      <c r="F2399" s="5" t="s">
        <v>552</v>
      </c>
      <c r="G2399" s="22">
        <v>29.95</v>
      </c>
      <c r="H2399" s="22">
        <v>0</v>
      </c>
      <c r="I2399" s="22">
        <v>0</v>
      </c>
      <c r="J2399" s="22">
        <v>0</v>
      </c>
      <c r="K2399" s="22">
        <v>-0.6</v>
      </c>
      <c r="L2399" s="22">
        <v>29.35</v>
      </c>
      <c r="M2399" s="10"/>
      <c r="N2399" s="67"/>
      <c r="O2399" s="11"/>
    </row>
    <row r="2400" spans="1:15" x14ac:dyDescent="0.25">
      <c r="A2400" s="6">
        <v>1188</v>
      </c>
      <c r="B2400" s="5" t="s">
        <v>550</v>
      </c>
      <c r="C2400" s="5" t="s">
        <v>17</v>
      </c>
      <c r="D2400" s="5" t="s">
        <v>314</v>
      </c>
      <c r="E2400" s="5" t="s">
        <v>315</v>
      </c>
      <c r="F2400" s="5" t="s">
        <v>552</v>
      </c>
      <c r="G2400" s="22">
        <v>1.67</v>
      </c>
      <c r="H2400" s="22">
        <v>0</v>
      </c>
      <c r="I2400" s="22">
        <v>0</v>
      </c>
      <c r="J2400" s="22">
        <v>0</v>
      </c>
      <c r="K2400" s="22">
        <v>-0.03</v>
      </c>
      <c r="L2400" s="22">
        <v>1.64</v>
      </c>
      <c r="M2400" s="10"/>
      <c r="O2400" s="11"/>
    </row>
    <row r="2401" spans="1:15" x14ac:dyDescent="0.25">
      <c r="A2401" s="6">
        <v>1189</v>
      </c>
      <c r="B2401" s="5" t="s">
        <v>550</v>
      </c>
      <c r="C2401" s="5" t="s">
        <v>17</v>
      </c>
      <c r="D2401" s="5" t="s">
        <v>314</v>
      </c>
      <c r="E2401" s="5" t="s">
        <v>315</v>
      </c>
      <c r="F2401" s="5" t="s">
        <v>552</v>
      </c>
      <c r="G2401" s="22">
        <v>4.82</v>
      </c>
      <c r="H2401" s="22">
        <v>0</v>
      </c>
      <c r="I2401" s="22">
        <v>0</v>
      </c>
      <c r="J2401" s="22">
        <v>0</v>
      </c>
      <c r="K2401" s="22">
        <v>-0.1</v>
      </c>
      <c r="L2401" s="22">
        <v>4.72</v>
      </c>
      <c r="M2401" s="10"/>
      <c r="O2401" s="11"/>
    </row>
    <row r="2402" spans="1:15" s="4" customFormat="1" x14ac:dyDescent="0.25">
      <c r="A2402" s="6">
        <v>1190</v>
      </c>
      <c r="B2402" s="5" t="s">
        <v>550</v>
      </c>
      <c r="C2402" s="5" t="s">
        <v>17</v>
      </c>
      <c r="D2402" s="5" t="s">
        <v>314</v>
      </c>
      <c r="E2402" s="5" t="s">
        <v>315</v>
      </c>
      <c r="F2402" s="5" t="s">
        <v>552</v>
      </c>
      <c r="G2402" s="22">
        <v>0.01</v>
      </c>
      <c r="H2402" s="22">
        <v>0</v>
      </c>
      <c r="I2402" s="22">
        <v>0</v>
      </c>
      <c r="J2402" s="22">
        <v>0</v>
      </c>
      <c r="K2402" s="22">
        <v>0</v>
      </c>
      <c r="L2402" s="22">
        <v>0.01</v>
      </c>
      <c r="M2402" s="10"/>
      <c r="N2402" s="67"/>
      <c r="O2402" s="11"/>
    </row>
    <row r="2403" spans="1:15" x14ac:dyDescent="0.25">
      <c r="A2403" s="6">
        <v>1191</v>
      </c>
      <c r="B2403" s="5" t="s">
        <v>550</v>
      </c>
      <c r="C2403" s="5" t="s">
        <v>17</v>
      </c>
      <c r="D2403" s="5" t="s">
        <v>314</v>
      </c>
      <c r="E2403" s="5" t="s">
        <v>315</v>
      </c>
      <c r="F2403" s="5" t="s">
        <v>552</v>
      </c>
      <c r="G2403" s="22">
        <v>2.86</v>
      </c>
      <c r="H2403" s="22">
        <v>0</v>
      </c>
      <c r="I2403" s="22">
        <v>0</v>
      </c>
      <c r="J2403" s="22">
        <v>0</v>
      </c>
      <c r="K2403" s="22">
        <v>-0.06</v>
      </c>
      <c r="L2403" s="22">
        <v>2.8</v>
      </c>
      <c r="M2403" s="10"/>
      <c r="O2403" s="11"/>
    </row>
    <row r="2404" spans="1:15" x14ac:dyDescent="0.25">
      <c r="A2404" s="6">
        <v>1192</v>
      </c>
      <c r="B2404" s="5" t="s">
        <v>550</v>
      </c>
      <c r="C2404" s="5" t="s">
        <v>17</v>
      </c>
      <c r="D2404" s="5" t="s">
        <v>314</v>
      </c>
      <c r="E2404" s="5" t="s">
        <v>315</v>
      </c>
      <c r="F2404" s="5" t="s">
        <v>552</v>
      </c>
      <c r="G2404" s="22">
        <v>1.87</v>
      </c>
      <c r="H2404" s="22">
        <v>0</v>
      </c>
      <c r="I2404" s="22">
        <v>0</v>
      </c>
      <c r="J2404" s="22">
        <v>0</v>
      </c>
      <c r="K2404" s="22">
        <v>-0.04</v>
      </c>
      <c r="L2404" s="22">
        <v>1.83</v>
      </c>
      <c r="M2404" s="10"/>
      <c r="O2404" s="11"/>
    </row>
    <row r="2405" spans="1:15" s="4" customFormat="1" x14ac:dyDescent="0.25">
      <c r="A2405" s="6">
        <v>1193</v>
      </c>
      <c r="B2405" s="5" t="s">
        <v>550</v>
      </c>
      <c r="C2405" s="5" t="s">
        <v>17</v>
      </c>
      <c r="D2405" s="5" t="s">
        <v>314</v>
      </c>
      <c r="E2405" s="5" t="s">
        <v>315</v>
      </c>
      <c r="F2405" s="5" t="s">
        <v>552</v>
      </c>
      <c r="G2405" s="22">
        <v>3.33</v>
      </c>
      <c r="H2405" s="22">
        <v>0</v>
      </c>
      <c r="I2405" s="22">
        <v>0</v>
      </c>
      <c r="J2405" s="22">
        <v>0</v>
      </c>
      <c r="K2405" s="22">
        <v>-7.0000000000000007E-2</v>
      </c>
      <c r="L2405" s="22">
        <v>3.26</v>
      </c>
      <c r="M2405" s="10"/>
      <c r="N2405" s="67"/>
      <c r="O2405" s="11"/>
    </row>
    <row r="2406" spans="1:15" x14ac:dyDescent="0.25">
      <c r="A2406" s="6">
        <v>1194</v>
      </c>
      <c r="B2406" s="5" t="s">
        <v>550</v>
      </c>
      <c r="C2406" s="5" t="s">
        <v>17</v>
      </c>
      <c r="D2406" s="5" t="s">
        <v>314</v>
      </c>
      <c r="E2406" s="5" t="s">
        <v>315</v>
      </c>
      <c r="F2406" s="5" t="s">
        <v>552</v>
      </c>
      <c r="G2406" s="22">
        <v>3.52</v>
      </c>
      <c r="H2406" s="22">
        <v>0</v>
      </c>
      <c r="I2406" s="22">
        <v>0</v>
      </c>
      <c r="J2406" s="22">
        <v>0</v>
      </c>
      <c r="K2406" s="22">
        <v>-7.0000000000000007E-2</v>
      </c>
      <c r="L2406" s="22">
        <v>3.45</v>
      </c>
      <c r="M2406" s="10"/>
      <c r="O2406" s="11"/>
    </row>
    <row r="2407" spans="1:15" x14ac:dyDescent="0.25">
      <c r="A2407" s="6">
        <v>1195</v>
      </c>
      <c r="B2407" s="5" t="s">
        <v>550</v>
      </c>
      <c r="C2407" s="5" t="s">
        <v>13</v>
      </c>
      <c r="D2407" s="5" t="s">
        <v>314</v>
      </c>
      <c r="E2407" s="5" t="s">
        <v>315</v>
      </c>
      <c r="F2407" s="5" t="s">
        <v>552</v>
      </c>
      <c r="G2407" s="22">
        <v>0</v>
      </c>
      <c r="H2407" s="22">
        <v>0</v>
      </c>
      <c r="I2407" s="22">
        <v>0</v>
      </c>
      <c r="J2407" s="22">
        <v>0.22</v>
      </c>
      <c r="K2407" s="22">
        <v>0</v>
      </c>
      <c r="L2407" s="22">
        <v>0.22</v>
      </c>
      <c r="M2407" s="10"/>
      <c r="O2407" s="11"/>
    </row>
    <row r="2408" spans="1:15" s="4" customFormat="1" x14ac:dyDescent="0.25">
      <c r="A2408" s="6">
        <v>1196</v>
      </c>
      <c r="B2408" s="5" t="s">
        <v>550</v>
      </c>
      <c r="C2408" s="5" t="s">
        <v>13</v>
      </c>
      <c r="D2408" s="5" t="s">
        <v>314</v>
      </c>
      <c r="E2408" s="5" t="s">
        <v>315</v>
      </c>
      <c r="F2408" s="5" t="s">
        <v>552</v>
      </c>
      <c r="G2408" s="22">
        <v>0</v>
      </c>
      <c r="H2408" s="22">
        <v>0</v>
      </c>
      <c r="I2408" s="22">
        <v>0</v>
      </c>
      <c r="J2408" s="22">
        <v>0.69</v>
      </c>
      <c r="K2408" s="22">
        <v>0</v>
      </c>
      <c r="L2408" s="22">
        <v>0.69</v>
      </c>
      <c r="M2408" s="10"/>
      <c r="N2408" s="67"/>
      <c r="O2408" s="11"/>
    </row>
    <row r="2409" spans="1:15" x14ac:dyDescent="0.25">
      <c r="A2409" s="6">
        <v>1197</v>
      </c>
      <c r="B2409" s="5" t="s">
        <v>550</v>
      </c>
      <c r="C2409" s="5" t="s">
        <v>13</v>
      </c>
      <c r="D2409" s="5" t="s">
        <v>314</v>
      </c>
      <c r="E2409" s="5" t="s">
        <v>315</v>
      </c>
      <c r="F2409" s="5" t="s">
        <v>552</v>
      </c>
      <c r="G2409" s="22">
        <v>0</v>
      </c>
      <c r="H2409" s="22">
        <v>0</v>
      </c>
      <c r="I2409" s="22">
        <v>0</v>
      </c>
      <c r="J2409" s="22">
        <v>3.59</v>
      </c>
      <c r="K2409" s="22">
        <v>0</v>
      </c>
      <c r="L2409" s="22">
        <v>3.59</v>
      </c>
      <c r="M2409" s="10"/>
      <c r="O2409" s="11"/>
    </row>
    <row r="2410" spans="1:15" x14ac:dyDescent="0.25">
      <c r="A2410" s="6"/>
      <c r="B2410" s="5"/>
      <c r="C2410" s="5"/>
      <c r="D2410" s="5" t="s">
        <v>314</v>
      </c>
      <c r="E2410" s="5" t="s">
        <v>315</v>
      </c>
      <c r="F2410" s="5" t="s">
        <v>552</v>
      </c>
      <c r="G2410" s="14">
        <f t="shared" ref="G2410:L2410" si="603">SUBTOTAL(9,G2390:G2409)</f>
        <v>55.62</v>
      </c>
      <c r="H2410" s="14">
        <f t="shared" si="603"/>
        <v>0</v>
      </c>
      <c r="I2410" s="14">
        <f t="shared" si="603"/>
        <v>0</v>
      </c>
      <c r="J2410" s="14">
        <f t="shared" si="603"/>
        <v>6.66</v>
      </c>
      <c r="K2410" s="14">
        <f t="shared" si="603"/>
        <v>-1.1200000000000001</v>
      </c>
      <c r="L2410" s="14">
        <f t="shared" si="603"/>
        <v>61.16</v>
      </c>
      <c r="M2410" s="10">
        <v>2700</v>
      </c>
      <c r="N2410" s="69"/>
      <c r="O2410" s="11">
        <f>O2388+1</f>
        <v>581</v>
      </c>
    </row>
    <row r="2411" spans="1:15" s="4" customFormat="1" x14ac:dyDescent="0.25">
      <c r="A2411" s="10"/>
      <c r="B2411"/>
      <c r="C2411"/>
      <c r="D2411"/>
      <c r="E2411"/>
      <c r="F2411"/>
      <c r="G2411" s="21"/>
      <c r="H2411" s="21"/>
      <c r="I2411" s="21"/>
      <c r="J2411" s="21"/>
      <c r="K2411" s="21"/>
      <c r="L2411" s="21"/>
      <c r="M2411" s="10"/>
      <c r="N2411" s="67"/>
      <c r="O2411" s="11"/>
    </row>
    <row r="2412" spans="1:15" x14ac:dyDescent="0.25">
      <c r="A2412" s="6">
        <v>1198</v>
      </c>
      <c r="B2412" s="5" t="s">
        <v>18</v>
      </c>
      <c r="C2412" s="5" t="s">
        <v>17</v>
      </c>
      <c r="D2412" s="5" t="s">
        <v>316</v>
      </c>
      <c r="E2412" s="5" t="s">
        <v>317</v>
      </c>
      <c r="F2412" s="5" t="s">
        <v>19</v>
      </c>
      <c r="G2412" s="22">
        <v>0.77</v>
      </c>
      <c r="H2412" s="22">
        <v>0</v>
      </c>
      <c r="I2412" s="22">
        <v>0</v>
      </c>
      <c r="J2412" s="22">
        <v>0</v>
      </c>
      <c r="K2412" s="22">
        <v>-0.68</v>
      </c>
      <c r="L2412" s="22">
        <v>0.09</v>
      </c>
      <c r="M2412" s="10"/>
      <c r="O2412" s="11"/>
    </row>
    <row r="2413" spans="1:15" x14ac:dyDescent="0.25">
      <c r="A2413" s="6"/>
      <c r="B2413" s="5"/>
      <c r="C2413" s="5"/>
      <c r="D2413" s="5" t="s">
        <v>316</v>
      </c>
      <c r="E2413" s="5" t="s">
        <v>317</v>
      </c>
      <c r="F2413" s="5" t="s">
        <v>19</v>
      </c>
      <c r="G2413" s="14">
        <f t="shared" ref="G2413:L2413" si="604">SUBTOTAL(9,G2412:G2412)</f>
        <v>0.77</v>
      </c>
      <c r="H2413" s="14">
        <f t="shared" si="604"/>
        <v>0</v>
      </c>
      <c r="I2413" s="14">
        <f t="shared" si="604"/>
        <v>0</v>
      </c>
      <c r="J2413" s="14">
        <f t="shared" si="604"/>
        <v>0</v>
      </c>
      <c r="K2413" s="14">
        <f t="shared" si="604"/>
        <v>-0.68</v>
      </c>
      <c r="L2413" s="14">
        <f t="shared" si="604"/>
        <v>0.09</v>
      </c>
      <c r="M2413" s="10">
        <v>2701</v>
      </c>
      <c r="N2413" s="69"/>
      <c r="O2413" s="11">
        <f>O2410+1</f>
        <v>582</v>
      </c>
    </row>
    <row r="2414" spans="1:15" s="4" customFormat="1" x14ac:dyDescent="0.25">
      <c r="A2414" s="10"/>
      <c r="B2414"/>
      <c r="C2414"/>
      <c r="D2414"/>
      <c r="E2414"/>
      <c r="F2414"/>
      <c r="G2414" s="21"/>
      <c r="H2414" s="21"/>
      <c r="I2414" s="21"/>
      <c r="J2414" s="21"/>
      <c r="K2414" s="21"/>
      <c r="L2414" s="21"/>
      <c r="M2414" s="10"/>
      <c r="N2414" s="67"/>
      <c r="O2414" s="11"/>
    </row>
    <row r="2415" spans="1:15" x14ac:dyDescent="0.25">
      <c r="A2415" s="6">
        <v>1199</v>
      </c>
      <c r="B2415" s="5" t="s">
        <v>550</v>
      </c>
      <c r="C2415" s="5" t="s">
        <v>17</v>
      </c>
      <c r="D2415" s="5" t="s">
        <v>316</v>
      </c>
      <c r="E2415" s="5" t="s">
        <v>317</v>
      </c>
      <c r="F2415" s="5" t="s">
        <v>551</v>
      </c>
      <c r="G2415" s="22">
        <v>66736.33</v>
      </c>
      <c r="H2415" s="22">
        <v>0</v>
      </c>
      <c r="I2415" s="22">
        <v>0</v>
      </c>
      <c r="J2415" s="22">
        <v>0</v>
      </c>
      <c r="K2415" s="22">
        <v>-1334.73</v>
      </c>
      <c r="L2415" s="22">
        <v>65401.599999999999</v>
      </c>
      <c r="M2415" s="10"/>
      <c r="O2415" s="11"/>
    </row>
    <row r="2416" spans="1:15" x14ac:dyDescent="0.25">
      <c r="A2416" s="6">
        <v>1200</v>
      </c>
      <c r="B2416" s="5" t="s">
        <v>550</v>
      </c>
      <c r="C2416" s="5" t="s">
        <v>13</v>
      </c>
      <c r="D2416" s="5" t="s">
        <v>316</v>
      </c>
      <c r="E2416" s="5" t="s">
        <v>317</v>
      </c>
      <c r="F2416" s="5" t="s">
        <v>551</v>
      </c>
      <c r="G2416" s="22">
        <v>0</v>
      </c>
      <c r="H2416" s="22">
        <v>0</v>
      </c>
      <c r="I2416" s="22">
        <v>0</v>
      </c>
      <c r="J2416" s="22">
        <v>8008.36</v>
      </c>
      <c r="K2416" s="22">
        <v>0</v>
      </c>
      <c r="L2416" s="22">
        <v>8008.36</v>
      </c>
      <c r="M2416" s="10"/>
      <c r="O2416" s="11"/>
    </row>
    <row r="2417" spans="1:15" s="4" customFormat="1" x14ac:dyDescent="0.25">
      <c r="A2417" s="6"/>
      <c r="B2417" s="5"/>
      <c r="C2417" s="5"/>
      <c r="D2417" s="5" t="s">
        <v>316</v>
      </c>
      <c r="E2417" s="5" t="s">
        <v>317</v>
      </c>
      <c r="F2417" s="5" t="s">
        <v>551</v>
      </c>
      <c r="G2417" s="14">
        <f t="shared" ref="G2417:L2417" si="605">SUBTOTAL(9,G2415:G2416)</f>
        <v>66736.33</v>
      </c>
      <c r="H2417" s="14">
        <f t="shared" si="605"/>
        <v>0</v>
      </c>
      <c r="I2417" s="14">
        <f t="shared" si="605"/>
        <v>0</v>
      </c>
      <c r="J2417" s="14">
        <f t="shared" si="605"/>
        <v>8008.36</v>
      </c>
      <c r="K2417" s="14">
        <f t="shared" si="605"/>
        <v>-1334.73</v>
      </c>
      <c r="L2417" s="14">
        <f t="shared" si="605"/>
        <v>73409.959999999992</v>
      </c>
      <c r="M2417" s="10">
        <v>2702</v>
      </c>
      <c r="N2417" s="69"/>
      <c r="O2417" s="11">
        <f>O2413+1</f>
        <v>583</v>
      </c>
    </row>
    <row r="2418" spans="1:15" x14ac:dyDescent="0.25">
      <c r="A2418" s="10"/>
      <c r="G2418" s="21"/>
      <c r="H2418" s="21"/>
      <c r="I2418" s="21"/>
      <c r="J2418" s="21"/>
      <c r="K2418" s="21"/>
      <c r="L2418" s="21"/>
      <c r="M2418" s="10"/>
      <c r="O2418" s="11"/>
    </row>
    <row r="2419" spans="1:15" x14ac:dyDescent="0.25">
      <c r="A2419" s="6">
        <v>1201</v>
      </c>
      <c r="B2419" s="5" t="s">
        <v>550</v>
      </c>
      <c r="C2419" s="5" t="s">
        <v>17</v>
      </c>
      <c r="D2419" s="5" t="s">
        <v>316</v>
      </c>
      <c r="E2419" s="5" t="s">
        <v>317</v>
      </c>
      <c r="F2419" s="5" t="s">
        <v>552</v>
      </c>
      <c r="G2419" s="22">
        <v>4.8</v>
      </c>
      <c r="H2419" s="22">
        <v>0</v>
      </c>
      <c r="I2419" s="22">
        <v>0</v>
      </c>
      <c r="J2419" s="22">
        <v>0</v>
      </c>
      <c r="K2419" s="22">
        <v>-0.1</v>
      </c>
      <c r="L2419" s="22">
        <v>4.7</v>
      </c>
      <c r="M2419" s="10"/>
      <c r="O2419" s="11"/>
    </row>
    <row r="2420" spans="1:15" s="4" customFormat="1" x14ac:dyDescent="0.25">
      <c r="A2420" s="6">
        <v>1202</v>
      </c>
      <c r="B2420" s="5" t="s">
        <v>550</v>
      </c>
      <c r="C2420" s="5" t="s">
        <v>13</v>
      </c>
      <c r="D2420" s="5" t="s">
        <v>316</v>
      </c>
      <c r="E2420" s="5" t="s">
        <v>317</v>
      </c>
      <c r="F2420" s="5" t="s">
        <v>552</v>
      </c>
      <c r="G2420" s="22">
        <v>0</v>
      </c>
      <c r="H2420" s="22">
        <v>0</v>
      </c>
      <c r="I2420" s="22">
        <v>0</v>
      </c>
      <c r="J2420" s="22">
        <v>0.57999999999999996</v>
      </c>
      <c r="K2420" s="22">
        <v>0</v>
      </c>
      <c r="L2420" s="22">
        <v>0.57999999999999996</v>
      </c>
      <c r="M2420" s="10"/>
      <c r="N2420" s="67"/>
      <c r="O2420" s="11"/>
    </row>
    <row r="2421" spans="1:15" x14ac:dyDescent="0.25">
      <c r="A2421" s="6"/>
      <c r="B2421" s="5"/>
      <c r="C2421" s="5"/>
      <c r="D2421" s="5" t="s">
        <v>316</v>
      </c>
      <c r="E2421" s="5" t="s">
        <v>317</v>
      </c>
      <c r="F2421" s="5" t="s">
        <v>552</v>
      </c>
      <c r="G2421" s="14">
        <f t="shared" ref="G2421:L2421" si="606">SUBTOTAL(9,G2419:G2420)</f>
        <v>4.8</v>
      </c>
      <c r="H2421" s="14">
        <f t="shared" si="606"/>
        <v>0</v>
      </c>
      <c r="I2421" s="14">
        <f t="shared" si="606"/>
        <v>0</v>
      </c>
      <c r="J2421" s="14">
        <f t="shared" si="606"/>
        <v>0.57999999999999996</v>
      </c>
      <c r="K2421" s="14">
        <f t="shared" si="606"/>
        <v>-0.1</v>
      </c>
      <c r="L2421" s="14">
        <f t="shared" si="606"/>
        <v>5.28</v>
      </c>
      <c r="M2421" s="10">
        <v>2703</v>
      </c>
      <c r="N2421" s="69"/>
      <c r="O2421" s="11">
        <f>O2417+1</f>
        <v>584</v>
      </c>
    </row>
    <row r="2422" spans="1:15" x14ac:dyDescent="0.25">
      <c r="A2422" s="10"/>
      <c r="G2422" s="21"/>
      <c r="H2422" s="21"/>
      <c r="I2422" s="21"/>
      <c r="J2422" s="21"/>
      <c r="K2422" s="21"/>
      <c r="L2422" s="21"/>
      <c r="M2422" s="10"/>
      <c r="O2422" s="11"/>
    </row>
    <row r="2423" spans="1:15" s="4" customFormat="1" x14ac:dyDescent="0.25">
      <c r="A2423" s="6">
        <v>1203</v>
      </c>
      <c r="B2423" s="5" t="s">
        <v>18</v>
      </c>
      <c r="C2423" s="5" t="s">
        <v>17</v>
      </c>
      <c r="D2423" s="5" t="s">
        <v>318</v>
      </c>
      <c r="E2423" s="5" t="s">
        <v>297</v>
      </c>
      <c r="F2423" s="5" t="s">
        <v>19</v>
      </c>
      <c r="G2423" s="22">
        <v>14.65</v>
      </c>
      <c r="H2423" s="22">
        <v>0</v>
      </c>
      <c r="I2423" s="22">
        <v>0</v>
      </c>
      <c r="J2423" s="22">
        <v>0</v>
      </c>
      <c r="K2423" s="22">
        <v>-13</v>
      </c>
      <c r="L2423" s="22">
        <v>1.65</v>
      </c>
      <c r="M2423" s="10"/>
      <c r="N2423" s="67"/>
      <c r="O2423" s="11"/>
    </row>
    <row r="2424" spans="1:15" s="4" customFormat="1" x14ac:dyDescent="0.25">
      <c r="A2424" s="6"/>
      <c r="B2424" s="5"/>
      <c r="C2424" s="5"/>
      <c r="D2424" s="5" t="s">
        <v>318</v>
      </c>
      <c r="E2424" s="5" t="s">
        <v>297</v>
      </c>
      <c r="F2424" s="5" t="s">
        <v>19</v>
      </c>
      <c r="G2424" s="14">
        <f t="shared" ref="G2424:L2424" si="607">SUBTOTAL(9,G2423:G2423)</f>
        <v>14.65</v>
      </c>
      <c r="H2424" s="14">
        <f t="shared" si="607"/>
        <v>0</v>
      </c>
      <c r="I2424" s="14">
        <f t="shared" si="607"/>
        <v>0</v>
      </c>
      <c r="J2424" s="14">
        <f t="shared" si="607"/>
        <v>0</v>
      </c>
      <c r="K2424" s="14">
        <f t="shared" si="607"/>
        <v>-13</v>
      </c>
      <c r="L2424" s="14">
        <f t="shared" si="607"/>
        <v>1.65</v>
      </c>
      <c r="M2424" s="10">
        <v>2704</v>
      </c>
      <c r="N2424" s="69"/>
      <c r="O2424" s="11">
        <f>O2421+1</f>
        <v>585</v>
      </c>
    </row>
    <row r="2425" spans="1:15" x14ac:dyDescent="0.25">
      <c r="A2425" s="10"/>
      <c r="G2425" s="21"/>
      <c r="H2425" s="21"/>
      <c r="I2425" s="21"/>
      <c r="J2425" s="21"/>
      <c r="K2425" s="21"/>
      <c r="L2425" s="21"/>
      <c r="M2425" s="10"/>
      <c r="O2425" s="11"/>
    </row>
    <row r="2426" spans="1:15" x14ac:dyDescent="0.25">
      <c r="A2426" s="6">
        <v>1204</v>
      </c>
      <c r="B2426" s="5" t="s">
        <v>550</v>
      </c>
      <c r="C2426" s="5" t="s">
        <v>17</v>
      </c>
      <c r="D2426" s="5" t="s">
        <v>318</v>
      </c>
      <c r="E2426" s="5" t="s">
        <v>297</v>
      </c>
      <c r="F2426" s="5" t="s">
        <v>551</v>
      </c>
      <c r="G2426" s="22">
        <v>1081561.07</v>
      </c>
      <c r="H2426" s="22">
        <v>0</v>
      </c>
      <c r="I2426" s="22">
        <v>0</v>
      </c>
      <c r="J2426" s="22">
        <v>0</v>
      </c>
      <c r="K2426" s="22">
        <v>-21631.22</v>
      </c>
      <c r="L2426" s="22">
        <v>1059929.8500000001</v>
      </c>
      <c r="M2426" s="10"/>
      <c r="O2426" s="11"/>
    </row>
    <row r="2427" spans="1:15" s="4" customFormat="1" x14ac:dyDescent="0.25">
      <c r="A2427" s="6">
        <v>1205</v>
      </c>
      <c r="B2427" s="5" t="s">
        <v>550</v>
      </c>
      <c r="C2427" s="5" t="s">
        <v>13</v>
      </c>
      <c r="D2427" s="5" t="s">
        <v>318</v>
      </c>
      <c r="E2427" s="5" t="s">
        <v>297</v>
      </c>
      <c r="F2427" s="5" t="s">
        <v>551</v>
      </c>
      <c r="G2427" s="22">
        <v>0</v>
      </c>
      <c r="H2427" s="22">
        <v>0</v>
      </c>
      <c r="I2427" s="22">
        <v>0</v>
      </c>
      <c r="J2427" s="22">
        <v>129787.33</v>
      </c>
      <c r="K2427" s="22">
        <v>0</v>
      </c>
      <c r="L2427" s="22">
        <v>129787.33</v>
      </c>
      <c r="M2427" s="10"/>
      <c r="N2427" s="67"/>
      <c r="O2427" s="11"/>
    </row>
    <row r="2428" spans="1:15" x14ac:dyDescent="0.25">
      <c r="A2428" s="6"/>
      <c r="B2428" s="5"/>
      <c r="C2428" s="5"/>
      <c r="D2428" s="5" t="s">
        <v>318</v>
      </c>
      <c r="E2428" s="5" t="s">
        <v>297</v>
      </c>
      <c r="F2428" s="5" t="s">
        <v>551</v>
      </c>
      <c r="G2428" s="14">
        <f t="shared" ref="G2428:L2428" si="608">SUBTOTAL(9,G2426:G2427)</f>
        <v>1081561.07</v>
      </c>
      <c r="H2428" s="14">
        <f t="shared" si="608"/>
        <v>0</v>
      </c>
      <c r="I2428" s="14">
        <f t="shared" si="608"/>
        <v>0</v>
      </c>
      <c r="J2428" s="14">
        <f t="shared" si="608"/>
        <v>129787.33</v>
      </c>
      <c r="K2428" s="14">
        <f t="shared" si="608"/>
        <v>-21631.22</v>
      </c>
      <c r="L2428" s="14">
        <f t="shared" si="608"/>
        <v>1189717.1800000002</v>
      </c>
      <c r="M2428" s="10">
        <v>2705</v>
      </c>
      <c r="N2428" s="69"/>
      <c r="O2428" s="11">
        <f>O2424+1</f>
        <v>586</v>
      </c>
    </row>
    <row r="2429" spans="1:15" x14ac:dyDescent="0.25">
      <c r="A2429" s="10"/>
      <c r="G2429" s="21"/>
      <c r="H2429" s="21"/>
      <c r="I2429" s="21"/>
      <c r="J2429" s="21"/>
      <c r="K2429" s="21"/>
      <c r="L2429" s="21"/>
      <c r="M2429" s="10"/>
      <c r="O2429" s="11"/>
    </row>
    <row r="2430" spans="1:15" s="4" customFormat="1" x14ac:dyDescent="0.25">
      <c r="A2430" s="6">
        <v>1206</v>
      </c>
      <c r="B2430" s="5" t="s">
        <v>550</v>
      </c>
      <c r="C2430" s="5" t="s">
        <v>17</v>
      </c>
      <c r="D2430" s="5" t="s">
        <v>318</v>
      </c>
      <c r="E2430" s="5" t="s">
        <v>297</v>
      </c>
      <c r="F2430" s="5" t="s">
        <v>552</v>
      </c>
      <c r="G2430" s="22">
        <v>77.790000000000006</v>
      </c>
      <c r="H2430" s="22">
        <v>0</v>
      </c>
      <c r="I2430" s="22">
        <v>0</v>
      </c>
      <c r="J2430" s="22">
        <v>0</v>
      </c>
      <c r="K2430" s="22">
        <v>-1.56</v>
      </c>
      <c r="L2430" s="22">
        <v>76.23</v>
      </c>
      <c r="M2430" s="10"/>
      <c r="N2430" s="67"/>
      <c r="O2430" s="11"/>
    </row>
    <row r="2431" spans="1:15" x14ac:dyDescent="0.25">
      <c r="A2431" s="6">
        <v>1207</v>
      </c>
      <c r="B2431" s="5" t="s">
        <v>550</v>
      </c>
      <c r="C2431" s="5" t="s">
        <v>13</v>
      </c>
      <c r="D2431" s="5" t="s">
        <v>318</v>
      </c>
      <c r="E2431" s="5" t="s">
        <v>297</v>
      </c>
      <c r="F2431" s="5" t="s">
        <v>552</v>
      </c>
      <c r="G2431" s="22">
        <v>0</v>
      </c>
      <c r="H2431" s="22">
        <v>0</v>
      </c>
      <c r="I2431" s="22">
        <v>0</v>
      </c>
      <c r="J2431" s="22">
        <v>9.33</v>
      </c>
      <c r="K2431" s="22">
        <v>0</v>
      </c>
      <c r="L2431" s="22">
        <v>9.33</v>
      </c>
      <c r="M2431" s="10"/>
      <c r="O2431" s="11"/>
    </row>
    <row r="2432" spans="1:15" x14ac:dyDescent="0.25">
      <c r="A2432" s="6"/>
      <c r="B2432" s="5"/>
      <c r="C2432" s="5"/>
      <c r="D2432" s="5" t="s">
        <v>318</v>
      </c>
      <c r="E2432" s="5" t="s">
        <v>297</v>
      </c>
      <c r="F2432" s="5" t="s">
        <v>552</v>
      </c>
      <c r="G2432" s="14">
        <f t="shared" ref="G2432:L2432" si="609">SUBTOTAL(9,G2430:G2431)</f>
        <v>77.790000000000006</v>
      </c>
      <c r="H2432" s="14">
        <f t="shared" si="609"/>
        <v>0</v>
      </c>
      <c r="I2432" s="14">
        <f t="shared" si="609"/>
        <v>0</v>
      </c>
      <c r="J2432" s="14">
        <f t="shared" si="609"/>
        <v>9.33</v>
      </c>
      <c r="K2432" s="14">
        <f t="shared" si="609"/>
        <v>-1.56</v>
      </c>
      <c r="L2432" s="14">
        <f t="shared" si="609"/>
        <v>85.56</v>
      </c>
      <c r="M2432" s="10">
        <v>2706</v>
      </c>
      <c r="N2432" s="69"/>
      <c r="O2432" s="11">
        <f>O2428+1</f>
        <v>587</v>
      </c>
    </row>
    <row r="2433" spans="1:15" s="4" customFormat="1" x14ac:dyDescent="0.25">
      <c r="A2433" s="10"/>
      <c r="B2433"/>
      <c r="C2433"/>
      <c r="D2433"/>
      <c r="E2433"/>
      <c r="F2433"/>
      <c r="G2433" s="21"/>
      <c r="H2433" s="21"/>
      <c r="I2433" s="21"/>
      <c r="J2433" s="21"/>
      <c r="K2433" s="21"/>
      <c r="L2433" s="21"/>
      <c r="M2433" s="10"/>
      <c r="N2433" s="67"/>
      <c r="O2433" s="11"/>
    </row>
    <row r="2434" spans="1:15" s="4" customFormat="1" x14ac:dyDescent="0.25">
      <c r="A2434" s="6">
        <v>1208</v>
      </c>
      <c r="B2434" s="5" t="s">
        <v>550</v>
      </c>
      <c r="C2434" s="5" t="s">
        <v>17</v>
      </c>
      <c r="D2434" s="5" t="s">
        <v>319</v>
      </c>
      <c r="E2434" s="5" t="s">
        <v>315</v>
      </c>
      <c r="F2434" s="5" t="s">
        <v>551</v>
      </c>
      <c r="G2434" s="22">
        <v>607.97</v>
      </c>
      <c r="H2434" s="22">
        <v>0</v>
      </c>
      <c r="I2434" s="22">
        <v>0</v>
      </c>
      <c r="J2434" s="22">
        <v>0</v>
      </c>
      <c r="K2434" s="22">
        <v>-12.16</v>
      </c>
      <c r="L2434" s="22">
        <v>595.80999999999995</v>
      </c>
      <c r="M2434" s="10"/>
      <c r="N2434" s="67"/>
      <c r="O2434" s="11"/>
    </row>
    <row r="2435" spans="1:15" x14ac:dyDescent="0.25">
      <c r="A2435" s="6">
        <v>1209</v>
      </c>
      <c r="B2435" s="5" t="s">
        <v>550</v>
      </c>
      <c r="C2435" s="5" t="s">
        <v>13</v>
      </c>
      <c r="D2435" s="5" t="s">
        <v>319</v>
      </c>
      <c r="E2435" s="5" t="s">
        <v>315</v>
      </c>
      <c r="F2435" s="5" t="s">
        <v>551</v>
      </c>
      <c r="G2435" s="22">
        <v>0</v>
      </c>
      <c r="H2435" s="22">
        <v>0</v>
      </c>
      <c r="I2435" s="22">
        <v>0</v>
      </c>
      <c r="J2435" s="22">
        <v>72.959999999999994</v>
      </c>
      <c r="K2435" s="22">
        <v>0</v>
      </c>
      <c r="L2435" s="22">
        <v>72.959999999999994</v>
      </c>
      <c r="M2435" s="10"/>
      <c r="O2435" s="11"/>
    </row>
    <row r="2436" spans="1:15" x14ac:dyDescent="0.25">
      <c r="A2436" s="6"/>
      <c r="B2436" s="5"/>
      <c r="C2436" s="5"/>
      <c r="D2436" s="5" t="s">
        <v>319</v>
      </c>
      <c r="E2436" s="5" t="s">
        <v>315</v>
      </c>
      <c r="F2436" s="5" t="s">
        <v>551</v>
      </c>
      <c r="G2436" s="14">
        <f t="shared" ref="G2436:L2436" si="610">SUBTOTAL(9,G2434:G2435)</f>
        <v>607.97</v>
      </c>
      <c r="H2436" s="14">
        <f t="shared" si="610"/>
        <v>0</v>
      </c>
      <c r="I2436" s="14">
        <f t="shared" si="610"/>
        <v>0</v>
      </c>
      <c r="J2436" s="14">
        <f t="shared" si="610"/>
        <v>72.959999999999994</v>
      </c>
      <c r="K2436" s="14">
        <f t="shared" si="610"/>
        <v>-12.16</v>
      </c>
      <c r="L2436" s="14">
        <f t="shared" si="610"/>
        <v>668.77</v>
      </c>
      <c r="M2436" s="10">
        <v>2707</v>
      </c>
      <c r="N2436" s="69"/>
      <c r="O2436" s="11">
        <f>O2432+1</f>
        <v>588</v>
      </c>
    </row>
    <row r="2437" spans="1:15" s="4" customFormat="1" x14ac:dyDescent="0.25">
      <c r="A2437" s="10"/>
      <c r="B2437"/>
      <c r="C2437"/>
      <c r="D2437"/>
      <c r="E2437"/>
      <c r="F2437"/>
      <c r="G2437" s="21"/>
      <c r="H2437" s="21"/>
      <c r="I2437" s="21"/>
      <c r="J2437" s="21"/>
      <c r="K2437" s="21"/>
      <c r="L2437" s="21"/>
      <c r="M2437" s="10"/>
      <c r="N2437" s="67"/>
      <c r="O2437" s="11"/>
    </row>
    <row r="2438" spans="1:15" s="4" customFormat="1" x14ac:dyDescent="0.25">
      <c r="A2438" s="6">
        <v>1210</v>
      </c>
      <c r="B2438" s="5" t="s">
        <v>550</v>
      </c>
      <c r="C2438" s="5" t="s">
        <v>17</v>
      </c>
      <c r="D2438" s="5" t="s">
        <v>319</v>
      </c>
      <c r="E2438" s="5" t="s">
        <v>315</v>
      </c>
      <c r="F2438" s="5" t="s">
        <v>552</v>
      </c>
      <c r="G2438" s="22">
        <v>0.04</v>
      </c>
      <c r="H2438" s="22">
        <v>0</v>
      </c>
      <c r="I2438" s="22">
        <v>0</v>
      </c>
      <c r="J2438" s="22">
        <v>0</v>
      </c>
      <c r="K2438" s="22">
        <v>0</v>
      </c>
      <c r="L2438" s="22">
        <v>0.04</v>
      </c>
      <c r="M2438" s="10"/>
      <c r="N2438" s="67"/>
      <c r="O2438" s="11"/>
    </row>
    <row r="2439" spans="1:15" x14ac:dyDescent="0.25">
      <c r="A2439" s="6">
        <v>1211</v>
      </c>
      <c r="B2439" s="5" t="s">
        <v>550</v>
      </c>
      <c r="C2439" s="5" t="s">
        <v>13</v>
      </c>
      <c r="D2439" s="5" t="s">
        <v>319</v>
      </c>
      <c r="E2439" s="5" t="s">
        <v>315</v>
      </c>
      <c r="F2439" s="5" t="s">
        <v>552</v>
      </c>
      <c r="G2439" s="22">
        <v>0</v>
      </c>
      <c r="H2439" s="22">
        <v>0</v>
      </c>
      <c r="I2439" s="22">
        <v>0</v>
      </c>
      <c r="J2439" s="22">
        <v>0</v>
      </c>
      <c r="K2439" s="22">
        <v>0</v>
      </c>
      <c r="L2439" s="22">
        <v>0</v>
      </c>
      <c r="M2439" s="10"/>
      <c r="O2439" s="11"/>
    </row>
    <row r="2440" spans="1:15" x14ac:dyDescent="0.25">
      <c r="A2440" s="6"/>
      <c r="B2440" s="5"/>
      <c r="C2440" s="5"/>
      <c r="D2440" s="5" t="s">
        <v>319</v>
      </c>
      <c r="E2440" s="5" t="s">
        <v>315</v>
      </c>
      <c r="F2440" s="5" t="s">
        <v>552</v>
      </c>
      <c r="G2440" s="14">
        <f t="shared" ref="G2440:L2440" si="611">SUBTOTAL(9,G2438:G2439)</f>
        <v>0.04</v>
      </c>
      <c r="H2440" s="14">
        <f t="shared" si="611"/>
        <v>0</v>
      </c>
      <c r="I2440" s="14">
        <f t="shared" si="611"/>
        <v>0</v>
      </c>
      <c r="J2440" s="14">
        <f t="shared" si="611"/>
        <v>0</v>
      </c>
      <c r="K2440" s="14">
        <f t="shared" si="611"/>
        <v>0</v>
      </c>
      <c r="L2440" s="14">
        <f t="shared" si="611"/>
        <v>0.04</v>
      </c>
      <c r="M2440" s="10">
        <v>2708</v>
      </c>
      <c r="N2440" s="69"/>
      <c r="O2440" s="11">
        <f>O2436+1</f>
        <v>589</v>
      </c>
    </row>
    <row r="2441" spans="1:15" s="4" customFormat="1" x14ac:dyDescent="0.25">
      <c r="A2441" s="10"/>
      <c r="B2441"/>
      <c r="C2441"/>
      <c r="D2441"/>
      <c r="E2441"/>
      <c r="F2441"/>
      <c r="G2441" s="21"/>
      <c r="H2441" s="21"/>
      <c r="I2441" s="21"/>
      <c r="J2441" s="21"/>
      <c r="K2441" s="21"/>
      <c r="L2441" s="21"/>
      <c r="M2441" s="10"/>
      <c r="N2441" s="67"/>
      <c r="O2441" s="11"/>
    </row>
    <row r="2442" spans="1:15" s="4" customFormat="1" x14ac:dyDescent="0.25">
      <c r="A2442" s="6">
        <v>1212</v>
      </c>
      <c r="B2442" s="5" t="s">
        <v>18</v>
      </c>
      <c r="C2442" s="5" t="s">
        <v>17</v>
      </c>
      <c r="D2442" s="5" t="s">
        <v>320</v>
      </c>
      <c r="E2442" s="5" t="s">
        <v>321</v>
      </c>
      <c r="F2442" s="5" t="s">
        <v>19</v>
      </c>
      <c r="G2442" s="22">
        <v>1.06</v>
      </c>
      <c r="H2442" s="22">
        <v>0</v>
      </c>
      <c r="I2442" s="22">
        <v>0</v>
      </c>
      <c r="J2442" s="22">
        <v>0</v>
      </c>
      <c r="K2442" s="22">
        <v>-0.94</v>
      </c>
      <c r="L2442" s="22">
        <v>0.12</v>
      </c>
      <c r="M2442" s="10"/>
      <c r="N2442" s="67"/>
      <c r="O2442" s="11"/>
    </row>
    <row r="2443" spans="1:15" s="4" customFormat="1" x14ac:dyDescent="0.25">
      <c r="A2443" s="6"/>
      <c r="B2443" s="5"/>
      <c r="C2443" s="5"/>
      <c r="D2443" s="5" t="s">
        <v>320</v>
      </c>
      <c r="E2443" s="5" t="s">
        <v>321</v>
      </c>
      <c r="F2443" s="5" t="s">
        <v>19</v>
      </c>
      <c r="G2443" s="14">
        <f t="shared" ref="G2443:L2443" si="612">SUBTOTAL(9,G2442:G2442)</f>
        <v>1.06</v>
      </c>
      <c r="H2443" s="14">
        <f t="shared" si="612"/>
        <v>0</v>
      </c>
      <c r="I2443" s="14">
        <f t="shared" si="612"/>
        <v>0</v>
      </c>
      <c r="J2443" s="14">
        <f t="shared" si="612"/>
        <v>0</v>
      </c>
      <c r="K2443" s="14">
        <f t="shared" si="612"/>
        <v>-0.94</v>
      </c>
      <c r="L2443" s="14">
        <f t="shared" si="612"/>
        <v>0.12</v>
      </c>
      <c r="M2443" s="10">
        <v>2709</v>
      </c>
      <c r="N2443" s="69"/>
      <c r="O2443" s="11">
        <f>O2440+1</f>
        <v>590</v>
      </c>
    </row>
    <row r="2444" spans="1:15" x14ac:dyDescent="0.25">
      <c r="A2444" s="10"/>
      <c r="G2444" s="21"/>
      <c r="H2444" s="21"/>
      <c r="I2444" s="21"/>
      <c r="J2444" s="21"/>
      <c r="K2444" s="21"/>
      <c r="L2444" s="21"/>
      <c r="M2444" s="10"/>
      <c r="O2444" s="11"/>
    </row>
    <row r="2445" spans="1:15" x14ac:dyDescent="0.25">
      <c r="A2445" s="6">
        <v>1213</v>
      </c>
      <c r="B2445" s="5" t="s">
        <v>550</v>
      </c>
      <c r="C2445" s="5" t="s">
        <v>17</v>
      </c>
      <c r="D2445" s="5" t="s">
        <v>320</v>
      </c>
      <c r="E2445" s="5" t="s">
        <v>321</v>
      </c>
      <c r="F2445" s="5" t="s">
        <v>551</v>
      </c>
      <c r="G2445" s="22">
        <v>46027.64</v>
      </c>
      <c r="H2445" s="22">
        <v>0</v>
      </c>
      <c r="I2445" s="22">
        <v>0</v>
      </c>
      <c r="J2445" s="22">
        <v>0</v>
      </c>
      <c r="K2445" s="22">
        <v>-920.55</v>
      </c>
      <c r="L2445" s="22">
        <v>45107.09</v>
      </c>
      <c r="M2445" s="10"/>
      <c r="O2445" s="11"/>
    </row>
    <row r="2446" spans="1:15" s="4" customFormat="1" x14ac:dyDescent="0.25">
      <c r="A2446" s="6">
        <v>1214</v>
      </c>
      <c r="B2446" s="5" t="s">
        <v>550</v>
      </c>
      <c r="C2446" s="5" t="s">
        <v>13</v>
      </c>
      <c r="D2446" s="5" t="s">
        <v>320</v>
      </c>
      <c r="E2446" s="5" t="s">
        <v>321</v>
      </c>
      <c r="F2446" s="5" t="s">
        <v>551</v>
      </c>
      <c r="G2446" s="22">
        <v>0</v>
      </c>
      <c r="H2446" s="22">
        <v>0</v>
      </c>
      <c r="I2446" s="22">
        <v>0</v>
      </c>
      <c r="J2446" s="22">
        <v>5523.32</v>
      </c>
      <c r="K2446" s="22">
        <v>0</v>
      </c>
      <c r="L2446" s="22">
        <v>5523.32</v>
      </c>
      <c r="M2446" s="10"/>
      <c r="N2446" s="67"/>
      <c r="O2446" s="11"/>
    </row>
    <row r="2447" spans="1:15" s="4" customFormat="1" x14ac:dyDescent="0.25">
      <c r="A2447" s="6"/>
      <c r="B2447" s="5"/>
      <c r="C2447" s="5"/>
      <c r="D2447" s="5" t="s">
        <v>320</v>
      </c>
      <c r="E2447" s="5" t="s">
        <v>321</v>
      </c>
      <c r="F2447" s="5" t="s">
        <v>551</v>
      </c>
      <c r="G2447" s="14">
        <f t="shared" ref="G2447:L2447" si="613">SUBTOTAL(9,G2445:G2446)</f>
        <v>46027.64</v>
      </c>
      <c r="H2447" s="14">
        <f t="shared" si="613"/>
        <v>0</v>
      </c>
      <c r="I2447" s="14">
        <f t="shared" si="613"/>
        <v>0</v>
      </c>
      <c r="J2447" s="14">
        <f t="shared" si="613"/>
        <v>5523.32</v>
      </c>
      <c r="K2447" s="14">
        <f t="shared" si="613"/>
        <v>-920.55</v>
      </c>
      <c r="L2447" s="14">
        <f t="shared" si="613"/>
        <v>50630.409999999996</v>
      </c>
      <c r="M2447" s="10">
        <v>2710</v>
      </c>
      <c r="N2447" s="69"/>
      <c r="O2447" s="11">
        <f>O2443+1</f>
        <v>591</v>
      </c>
    </row>
    <row r="2448" spans="1:15" x14ac:dyDescent="0.25">
      <c r="A2448" s="10"/>
      <c r="G2448" s="21"/>
      <c r="H2448" s="21"/>
      <c r="I2448" s="21"/>
      <c r="J2448" s="21"/>
      <c r="K2448" s="21"/>
      <c r="L2448" s="21"/>
      <c r="M2448" s="10"/>
      <c r="O2448" s="11"/>
    </row>
    <row r="2449" spans="1:15" x14ac:dyDescent="0.25">
      <c r="A2449" s="6">
        <v>1215</v>
      </c>
      <c r="B2449" s="5" t="s">
        <v>550</v>
      </c>
      <c r="C2449" s="5" t="s">
        <v>17</v>
      </c>
      <c r="D2449" s="5" t="s">
        <v>320</v>
      </c>
      <c r="E2449" s="5" t="s">
        <v>321</v>
      </c>
      <c r="F2449" s="5" t="s">
        <v>552</v>
      </c>
      <c r="G2449" s="22">
        <v>3.31</v>
      </c>
      <c r="H2449" s="22">
        <v>0</v>
      </c>
      <c r="I2449" s="22">
        <v>0</v>
      </c>
      <c r="J2449" s="22">
        <v>0</v>
      </c>
      <c r="K2449" s="22">
        <v>-7.0000000000000007E-2</v>
      </c>
      <c r="L2449" s="22">
        <v>3.24</v>
      </c>
      <c r="M2449" s="10"/>
      <c r="O2449" s="11"/>
    </row>
    <row r="2450" spans="1:15" s="4" customFormat="1" x14ac:dyDescent="0.25">
      <c r="A2450" s="6">
        <v>1216</v>
      </c>
      <c r="B2450" s="5" t="s">
        <v>550</v>
      </c>
      <c r="C2450" s="5" t="s">
        <v>13</v>
      </c>
      <c r="D2450" s="5" t="s">
        <v>320</v>
      </c>
      <c r="E2450" s="5" t="s">
        <v>321</v>
      </c>
      <c r="F2450" s="5" t="s">
        <v>552</v>
      </c>
      <c r="G2450" s="22">
        <v>0</v>
      </c>
      <c r="H2450" s="22">
        <v>0</v>
      </c>
      <c r="I2450" s="22">
        <v>0</v>
      </c>
      <c r="J2450" s="22">
        <v>0.4</v>
      </c>
      <c r="K2450" s="22">
        <v>0</v>
      </c>
      <c r="L2450" s="22">
        <v>0.4</v>
      </c>
      <c r="M2450" s="10"/>
      <c r="N2450" s="67"/>
      <c r="O2450" s="11"/>
    </row>
    <row r="2451" spans="1:15" x14ac:dyDescent="0.25">
      <c r="A2451" s="6"/>
      <c r="B2451" s="5"/>
      <c r="C2451" s="5"/>
      <c r="D2451" s="5" t="s">
        <v>320</v>
      </c>
      <c r="E2451" s="5" t="s">
        <v>321</v>
      </c>
      <c r="F2451" s="5" t="s">
        <v>552</v>
      </c>
      <c r="G2451" s="14">
        <f t="shared" ref="G2451:L2451" si="614">SUBTOTAL(9,G2449:G2450)</f>
        <v>3.31</v>
      </c>
      <c r="H2451" s="14">
        <f t="shared" si="614"/>
        <v>0</v>
      </c>
      <c r="I2451" s="14">
        <f t="shared" si="614"/>
        <v>0</v>
      </c>
      <c r="J2451" s="14">
        <f t="shared" si="614"/>
        <v>0.4</v>
      </c>
      <c r="K2451" s="14">
        <f t="shared" si="614"/>
        <v>-7.0000000000000007E-2</v>
      </c>
      <c r="L2451" s="14">
        <f t="shared" si="614"/>
        <v>3.64</v>
      </c>
      <c r="M2451" s="10">
        <v>2711</v>
      </c>
      <c r="N2451" s="69"/>
      <c r="O2451" s="11">
        <f>O2447+1</f>
        <v>592</v>
      </c>
    </row>
    <row r="2452" spans="1:15" x14ac:dyDescent="0.25">
      <c r="A2452" s="10"/>
      <c r="G2452" s="21"/>
      <c r="H2452" s="21"/>
      <c r="I2452" s="21"/>
      <c r="J2452" s="21"/>
      <c r="K2452" s="21"/>
      <c r="L2452" s="21"/>
      <c r="M2452" s="10"/>
      <c r="O2452" s="11"/>
    </row>
    <row r="2453" spans="1:15" s="4" customFormat="1" x14ac:dyDescent="0.25">
      <c r="A2453" s="6">
        <v>1217</v>
      </c>
      <c r="B2453" s="5" t="s">
        <v>550</v>
      </c>
      <c r="C2453" s="5" t="s">
        <v>17</v>
      </c>
      <c r="D2453" s="5" t="s">
        <v>322</v>
      </c>
      <c r="E2453" s="5" t="s">
        <v>323</v>
      </c>
      <c r="F2453" s="5" t="s">
        <v>551</v>
      </c>
      <c r="G2453" s="22">
        <v>61376.09</v>
      </c>
      <c r="H2453" s="22">
        <v>0</v>
      </c>
      <c r="I2453" s="22">
        <v>0</v>
      </c>
      <c r="J2453" s="22">
        <v>0</v>
      </c>
      <c r="K2453" s="22">
        <v>-1227.52</v>
      </c>
      <c r="L2453" s="22">
        <v>60148.57</v>
      </c>
      <c r="M2453" s="10"/>
      <c r="N2453" s="67"/>
      <c r="O2453" s="11"/>
    </row>
    <row r="2454" spans="1:15" s="4" customFormat="1" x14ac:dyDescent="0.25">
      <c r="A2454" s="6">
        <v>1218</v>
      </c>
      <c r="B2454" s="5" t="s">
        <v>550</v>
      </c>
      <c r="C2454" s="5" t="s">
        <v>13</v>
      </c>
      <c r="D2454" s="5" t="s">
        <v>322</v>
      </c>
      <c r="E2454" s="5" t="s">
        <v>323</v>
      </c>
      <c r="F2454" s="5" t="s">
        <v>551</v>
      </c>
      <c r="G2454" s="22">
        <v>0</v>
      </c>
      <c r="H2454" s="22">
        <v>0</v>
      </c>
      <c r="I2454" s="22">
        <v>0</v>
      </c>
      <c r="J2454" s="22">
        <v>7365.13</v>
      </c>
      <c r="K2454" s="22">
        <v>0</v>
      </c>
      <c r="L2454" s="22">
        <v>7365.13</v>
      </c>
      <c r="M2454" s="10"/>
      <c r="N2454" s="67"/>
      <c r="O2454" s="11"/>
    </row>
    <row r="2455" spans="1:15" x14ac:dyDescent="0.25">
      <c r="A2455" s="6"/>
      <c r="B2455" s="5"/>
      <c r="C2455" s="5"/>
      <c r="D2455" s="5" t="s">
        <v>322</v>
      </c>
      <c r="E2455" s="5" t="s">
        <v>323</v>
      </c>
      <c r="F2455" s="5" t="s">
        <v>551</v>
      </c>
      <c r="G2455" s="14">
        <f t="shared" ref="G2455:L2455" si="615">SUBTOTAL(9,G2453:G2454)</f>
        <v>61376.09</v>
      </c>
      <c r="H2455" s="14">
        <f t="shared" si="615"/>
        <v>0</v>
      </c>
      <c r="I2455" s="14">
        <f t="shared" si="615"/>
        <v>0</v>
      </c>
      <c r="J2455" s="14">
        <f t="shared" si="615"/>
        <v>7365.13</v>
      </c>
      <c r="K2455" s="14">
        <f t="shared" si="615"/>
        <v>-1227.52</v>
      </c>
      <c r="L2455" s="14">
        <f t="shared" si="615"/>
        <v>67513.7</v>
      </c>
      <c r="M2455" s="10">
        <v>2712</v>
      </c>
      <c r="N2455" s="69"/>
      <c r="O2455" s="11">
        <f>O2451+1</f>
        <v>593</v>
      </c>
    </row>
    <row r="2456" spans="1:15" x14ac:dyDescent="0.25">
      <c r="A2456" s="10"/>
      <c r="G2456" s="21"/>
      <c r="H2456" s="21"/>
      <c r="I2456" s="21"/>
      <c r="J2456" s="21"/>
      <c r="K2456" s="21"/>
      <c r="L2456" s="21"/>
      <c r="M2456" s="10"/>
      <c r="O2456" s="11"/>
    </row>
    <row r="2457" spans="1:15" s="4" customFormat="1" x14ac:dyDescent="0.25">
      <c r="A2457" s="6">
        <v>1219</v>
      </c>
      <c r="B2457" s="5" t="s">
        <v>550</v>
      </c>
      <c r="C2457" s="5" t="s">
        <v>17</v>
      </c>
      <c r="D2457" s="5" t="s">
        <v>322</v>
      </c>
      <c r="E2457" s="5" t="s">
        <v>323</v>
      </c>
      <c r="F2457" s="5" t="s">
        <v>552</v>
      </c>
      <c r="G2457" s="22">
        <v>4.41</v>
      </c>
      <c r="H2457" s="22">
        <v>0</v>
      </c>
      <c r="I2457" s="22">
        <v>0</v>
      </c>
      <c r="J2457" s="22">
        <v>0</v>
      </c>
      <c r="K2457" s="22">
        <v>-0.09</v>
      </c>
      <c r="L2457" s="22">
        <v>4.32</v>
      </c>
      <c r="M2457" s="10"/>
      <c r="N2457" s="67"/>
      <c r="O2457" s="11"/>
    </row>
    <row r="2458" spans="1:15" s="4" customFormat="1" x14ac:dyDescent="0.25">
      <c r="A2458" s="6">
        <v>1220</v>
      </c>
      <c r="B2458" s="5" t="s">
        <v>550</v>
      </c>
      <c r="C2458" s="5" t="s">
        <v>13</v>
      </c>
      <c r="D2458" s="5" t="s">
        <v>322</v>
      </c>
      <c r="E2458" s="5" t="s">
        <v>323</v>
      </c>
      <c r="F2458" s="5" t="s">
        <v>552</v>
      </c>
      <c r="G2458" s="22">
        <v>0</v>
      </c>
      <c r="H2458" s="22">
        <v>0</v>
      </c>
      <c r="I2458" s="22">
        <v>0</v>
      </c>
      <c r="J2458" s="22">
        <v>0.53</v>
      </c>
      <c r="K2458" s="22">
        <v>0</v>
      </c>
      <c r="L2458" s="22">
        <v>0.53</v>
      </c>
      <c r="M2458" s="10"/>
      <c r="N2458" s="67"/>
      <c r="O2458" s="11"/>
    </row>
    <row r="2459" spans="1:15" x14ac:dyDescent="0.25">
      <c r="A2459" s="6"/>
      <c r="B2459" s="5"/>
      <c r="C2459" s="5"/>
      <c r="D2459" s="5" t="s">
        <v>322</v>
      </c>
      <c r="E2459" s="5" t="s">
        <v>323</v>
      </c>
      <c r="F2459" s="5" t="s">
        <v>552</v>
      </c>
      <c r="G2459" s="14">
        <f t="shared" ref="G2459:L2459" si="616">SUBTOTAL(9,G2457:G2458)</f>
        <v>4.41</v>
      </c>
      <c r="H2459" s="14">
        <f t="shared" si="616"/>
        <v>0</v>
      </c>
      <c r="I2459" s="14">
        <f t="shared" si="616"/>
        <v>0</v>
      </c>
      <c r="J2459" s="14">
        <f t="shared" si="616"/>
        <v>0.53</v>
      </c>
      <c r="K2459" s="14">
        <f t="shared" si="616"/>
        <v>-0.09</v>
      </c>
      <c r="L2459" s="14">
        <f t="shared" si="616"/>
        <v>4.8500000000000005</v>
      </c>
      <c r="M2459" s="10">
        <v>2713</v>
      </c>
      <c r="N2459" s="69"/>
      <c r="O2459" s="11">
        <f>O2455+1</f>
        <v>594</v>
      </c>
    </row>
    <row r="2460" spans="1:15" x14ac:dyDescent="0.25">
      <c r="A2460" s="10"/>
      <c r="G2460" s="21"/>
      <c r="H2460" s="21"/>
      <c r="I2460" s="21"/>
      <c r="J2460" s="21"/>
      <c r="K2460" s="21"/>
      <c r="L2460" s="21"/>
      <c r="M2460" s="10"/>
      <c r="O2460" s="11"/>
    </row>
    <row r="2461" spans="1:15" s="4" customFormat="1" x14ac:dyDescent="0.25">
      <c r="A2461" s="6">
        <v>1221</v>
      </c>
      <c r="B2461" s="5" t="s">
        <v>566</v>
      </c>
      <c r="C2461" s="5" t="s">
        <v>17</v>
      </c>
      <c r="D2461" s="5" t="s">
        <v>324</v>
      </c>
      <c r="E2461" s="5" t="s">
        <v>325</v>
      </c>
      <c r="F2461" s="5" t="s">
        <v>567</v>
      </c>
      <c r="G2461" s="22">
        <v>1.2</v>
      </c>
      <c r="H2461" s="22">
        <v>0</v>
      </c>
      <c r="I2461" s="22">
        <v>0</v>
      </c>
      <c r="J2461" s="22">
        <v>0</v>
      </c>
      <c r="K2461" s="22">
        <v>-0.02</v>
      </c>
      <c r="L2461" s="22">
        <v>1.18</v>
      </c>
      <c r="M2461" s="10"/>
      <c r="N2461" s="67"/>
      <c r="O2461" s="11"/>
    </row>
    <row r="2462" spans="1:15" s="4" customFormat="1" x14ac:dyDescent="0.25">
      <c r="A2462" s="6">
        <v>1222</v>
      </c>
      <c r="B2462" s="5" t="s">
        <v>566</v>
      </c>
      <c r="C2462" s="5" t="s">
        <v>13</v>
      </c>
      <c r="D2462" s="5" t="s">
        <v>324</v>
      </c>
      <c r="E2462" s="5" t="s">
        <v>325</v>
      </c>
      <c r="F2462" s="5" t="s">
        <v>567</v>
      </c>
      <c r="G2462" s="22">
        <v>0</v>
      </c>
      <c r="H2462" s="22">
        <v>0</v>
      </c>
      <c r="I2462" s="22">
        <v>0</v>
      </c>
      <c r="J2462" s="22">
        <v>0.14000000000000001</v>
      </c>
      <c r="K2462" s="22">
        <v>0</v>
      </c>
      <c r="L2462" s="22">
        <v>0.14000000000000001</v>
      </c>
      <c r="M2462" s="10"/>
      <c r="N2462" s="67"/>
      <c r="O2462" s="11"/>
    </row>
    <row r="2463" spans="1:15" x14ac:dyDescent="0.25">
      <c r="A2463" s="6"/>
      <c r="B2463" s="5"/>
      <c r="C2463" s="5"/>
      <c r="D2463" s="5" t="s">
        <v>324</v>
      </c>
      <c r="E2463" s="5" t="s">
        <v>325</v>
      </c>
      <c r="F2463" s="5" t="s">
        <v>567</v>
      </c>
      <c r="G2463" s="14">
        <f t="shared" ref="G2463:L2463" si="617">SUBTOTAL(9,G2461:G2462)</f>
        <v>1.2</v>
      </c>
      <c r="H2463" s="14">
        <f t="shared" si="617"/>
        <v>0</v>
      </c>
      <c r="I2463" s="14">
        <f t="shared" si="617"/>
        <v>0</v>
      </c>
      <c r="J2463" s="14">
        <f t="shared" si="617"/>
        <v>0.14000000000000001</v>
      </c>
      <c r="K2463" s="14">
        <f t="shared" si="617"/>
        <v>-0.02</v>
      </c>
      <c r="L2463" s="14">
        <f t="shared" si="617"/>
        <v>1.3199999999999998</v>
      </c>
      <c r="M2463" s="10">
        <v>2714</v>
      </c>
      <c r="N2463" s="69"/>
      <c r="O2463" s="11">
        <f>O2459+1</f>
        <v>595</v>
      </c>
    </row>
    <row r="2464" spans="1:15" x14ac:dyDescent="0.25">
      <c r="A2464" s="10"/>
      <c r="G2464" s="21"/>
      <c r="H2464" s="21"/>
      <c r="I2464" s="21"/>
      <c r="J2464" s="21"/>
      <c r="K2464" s="21"/>
      <c r="L2464" s="21"/>
      <c r="M2464" s="10"/>
      <c r="O2464" s="11"/>
    </row>
    <row r="2465" spans="1:15" s="4" customFormat="1" x14ac:dyDescent="0.25">
      <c r="A2465" s="6">
        <v>1223</v>
      </c>
      <c r="B2465" s="5" t="s">
        <v>550</v>
      </c>
      <c r="C2465" s="5" t="s">
        <v>17</v>
      </c>
      <c r="D2465" s="5" t="s">
        <v>324</v>
      </c>
      <c r="E2465" s="5" t="s">
        <v>325</v>
      </c>
      <c r="F2465" s="5" t="s">
        <v>551</v>
      </c>
      <c r="G2465" s="22">
        <v>55309.75</v>
      </c>
      <c r="H2465" s="22">
        <v>0</v>
      </c>
      <c r="I2465" s="22">
        <v>0</v>
      </c>
      <c r="J2465" s="22">
        <v>0</v>
      </c>
      <c r="K2465" s="22">
        <v>-1106.2</v>
      </c>
      <c r="L2465" s="22">
        <v>54203.55</v>
      </c>
      <c r="M2465" s="10"/>
      <c r="N2465" s="67"/>
      <c r="O2465" s="11"/>
    </row>
    <row r="2466" spans="1:15" x14ac:dyDescent="0.25">
      <c r="A2466" s="6">
        <v>1224</v>
      </c>
      <c r="B2466" s="5" t="s">
        <v>550</v>
      </c>
      <c r="C2466" s="5" t="s">
        <v>13</v>
      </c>
      <c r="D2466" s="5" t="s">
        <v>324</v>
      </c>
      <c r="E2466" s="5" t="s">
        <v>325</v>
      </c>
      <c r="F2466" s="5" t="s">
        <v>551</v>
      </c>
      <c r="G2466" s="22">
        <v>0</v>
      </c>
      <c r="H2466" s="22">
        <v>0</v>
      </c>
      <c r="I2466" s="22">
        <v>0</v>
      </c>
      <c r="J2466" s="22">
        <v>6637.17</v>
      </c>
      <c r="K2466" s="22">
        <v>0</v>
      </c>
      <c r="L2466" s="22">
        <v>6637.17</v>
      </c>
      <c r="M2466" s="10"/>
      <c r="O2466" s="11"/>
    </row>
    <row r="2467" spans="1:15" x14ac:dyDescent="0.25">
      <c r="A2467" s="6"/>
      <c r="B2467" s="5"/>
      <c r="C2467" s="5"/>
      <c r="D2467" s="5" t="s">
        <v>324</v>
      </c>
      <c r="E2467" s="5" t="s">
        <v>325</v>
      </c>
      <c r="F2467" s="5" t="s">
        <v>551</v>
      </c>
      <c r="G2467" s="14">
        <f t="shared" ref="G2467:L2467" si="618">SUBTOTAL(9,G2465:G2466)</f>
        <v>55309.75</v>
      </c>
      <c r="H2467" s="14">
        <f t="shared" si="618"/>
        <v>0</v>
      </c>
      <c r="I2467" s="14">
        <f t="shared" si="618"/>
        <v>0</v>
      </c>
      <c r="J2467" s="14">
        <f t="shared" si="618"/>
        <v>6637.17</v>
      </c>
      <c r="K2467" s="14">
        <f t="shared" si="618"/>
        <v>-1106.2</v>
      </c>
      <c r="L2467" s="14">
        <f t="shared" si="618"/>
        <v>60840.72</v>
      </c>
      <c r="M2467" s="10">
        <v>2715</v>
      </c>
      <c r="N2467" s="69"/>
      <c r="O2467" s="11">
        <f>O2463+1</f>
        <v>596</v>
      </c>
    </row>
    <row r="2468" spans="1:15" s="4" customFormat="1" x14ac:dyDescent="0.25">
      <c r="A2468" s="10"/>
      <c r="B2468"/>
      <c r="C2468"/>
      <c r="D2468"/>
      <c r="E2468"/>
      <c r="F2468"/>
      <c r="G2468" s="21"/>
      <c r="H2468" s="21"/>
      <c r="I2468" s="21"/>
      <c r="J2468" s="21"/>
      <c r="K2468" s="21"/>
      <c r="L2468" s="21"/>
      <c r="M2468" s="10"/>
      <c r="N2468" s="67"/>
      <c r="O2468" s="11"/>
    </row>
    <row r="2469" spans="1:15" s="4" customFormat="1" x14ac:dyDescent="0.25">
      <c r="A2469" s="6">
        <v>1225</v>
      </c>
      <c r="B2469" s="5" t="s">
        <v>550</v>
      </c>
      <c r="C2469" s="5" t="s">
        <v>17</v>
      </c>
      <c r="D2469" s="5" t="s">
        <v>324</v>
      </c>
      <c r="E2469" s="5" t="s">
        <v>325</v>
      </c>
      <c r="F2469" s="5" t="s">
        <v>552</v>
      </c>
      <c r="G2469" s="22">
        <v>3.98</v>
      </c>
      <c r="H2469" s="22">
        <v>0</v>
      </c>
      <c r="I2469" s="22">
        <v>0</v>
      </c>
      <c r="J2469" s="22">
        <v>0</v>
      </c>
      <c r="K2469" s="22">
        <v>-0.08</v>
      </c>
      <c r="L2469" s="22">
        <v>3.9</v>
      </c>
      <c r="M2469" s="10"/>
      <c r="N2469" s="67"/>
      <c r="O2469" s="11"/>
    </row>
    <row r="2470" spans="1:15" x14ac:dyDescent="0.25">
      <c r="A2470" s="6">
        <v>1226</v>
      </c>
      <c r="B2470" s="5" t="s">
        <v>550</v>
      </c>
      <c r="C2470" s="5" t="s">
        <v>13</v>
      </c>
      <c r="D2470" s="5" t="s">
        <v>324</v>
      </c>
      <c r="E2470" s="5" t="s">
        <v>325</v>
      </c>
      <c r="F2470" s="5" t="s">
        <v>552</v>
      </c>
      <c r="G2470" s="22">
        <v>0</v>
      </c>
      <c r="H2470" s="22">
        <v>0</v>
      </c>
      <c r="I2470" s="22">
        <v>0</v>
      </c>
      <c r="J2470" s="22">
        <v>0.48</v>
      </c>
      <c r="K2470" s="22">
        <v>0</v>
      </c>
      <c r="L2470" s="22">
        <v>0.48</v>
      </c>
      <c r="M2470" s="10"/>
      <c r="O2470" s="11"/>
    </row>
    <row r="2471" spans="1:15" x14ac:dyDescent="0.25">
      <c r="A2471" s="6"/>
      <c r="B2471" s="5"/>
      <c r="C2471" s="5"/>
      <c r="D2471" s="5" t="s">
        <v>324</v>
      </c>
      <c r="E2471" s="5" t="s">
        <v>325</v>
      </c>
      <c r="F2471" s="5" t="s">
        <v>552</v>
      </c>
      <c r="G2471" s="14">
        <f t="shared" ref="G2471:L2471" si="619">SUBTOTAL(9,G2469:G2470)</f>
        <v>3.98</v>
      </c>
      <c r="H2471" s="14">
        <f t="shared" si="619"/>
        <v>0</v>
      </c>
      <c r="I2471" s="14">
        <f t="shared" si="619"/>
        <v>0</v>
      </c>
      <c r="J2471" s="14">
        <f t="shared" si="619"/>
        <v>0.48</v>
      </c>
      <c r="K2471" s="14">
        <f t="shared" si="619"/>
        <v>-0.08</v>
      </c>
      <c r="L2471" s="14">
        <f t="shared" si="619"/>
        <v>4.38</v>
      </c>
      <c r="M2471" s="10">
        <v>2716</v>
      </c>
      <c r="N2471" s="69"/>
      <c r="O2471" s="11">
        <f>O2467+1</f>
        <v>597</v>
      </c>
    </row>
    <row r="2472" spans="1:15" s="4" customFormat="1" x14ac:dyDescent="0.25">
      <c r="A2472" s="10"/>
      <c r="B2472"/>
      <c r="C2472"/>
      <c r="D2472"/>
      <c r="E2472"/>
      <c r="F2472"/>
      <c r="G2472" s="21"/>
      <c r="H2472" s="21"/>
      <c r="I2472" s="21"/>
      <c r="J2472" s="21"/>
      <c r="K2472" s="21"/>
      <c r="L2472" s="21"/>
      <c r="M2472" s="10"/>
      <c r="N2472" s="67"/>
      <c r="O2472" s="11"/>
    </row>
    <row r="2473" spans="1:15" s="4" customFormat="1" x14ac:dyDescent="0.25">
      <c r="A2473" s="6">
        <v>1227</v>
      </c>
      <c r="B2473" s="5" t="s">
        <v>18</v>
      </c>
      <c r="C2473" s="5" t="s">
        <v>17</v>
      </c>
      <c r="D2473" s="5" t="s">
        <v>326</v>
      </c>
      <c r="E2473" s="5" t="s">
        <v>327</v>
      </c>
      <c r="F2473" s="5" t="s">
        <v>19</v>
      </c>
      <c r="G2473" s="22">
        <v>0</v>
      </c>
      <c r="H2473" s="22">
        <v>0</v>
      </c>
      <c r="I2473" s="22">
        <v>0.61</v>
      </c>
      <c r="J2473" s="22">
        <v>0</v>
      </c>
      <c r="K2473" s="22">
        <v>-7.0000000000000007E-2</v>
      </c>
      <c r="L2473" s="22">
        <v>0.54</v>
      </c>
      <c r="M2473" s="10"/>
      <c r="N2473" s="67"/>
      <c r="O2473" s="11"/>
    </row>
    <row r="2474" spans="1:15" x14ac:dyDescent="0.25">
      <c r="A2474" s="6">
        <v>1228</v>
      </c>
      <c r="B2474" s="5" t="s">
        <v>18</v>
      </c>
      <c r="C2474" s="5" t="s">
        <v>17</v>
      </c>
      <c r="D2474" s="5" t="s">
        <v>326</v>
      </c>
      <c r="E2474" s="5" t="s">
        <v>327</v>
      </c>
      <c r="F2474" s="5" t="s">
        <v>19</v>
      </c>
      <c r="G2474" s="22">
        <v>0</v>
      </c>
      <c r="H2474" s="22">
        <v>0</v>
      </c>
      <c r="I2474" s="22">
        <v>0.1</v>
      </c>
      <c r="J2474" s="22">
        <v>0</v>
      </c>
      <c r="K2474" s="22">
        <v>-0.01</v>
      </c>
      <c r="L2474" s="22">
        <v>0.09</v>
      </c>
      <c r="M2474" s="10"/>
      <c r="O2474" s="11"/>
    </row>
    <row r="2475" spans="1:15" x14ac:dyDescent="0.25">
      <c r="A2475" s="6"/>
      <c r="B2475" s="5"/>
      <c r="C2475" s="5"/>
      <c r="D2475" s="5" t="s">
        <v>326</v>
      </c>
      <c r="E2475" s="5" t="s">
        <v>327</v>
      </c>
      <c r="F2475" s="5" t="s">
        <v>19</v>
      </c>
      <c r="G2475" s="14">
        <f t="shared" ref="G2475:L2475" si="620">SUBTOTAL(9,G2473:G2474)</f>
        <v>0</v>
      </c>
      <c r="H2475" s="14">
        <f t="shared" si="620"/>
        <v>0</v>
      </c>
      <c r="I2475" s="14">
        <f t="shared" si="620"/>
        <v>0.71</v>
      </c>
      <c r="J2475" s="14">
        <f t="shared" si="620"/>
        <v>0</v>
      </c>
      <c r="K2475" s="14">
        <f t="shared" si="620"/>
        <v>-0.08</v>
      </c>
      <c r="L2475" s="14">
        <f t="shared" si="620"/>
        <v>0.63</v>
      </c>
      <c r="M2475" s="10">
        <v>2717</v>
      </c>
      <c r="N2475" s="69"/>
      <c r="O2475" s="11">
        <f>O2471+1</f>
        <v>598</v>
      </c>
    </row>
    <row r="2476" spans="1:15" s="4" customFormat="1" x14ac:dyDescent="0.25">
      <c r="A2476" s="10"/>
      <c r="B2476"/>
      <c r="C2476"/>
      <c r="D2476"/>
      <c r="E2476"/>
      <c r="F2476"/>
      <c r="G2476" s="21"/>
      <c r="H2476" s="21"/>
      <c r="I2476" s="21"/>
      <c r="J2476" s="21"/>
      <c r="K2476" s="21"/>
      <c r="L2476" s="21"/>
      <c r="M2476" s="10"/>
      <c r="N2476" s="67"/>
      <c r="O2476" s="11"/>
    </row>
    <row r="2477" spans="1:15" s="4" customFormat="1" x14ac:dyDescent="0.25">
      <c r="A2477" s="6">
        <v>1229</v>
      </c>
      <c r="B2477" s="5" t="s">
        <v>550</v>
      </c>
      <c r="C2477" s="5" t="s">
        <v>17</v>
      </c>
      <c r="D2477" s="5" t="s">
        <v>326</v>
      </c>
      <c r="E2477" s="5" t="s">
        <v>327</v>
      </c>
      <c r="F2477" s="5" t="s">
        <v>551</v>
      </c>
      <c r="G2477" s="22">
        <v>0</v>
      </c>
      <c r="H2477" s="22">
        <v>0</v>
      </c>
      <c r="I2477" s="22">
        <v>1638.63</v>
      </c>
      <c r="J2477" s="22">
        <v>0</v>
      </c>
      <c r="K2477" s="22">
        <v>-32.770000000000003</v>
      </c>
      <c r="L2477" s="22">
        <v>1605.86</v>
      </c>
      <c r="M2477" s="10"/>
      <c r="N2477" s="67"/>
      <c r="O2477" s="11"/>
    </row>
    <row r="2478" spans="1:15" x14ac:dyDescent="0.25">
      <c r="A2478" s="6">
        <v>1230</v>
      </c>
      <c r="B2478" s="5" t="s">
        <v>550</v>
      </c>
      <c r="C2478" s="5" t="s">
        <v>17</v>
      </c>
      <c r="D2478" s="5" t="s">
        <v>326</v>
      </c>
      <c r="E2478" s="5" t="s">
        <v>327</v>
      </c>
      <c r="F2478" s="5" t="s">
        <v>551</v>
      </c>
      <c r="G2478" s="22">
        <v>0</v>
      </c>
      <c r="H2478" s="22">
        <v>0</v>
      </c>
      <c r="I2478" s="22">
        <v>207.24</v>
      </c>
      <c r="J2478" s="22">
        <v>0</v>
      </c>
      <c r="K2478" s="22">
        <v>-4.1399999999999997</v>
      </c>
      <c r="L2478" s="22">
        <v>203.1</v>
      </c>
      <c r="M2478" s="10"/>
      <c r="O2478" s="11"/>
    </row>
    <row r="2479" spans="1:15" x14ac:dyDescent="0.25">
      <c r="A2479" s="6"/>
      <c r="B2479" s="5"/>
      <c r="C2479" s="5"/>
      <c r="D2479" s="5" t="s">
        <v>326</v>
      </c>
      <c r="E2479" s="5" t="s">
        <v>327</v>
      </c>
      <c r="F2479" s="5" t="s">
        <v>551</v>
      </c>
      <c r="G2479" s="14">
        <f t="shared" ref="G2479:L2479" si="621">SUBTOTAL(9,G2477:G2478)</f>
        <v>0</v>
      </c>
      <c r="H2479" s="14">
        <f t="shared" si="621"/>
        <v>0</v>
      </c>
      <c r="I2479" s="14">
        <f t="shared" si="621"/>
        <v>1845.8700000000001</v>
      </c>
      <c r="J2479" s="14">
        <f t="shared" si="621"/>
        <v>0</v>
      </c>
      <c r="K2479" s="14">
        <f t="shared" si="621"/>
        <v>-36.910000000000004</v>
      </c>
      <c r="L2479" s="14">
        <f t="shared" si="621"/>
        <v>1808.9599999999998</v>
      </c>
      <c r="M2479" s="10">
        <v>2718</v>
      </c>
      <c r="N2479" s="69"/>
      <c r="O2479" s="11">
        <f>O2475+1</f>
        <v>599</v>
      </c>
    </row>
    <row r="2480" spans="1:15" s="4" customFormat="1" x14ac:dyDescent="0.25">
      <c r="A2480" s="10"/>
      <c r="B2480"/>
      <c r="C2480"/>
      <c r="D2480"/>
      <c r="E2480"/>
      <c r="F2480"/>
      <c r="G2480" s="21"/>
      <c r="H2480" s="21"/>
      <c r="I2480" s="21"/>
      <c r="J2480" s="21"/>
      <c r="K2480" s="21"/>
      <c r="L2480" s="21"/>
      <c r="M2480" s="10"/>
      <c r="N2480" s="67"/>
      <c r="O2480" s="11"/>
    </row>
    <row r="2481" spans="1:15" x14ac:dyDescent="0.25">
      <c r="A2481" s="6">
        <v>1231</v>
      </c>
      <c r="B2481" s="5" t="s">
        <v>550</v>
      </c>
      <c r="C2481" s="5" t="s">
        <v>17</v>
      </c>
      <c r="D2481" s="5" t="s">
        <v>326</v>
      </c>
      <c r="E2481" s="5" t="s">
        <v>327</v>
      </c>
      <c r="F2481" s="5" t="s">
        <v>552</v>
      </c>
      <c r="G2481" s="22">
        <v>0</v>
      </c>
      <c r="H2481" s="22">
        <v>0</v>
      </c>
      <c r="I2481" s="22">
        <v>0.12</v>
      </c>
      <c r="J2481" s="22">
        <v>0</v>
      </c>
      <c r="K2481" s="22">
        <v>0</v>
      </c>
      <c r="L2481" s="22">
        <v>0.12</v>
      </c>
      <c r="M2481" s="10"/>
      <c r="O2481" s="11"/>
    </row>
    <row r="2482" spans="1:15" x14ac:dyDescent="0.25">
      <c r="A2482" s="6">
        <v>1232</v>
      </c>
      <c r="B2482" s="5" t="s">
        <v>550</v>
      </c>
      <c r="C2482" s="5" t="s">
        <v>17</v>
      </c>
      <c r="D2482" s="5" t="s">
        <v>326</v>
      </c>
      <c r="E2482" s="5" t="s">
        <v>327</v>
      </c>
      <c r="F2482" s="5" t="s">
        <v>552</v>
      </c>
      <c r="G2482" s="22">
        <v>0</v>
      </c>
      <c r="H2482" s="22">
        <v>0</v>
      </c>
      <c r="I2482" s="22">
        <v>0.01</v>
      </c>
      <c r="J2482" s="22">
        <v>0</v>
      </c>
      <c r="K2482" s="22">
        <v>0</v>
      </c>
      <c r="L2482" s="22">
        <v>0.01</v>
      </c>
      <c r="M2482" s="10"/>
      <c r="O2482" s="11"/>
    </row>
    <row r="2483" spans="1:15" s="4" customFormat="1" x14ac:dyDescent="0.25">
      <c r="A2483" s="6"/>
      <c r="B2483" s="5"/>
      <c r="C2483" s="5"/>
      <c r="D2483" s="5" t="s">
        <v>326</v>
      </c>
      <c r="E2483" s="5" t="s">
        <v>327</v>
      </c>
      <c r="F2483" s="5" t="s">
        <v>552</v>
      </c>
      <c r="G2483" s="14">
        <f t="shared" ref="G2483:L2483" si="622">SUBTOTAL(9,G2481:G2482)</f>
        <v>0</v>
      </c>
      <c r="H2483" s="14">
        <f t="shared" si="622"/>
        <v>0</v>
      </c>
      <c r="I2483" s="14">
        <f t="shared" si="622"/>
        <v>0.13</v>
      </c>
      <c r="J2483" s="14">
        <f t="shared" si="622"/>
        <v>0</v>
      </c>
      <c r="K2483" s="14">
        <f t="shared" si="622"/>
        <v>0</v>
      </c>
      <c r="L2483" s="14">
        <f t="shared" si="622"/>
        <v>0.13</v>
      </c>
      <c r="M2483" s="10">
        <v>2719</v>
      </c>
      <c r="N2483" s="69"/>
      <c r="O2483" s="11">
        <f>O2479+1</f>
        <v>600</v>
      </c>
    </row>
    <row r="2484" spans="1:15" x14ac:dyDescent="0.25">
      <c r="A2484" s="10"/>
      <c r="G2484" s="21"/>
      <c r="H2484" s="21"/>
      <c r="I2484" s="21"/>
      <c r="J2484" s="21"/>
      <c r="K2484" s="21"/>
      <c r="L2484" s="21"/>
      <c r="M2484" s="10"/>
      <c r="O2484" s="11"/>
    </row>
    <row r="2485" spans="1:15" x14ac:dyDescent="0.25">
      <c r="A2485" s="6">
        <v>1233</v>
      </c>
      <c r="B2485" s="5" t="s">
        <v>555</v>
      </c>
      <c r="C2485" s="5" t="s">
        <v>17</v>
      </c>
      <c r="D2485" s="5" t="s">
        <v>328</v>
      </c>
      <c r="E2485" s="5" t="s">
        <v>329</v>
      </c>
      <c r="F2485" s="5" t="s">
        <v>556</v>
      </c>
      <c r="G2485" s="22">
        <v>50.33</v>
      </c>
      <c r="H2485" s="22">
        <v>0</v>
      </c>
      <c r="I2485" s="22">
        <v>0</v>
      </c>
      <c r="J2485" s="22">
        <v>0</v>
      </c>
      <c r="K2485" s="22">
        <v>-1.01</v>
      </c>
      <c r="L2485" s="22">
        <v>49.32</v>
      </c>
      <c r="M2485" s="10"/>
      <c r="O2485" s="11"/>
    </row>
    <row r="2486" spans="1:15" s="4" customFormat="1" x14ac:dyDescent="0.25">
      <c r="A2486" s="6">
        <v>1234</v>
      </c>
      <c r="B2486" s="5" t="s">
        <v>555</v>
      </c>
      <c r="C2486" s="5" t="s">
        <v>13</v>
      </c>
      <c r="D2486" s="5" t="s">
        <v>328</v>
      </c>
      <c r="E2486" s="5" t="s">
        <v>329</v>
      </c>
      <c r="F2486" s="5" t="s">
        <v>556</v>
      </c>
      <c r="G2486" s="22">
        <v>0</v>
      </c>
      <c r="H2486" s="22">
        <v>0</v>
      </c>
      <c r="I2486" s="22">
        <v>0</v>
      </c>
      <c r="J2486" s="22">
        <v>6.04</v>
      </c>
      <c r="K2486" s="22">
        <v>0</v>
      </c>
      <c r="L2486" s="22">
        <v>6.04</v>
      </c>
      <c r="M2486" s="10"/>
      <c r="N2486" s="67"/>
      <c r="O2486" s="11"/>
    </row>
    <row r="2487" spans="1:15" s="4" customFormat="1" x14ac:dyDescent="0.25">
      <c r="A2487" s="6"/>
      <c r="B2487" s="5"/>
      <c r="C2487" s="5"/>
      <c r="D2487" s="5" t="s">
        <v>328</v>
      </c>
      <c r="E2487" s="5" t="s">
        <v>329</v>
      </c>
      <c r="F2487" s="5" t="s">
        <v>556</v>
      </c>
      <c r="G2487" s="14">
        <f t="shared" ref="G2487:L2487" si="623">SUBTOTAL(9,G2485:G2486)</f>
        <v>50.33</v>
      </c>
      <c r="H2487" s="14">
        <f t="shared" si="623"/>
        <v>0</v>
      </c>
      <c r="I2487" s="14">
        <f t="shared" si="623"/>
        <v>0</v>
      </c>
      <c r="J2487" s="14">
        <f t="shared" si="623"/>
        <v>6.04</v>
      </c>
      <c r="K2487" s="14">
        <f t="shared" si="623"/>
        <v>-1.01</v>
      </c>
      <c r="L2487" s="14">
        <f t="shared" si="623"/>
        <v>55.36</v>
      </c>
      <c r="M2487" s="10">
        <v>2720</v>
      </c>
      <c r="N2487" s="69"/>
      <c r="O2487" s="11">
        <f>O2483+1</f>
        <v>601</v>
      </c>
    </row>
    <row r="2488" spans="1:15" x14ac:dyDescent="0.25">
      <c r="A2488" s="10"/>
      <c r="G2488" s="21"/>
      <c r="H2488" s="21"/>
      <c r="I2488" s="21"/>
      <c r="J2488" s="21"/>
      <c r="K2488" s="21"/>
      <c r="L2488" s="21"/>
      <c r="M2488" s="10"/>
      <c r="O2488" s="11"/>
    </row>
    <row r="2489" spans="1:15" x14ac:dyDescent="0.25">
      <c r="A2489" s="6">
        <v>1235</v>
      </c>
      <c r="B2489" s="5" t="s">
        <v>557</v>
      </c>
      <c r="C2489" s="5" t="s">
        <v>17</v>
      </c>
      <c r="D2489" s="5" t="s">
        <v>328</v>
      </c>
      <c r="E2489" s="5" t="s">
        <v>329</v>
      </c>
      <c r="F2489" s="5" t="s">
        <v>558</v>
      </c>
      <c r="G2489" s="22">
        <v>35.22</v>
      </c>
      <c r="H2489" s="22">
        <v>0</v>
      </c>
      <c r="I2489" s="22">
        <v>0</v>
      </c>
      <c r="J2489" s="22">
        <v>0</v>
      </c>
      <c r="K2489" s="22">
        <v>-0.7</v>
      </c>
      <c r="L2489" s="22">
        <v>34.520000000000003</v>
      </c>
      <c r="M2489" s="10"/>
      <c r="O2489" s="11"/>
    </row>
    <row r="2490" spans="1:15" s="4" customFormat="1" x14ac:dyDescent="0.25">
      <c r="A2490" s="6">
        <v>1236</v>
      </c>
      <c r="B2490" s="5" t="s">
        <v>557</v>
      </c>
      <c r="C2490" s="5" t="s">
        <v>13</v>
      </c>
      <c r="D2490" s="5" t="s">
        <v>328</v>
      </c>
      <c r="E2490" s="5" t="s">
        <v>329</v>
      </c>
      <c r="F2490" s="5" t="s">
        <v>558</v>
      </c>
      <c r="G2490" s="22">
        <v>0</v>
      </c>
      <c r="H2490" s="22">
        <v>0</v>
      </c>
      <c r="I2490" s="22">
        <v>0</v>
      </c>
      <c r="J2490" s="22">
        <v>4.2300000000000004</v>
      </c>
      <c r="K2490" s="22">
        <v>0</v>
      </c>
      <c r="L2490" s="22">
        <v>4.2300000000000004</v>
      </c>
      <c r="M2490" s="10"/>
      <c r="N2490" s="67"/>
      <c r="O2490" s="11"/>
    </row>
    <row r="2491" spans="1:15" s="4" customFormat="1" x14ac:dyDescent="0.25">
      <c r="A2491" s="6"/>
      <c r="B2491" s="5"/>
      <c r="C2491" s="5"/>
      <c r="D2491" s="5" t="s">
        <v>328</v>
      </c>
      <c r="E2491" s="5" t="s">
        <v>329</v>
      </c>
      <c r="F2491" s="5" t="s">
        <v>558</v>
      </c>
      <c r="G2491" s="14">
        <f t="shared" ref="G2491:L2491" si="624">SUBTOTAL(9,G2489:G2490)</f>
        <v>35.22</v>
      </c>
      <c r="H2491" s="14">
        <f t="shared" si="624"/>
        <v>0</v>
      </c>
      <c r="I2491" s="14">
        <f t="shared" si="624"/>
        <v>0</v>
      </c>
      <c r="J2491" s="14">
        <f t="shared" si="624"/>
        <v>4.2300000000000004</v>
      </c>
      <c r="K2491" s="14">
        <f t="shared" si="624"/>
        <v>-0.7</v>
      </c>
      <c r="L2491" s="14">
        <f t="shared" si="624"/>
        <v>38.75</v>
      </c>
      <c r="M2491" s="10">
        <v>2721</v>
      </c>
      <c r="N2491" s="69"/>
      <c r="O2491" s="11">
        <f>O2487+1</f>
        <v>602</v>
      </c>
    </row>
    <row r="2492" spans="1:15" x14ac:dyDescent="0.25">
      <c r="A2492" s="10"/>
      <c r="G2492" s="21"/>
      <c r="H2492" s="21"/>
      <c r="I2492" s="21"/>
      <c r="J2492" s="21"/>
      <c r="K2492" s="21"/>
      <c r="L2492" s="21"/>
      <c r="M2492" s="10"/>
      <c r="O2492" s="11"/>
    </row>
    <row r="2493" spans="1:15" x14ac:dyDescent="0.25">
      <c r="A2493" s="6">
        <v>1237</v>
      </c>
      <c r="B2493" s="5" t="s">
        <v>18</v>
      </c>
      <c r="C2493" s="5" t="s">
        <v>17</v>
      </c>
      <c r="D2493" s="5" t="s">
        <v>328</v>
      </c>
      <c r="E2493" s="5" t="s">
        <v>329</v>
      </c>
      <c r="F2493" s="5" t="s">
        <v>19</v>
      </c>
      <c r="G2493" s="22">
        <v>1.08</v>
      </c>
      <c r="H2493" s="22">
        <v>0</v>
      </c>
      <c r="I2493" s="22">
        <v>0</v>
      </c>
      <c r="J2493" s="22">
        <v>0</v>
      </c>
      <c r="K2493" s="22">
        <v>-0.96</v>
      </c>
      <c r="L2493" s="22">
        <v>0.12</v>
      </c>
      <c r="M2493" s="10"/>
      <c r="O2493" s="11"/>
    </row>
    <row r="2494" spans="1:15" s="4" customFormat="1" x14ac:dyDescent="0.25">
      <c r="A2494" s="6">
        <v>1238</v>
      </c>
      <c r="B2494" s="5" t="s">
        <v>18</v>
      </c>
      <c r="C2494" s="5" t="s">
        <v>17</v>
      </c>
      <c r="D2494" s="5" t="s">
        <v>328</v>
      </c>
      <c r="E2494" s="5" t="s">
        <v>329</v>
      </c>
      <c r="F2494" s="5" t="s">
        <v>19</v>
      </c>
      <c r="G2494" s="22">
        <v>0.47</v>
      </c>
      <c r="H2494" s="22">
        <v>0</v>
      </c>
      <c r="I2494" s="22">
        <v>0</v>
      </c>
      <c r="J2494" s="22">
        <v>0</v>
      </c>
      <c r="K2494" s="22">
        <v>-0.41</v>
      </c>
      <c r="L2494" s="22">
        <v>0.06</v>
      </c>
      <c r="M2494" s="10"/>
      <c r="N2494" s="67"/>
      <c r="O2494" s="11"/>
    </row>
    <row r="2495" spans="1:15" x14ac:dyDescent="0.25">
      <c r="A2495" s="6"/>
      <c r="B2495" s="5"/>
      <c r="C2495" s="5"/>
      <c r="D2495" s="5" t="s">
        <v>328</v>
      </c>
      <c r="E2495" s="5" t="s">
        <v>329</v>
      </c>
      <c r="F2495" s="5" t="s">
        <v>19</v>
      </c>
      <c r="G2495" s="14">
        <f t="shared" ref="G2495:L2495" si="625">SUBTOTAL(9,G2493:G2494)</f>
        <v>1.55</v>
      </c>
      <c r="H2495" s="14">
        <f t="shared" si="625"/>
        <v>0</v>
      </c>
      <c r="I2495" s="14">
        <f t="shared" si="625"/>
        <v>0</v>
      </c>
      <c r="J2495" s="14">
        <f t="shared" si="625"/>
        <v>0</v>
      </c>
      <c r="K2495" s="14">
        <f t="shared" si="625"/>
        <v>-1.3699999999999999</v>
      </c>
      <c r="L2495" s="14">
        <f t="shared" si="625"/>
        <v>0.18</v>
      </c>
      <c r="M2495" s="10">
        <v>2722</v>
      </c>
      <c r="N2495" s="69"/>
      <c r="O2495" s="11">
        <f>O2491+1</f>
        <v>603</v>
      </c>
    </row>
    <row r="2496" spans="1:15" x14ac:dyDescent="0.25">
      <c r="A2496" s="10"/>
      <c r="G2496" s="21"/>
      <c r="H2496" s="21"/>
      <c r="I2496" s="21"/>
      <c r="J2496" s="21"/>
      <c r="K2496" s="21"/>
      <c r="L2496" s="21"/>
      <c r="M2496" s="10"/>
      <c r="O2496" s="11"/>
    </row>
    <row r="2497" spans="1:15" s="4" customFormat="1" x14ac:dyDescent="0.25">
      <c r="A2497" s="6">
        <v>1239</v>
      </c>
      <c r="B2497" s="5" t="s">
        <v>550</v>
      </c>
      <c r="C2497" s="5" t="s">
        <v>17</v>
      </c>
      <c r="D2497" s="5" t="s">
        <v>328</v>
      </c>
      <c r="E2497" s="5" t="s">
        <v>329</v>
      </c>
      <c r="F2497" s="5" t="s">
        <v>551</v>
      </c>
      <c r="G2497" s="22">
        <v>22473.33</v>
      </c>
      <c r="H2497" s="22">
        <v>0</v>
      </c>
      <c r="I2497" s="22">
        <v>0</v>
      </c>
      <c r="J2497" s="22">
        <v>0</v>
      </c>
      <c r="K2497" s="22">
        <v>-449.47</v>
      </c>
      <c r="L2497" s="22">
        <v>22023.86</v>
      </c>
      <c r="M2497" s="10"/>
      <c r="N2497" s="67"/>
      <c r="O2497" s="11"/>
    </row>
    <row r="2498" spans="1:15" x14ac:dyDescent="0.25">
      <c r="A2498" s="6">
        <v>1240</v>
      </c>
      <c r="B2498" s="5" t="s">
        <v>550</v>
      </c>
      <c r="C2498" s="5" t="s">
        <v>17</v>
      </c>
      <c r="D2498" s="5" t="s">
        <v>328</v>
      </c>
      <c r="E2498" s="5" t="s">
        <v>329</v>
      </c>
      <c r="F2498" s="5" t="s">
        <v>551</v>
      </c>
      <c r="G2498" s="22">
        <v>9734.6200000000008</v>
      </c>
      <c r="H2498" s="22">
        <v>0</v>
      </c>
      <c r="I2498" s="22">
        <v>0</v>
      </c>
      <c r="J2498" s="22">
        <v>0</v>
      </c>
      <c r="K2498" s="22">
        <v>-194.69</v>
      </c>
      <c r="L2498" s="22">
        <v>9539.93</v>
      </c>
      <c r="M2498" s="10"/>
      <c r="O2498" s="11"/>
    </row>
    <row r="2499" spans="1:15" x14ac:dyDescent="0.25">
      <c r="A2499" s="6">
        <v>1241</v>
      </c>
      <c r="B2499" s="5" t="s">
        <v>550</v>
      </c>
      <c r="C2499" s="5" t="s">
        <v>13</v>
      </c>
      <c r="D2499" s="5" t="s">
        <v>328</v>
      </c>
      <c r="E2499" s="5" t="s">
        <v>329</v>
      </c>
      <c r="F2499" s="5" t="s">
        <v>551</v>
      </c>
      <c r="G2499" s="22">
        <v>0</v>
      </c>
      <c r="H2499" s="22">
        <v>0</v>
      </c>
      <c r="I2499" s="22">
        <v>0</v>
      </c>
      <c r="J2499" s="22">
        <v>2696.8</v>
      </c>
      <c r="K2499" s="22">
        <v>0</v>
      </c>
      <c r="L2499" s="22">
        <v>2696.8</v>
      </c>
      <c r="M2499" s="10"/>
      <c r="O2499" s="11"/>
    </row>
    <row r="2500" spans="1:15" s="4" customFormat="1" x14ac:dyDescent="0.25">
      <c r="A2500" s="6">
        <v>1242</v>
      </c>
      <c r="B2500" s="5" t="s">
        <v>550</v>
      </c>
      <c r="C2500" s="5" t="s">
        <v>13</v>
      </c>
      <c r="D2500" s="5" t="s">
        <v>328</v>
      </c>
      <c r="E2500" s="5" t="s">
        <v>329</v>
      </c>
      <c r="F2500" s="5" t="s">
        <v>551</v>
      </c>
      <c r="G2500" s="22">
        <v>0</v>
      </c>
      <c r="H2500" s="22">
        <v>0</v>
      </c>
      <c r="I2500" s="22">
        <v>0</v>
      </c>
      <c r="J2500" s="22">
        <v>1168.1500000000001</v>
      </c>
      <c r="K2500" s="22">
        <v>0</v>
      </c>
      <c r="L2500" s="22">
        <v>1168.1500000000001</v>
      </c>
      <c r="M2500" s="10"/>
      <c r="N2500" s="67"/>
      <c r="O2500" s="11"/>
    </row>
    <row r="2501" spans="1:15" x14ac:dyDescent="0.25">
      <c r="A2501" s="6"/>
      <c r="B2501" s="5"/>
      <c r="C2501" s="5"/>
      <c r="D2501" s="5" t="s">
        <v>328</v>
      </c>
      <c r="E2501" s="5" t="s">
        <v>329</v>
      </c>
      <c r="F2501" s="5" t="s">
        <v>551</v>
      </c>
      <c r="G2501" s="14">
        <f t="shared" ref="G2501:L2501" si="626">SUBTOTAL(9,G2497:G2500)</f>
        <v>32207.950000000004</v>
      </c>
      <c r="H2501" s="14">
        <f t="shared" si="626"/>
        <v>0</v>
      </c>
      <c r="I2501" s="14">
        <f t="shared" si="626"/>
        <v>0</v>
      </c>
      <c r="J2501" s="14">
        <f t="shared" si="626"/>
        <v>3864.9500000000003</v>
      </c>
      <c r="K2501" s="14">
        <f t="shared" si="626"/>
        <v>-644.16000000000008</v>
      </c>
      <c r="L2501" s="14">
        <f t="shared" si="626"/>
        <v>35428.740000000005</v>
      </c>
      <c r="M2501" s="10">
        <v>2723</v>
      </c>
      <c r="N2501" s="69"/>
      <c r="O2501" s="11">
        <f>O2495+1</f>
        <v>604</v>
      </c>
    </row>
    <row r="2502" spans="1:15" x14ac:dyDescent="0.25">
      <c r="A2502" s="10"/>
      <c r="G2502" s="21"/>
      <c r="H2502" s="21"/>
      <c r="I2502" s="21"/>
      <c r="J2502" s="21"/>
      <c r="K2502" s="21"/>
      <c r="L2502" s="21"/>
      <c r="M2502" s="10"/>
      <c r="O2502" s="11"/>
    </row>
    <row r="2503" spans="1:15" s="4" customFormat="1" x14ac:dyDescent="0.25">
      <c r="A2503" s="6">
        <v>1243</v>
      </c>
      <c r="B2503" s="5" t="s">
        <v>550</v>
      </c>
      <c r="C2503" s="5" t="s">
        <v>17</v>
      </c>
      <c r="D2503" s="5" t="s">
        <v>328</v>
      </c>
      <c r="E2503" s="5" t="s">
        <v>329</v>
      </c>
      <c r="F2503" s="5" t="s">
        <v>552</v>
      </c>
      <c r="G2503" s="22">
        <v>1.62</v>
      </c>
      <c r="H2503" s="22">
        <v>0</v>
      </c>
      <c r="I2503" s="22">
        <v>0</v>
      </c>
      <c r="J2503" s="22">
        <v>0</v>
      </c>
      <c r="K2503" s="22">
        <v>-0.03</v>
      </c>
      <c r="L2503" s="22">
        <v>1.59</v>
      </c>
      <c r="M2503" s="10"/>
      <c r="N2503" s="67"/>
      <c r="O2503" s="11"/>
    </row>
    <row r="2504" spans="1:15" x14ac:dyDescent="0.25">
      <c r="A2504" s="6">
        <v>1244</v>
      </c>
      <c r="B2504" s="5" t="s">
        <v>550</v>
      </c>
      <c r="C2504" s="5" t="s">
        <v>17</v>
      </c>
      <c r="D2504" s="5" t="s">
        <v>328</v>
      </c>
      <c r="E2504" s="5" t="s">
        <v>329</v>
      </c>
      <c r="F2504" s="5" t="s">
        <v>552</v>
      </c>
      <c r="G2504" s="22">
        <v>0.7</v>
      </c>
      <c r="H2504" s="22">
        <v>0</v>
      </c>
      <c r="I2504" s="22">
        <v>0</v>
      </c>
      <c r="J2504" s="22">
        <v>0</v>
      </c>
      <c r="K2504" s="22">
        <v>-0.01</v>
      </c>
      <c r="L2504" s="22">
        <v>0.69</v>
      </c>
      <c r="M2504" s="10"/>
      <c r="O2504" s="11"/>
    </row>
    <row r="2505" spans="1:15" x14ac:dyDescent="0.25">
      <c r="A2505" s="6">
        <v>1245</v>
      </c>
      <c r="B2505" s="5" t="s">
        <v>550</v>
      </c>
      <c r="C2505" s="5" t="s">
        <v>13</v>
      </c>
      <c r="D2505" s="5" t="s">
        <v>328</v>
      </c>
      <c r="E2505" s="5" t="s">
        <v>329</v>
      </c>
      <c r="F2505" s="5" t="s">
        <v>552</v>
      </c>
      <c r="G2505" s="22">
        <v>0</v>
      </c>
      <c r="H2505" s="22">
        <v>0</v>
      </c>
      <c r="I2505" s="22">
        <v>0</v>
      </c>
      <c r="J2505" s="22">
        <v>0.19</v>
      </c>
      <c r="K2505" s="22">
        <v>0</v>
      </c>
      <c r="L2505" s="22">
        <v>0.19</v>
      </c>
      <c r="M2505" s="10"/>
      <c r="O2505" s="11"/>
    </row>
    <row r="2506" spans="1:15" s="4" customFormat="1" x14ac:dyDescent="0.25">
      <c r="A2506" s="6">
        <v>1246</v>
      </c>
      <c r="B2506" s="5" t="s">
        <v>550</v>
      </c>
      <c r="C2506" s="5" t="s">
        <v>13</v>
      </c>
      <c r="D2506" s="5" t="s">
        <v>328</v>
      </c>
      <c r="E2506" s="5" t="s">
        <v>329</v>
      </c>
      <c r="F2506" s="5" t="s">
        <v>552</v>
      </c>
      <c r="G2506" s="22">
        <v>0</v>
      </c>
      <c r="H2506" s="22">
        <v>0</v>
      </c>
      <c r="I2506" s="22">
        <v>0</v>
      </c>
      <c r="J2506" s="22">
        <v>0.08</v>
      </c>
      <c r="K2506" s="22">
        <v>0</v>
      </c>
      <c r="L2506" s="22">
        <v>0.08</v>
      </c>
      <c r="M2506" s="10"/>
      <c r="N2506" s="67"/>
      <c r="O2506" s="11"/>
    </row>
    <row r="2507" spans="1:15" x14ac:dyDescent="0.25">
      <c r="A2507" s="6"/>
      <c r="B2507" s="5"/>
      <c r="C2507" s="5"/>
      <c r="D2507" s="5" t="s">
        <v>328</v>
      </c>
      <c r="E2507" s="5" t="s">
        <v>329</v>
      </c>
      <c r="F2507" s="5" t="s">
        <v>552</v>
      </c>
      <c r="G2507" s="14">
        <f t="shared" ref="G2507:L2507" si="627">SUBTOTAL(9,G2503:G2506)</f>
        <v>2.3200000000000003</v>
      </c>
      <c r="H2507" s="14">
        <f t="shared" si="627"/>
        <v>0</v>
      </c>
      <c r="I2507" s="14">
        <f t="shared" si="627"/>
        <v>0</v>
      </c>
      <c r="J2507" s="14">
        <f t="shared" si="627"/>
        <v>0.27</v>
      </c>
      <c r="K2507" s="14">
        <f t="shared" si="627"/>
        <v>-0.04</v>
      </c>
      <c r="L2507" s="14">
        <f t="shared" si="627"/>
        <v>2.5500000000000003</v>
      </c>
      <c r="M2507" s="10">
        <v>2724</v>
      </c>
      <c r="N2507" s="69"/>
      <c r="O2507" s="11">
        <f>O2501+1</f>
        <v>605</v>
      </c>
    </row>
    <row r="2508" spans="1:15" x14ac:dyDescent="0.25">
      <c r="A2508" s="10"/>
      <c r="G2508" s="21"/>
      <c r="H2508" s="21"/>
      <c r="I2508" s="21"/>
      <c r="J2508" s="21"/>
      <c r="K2508" s="21"/>
      <c r="L2508" s="21"/>
      <c r="M2508" s="10"/>
      <c r="O2508" s="11"/>
    </row>
    <row r="2509" spans="1:15" s="4" customFormat="1" x14ac:dyDescent="0.25">
      <c r="A2509" s="6">
        <v>1247</v>
      </c>
      <c r="B2509" s="5" t="s">
        <v>18</v>
      </c>
      <c r="C2509" s="5" t="s">
        <v>17</v>
      </c>
      <c r="D2509" s="5" t="s">
        <v>330</v>
      </c>
      <c r="E2509" s="5" t="s">
        <v>331</v>
      </c>
      <c r="F2509" s="5" t="s">
        <v>19</v>
      </c>
      <c r="G2509" s="22">
        <v>0</v>
      </c>
      <c r="H2509" s="22">
        <v>0</v>
      </c>
      <c r="I2509" s="22">
        <v>0</v>
      </c>
      <c r="J2509" s="22">
        <v>0</v>
      </c>
      <c r="K2509" s="22">
        <v>0</v>
      </c>
      <c r="L2509" s="22">
        <v>0</v>
      </c>
      <c r="M2509" s="10"/>
      <c r="N2509" s="67"/>
      <c r="O2509" s="11"/>
    </row>
    <row r="2510" spans="1:15" x14ac:dyDescent="0.25">
      <c r="A2510" s="28"/>
      <c r="B2510" s="29"/>
      <c r="C2510" s="29"/>
      <c r="D2510" s="29"/>
      <c r="E2510" s="29"/>
      <c r="F2510" s="29" t="s">
        <v>657</v>
      </c>
      <c r="G2510" s="31">
        <f t="shared" ref="G2510:L2510" si="628">SUBTOTAL(9,G2509:G2509)</f>
        <v>0</v>
      </c>
      <c r="H2510" s="31">
        <f t="shared" si="628"/>
        <v>0</v>
      </c>
      <c r="I2510" s="31">
        <f t="shared" si="628"/>
        <v>0</v>
      </c>
      <c r="J2510" s="31">
        <f t="shared" si="628"/>
        <v>0</v>
      </c>
      <c r="K2510" s="31">
        <f t="shared" si="628"/>
        <v>0</v>
      </c>
      <c r="L2510" s="31">
        <f t="shared" si="628"/>
        <v>0</v>
      </c>
      <c r="M2510" s="15"/>
      <c r="O2510" s="11"/>
    </row>
    <row r="2511" spans="1:15" x14ac:dyDescent="0.25">
      <c r="A2511" s="10"/>
      <c r="G2511" s="21"/>
      <c r="H2511" s="21"/>
      <c r="I2511" s="21"/>
      <c r="J2511" s="21"/>
      <c r="K2511" s="21"/>
      <c r="L2511" s="21"/>
      <c r="M2511" s="10"/>
      <c r="O2511" s="11"/>
    </row>
    <row r="2512" spans="1:15" s="4" customFormat="1" x14ac:dyDescent="0.25">
      <c r="A2512" s="6">
        <v>1248</v>
      </c>
      <c r="B2512" s="5" t="s">
        <v>550</v>
      </c>
      <c r="C2512" s="5" t="s">
        <v>17</v>
      </c>
      <c r="D2512" s="5" t="s">
        <v>330</v>
      </c>
      <c r="E2512" s="5" t="s">
        <v>331</v>
      </c>
      <c r="F2512" s="5" t="s">
        <v>551</v>
      </c>
      <c r="G2512" s="22">
        <v>949.62</v>
      </c>
      <c r="H2512" s="22">
        <v>0</v>
      </c>
      <c r="I2512" s="22">
        <v>0</v>
      </c>
      <c r="J2512" s="22">
        <v>0</v>
      </c>
      <c r="K2512" s="22">
        <v>-18.989999999999998</v>
      </c>
      <c r="L2512" s="22">
        <v>930.63</v>
      </c>
      <c r="M2512" s="10"/>
      <c r="N2512" s="67"/>
      <c r="O2512" s="11"/>
    </row>
    <row r="2513" spans="1:15" x14ac:dyDescent="0.25">
      <c r="A2513" s="6">
        <v>1249</v>
      </c>
      <c r="B2513" s="5" t="s">
        <v>550</v>
      </c>
      <c r="C2513" s="5" t="s">
        <v>13</v>
      </c>
      <c r="D2513" s="5" t="s">
        <v>330</v>
      </c>
      <c r="E2513" s="5" t="s">
        <v>331</v>
      </c>
      <c r="F2513" s="5" t="s">
        <v>551</v>
      </c>
      <c r="G2513" s="22">
        <v>0</v>
      </c>
      <c r="H2513" s="22">
        <v>0</v>
      </c>
      <c r="I2513" s="22">
        <v>0</v>
      </c>
      <c r="J2513" s="22">
        <v>113.95</v>
      </c>
      <c r="K2513" s="22">
        <v>0</v>
      </c>
      <c r="L2513" s="22">
        <v>113.95</v>
      </c>
      <c r="M2513" s="10"/>
      <c r="O2513" s="11"/>
    </row>
    <row r="2514" spans="1:15" x14ac:dyDescent="0.25">
      <c r="A2514" s="6"/>
      <c r="B2514" s="5"/>
      <c r="C2514" s="5"/>
      <c r="D2514" s="5" t="s">
        <v>330</v>
      </c>
      <c r="E2514" s="5" t="s">
        <v>331</v>
      </c>
      <c r="F2514" s="5" t="s">
        <v>551</v>
      </c>
      <c r="G2514" s="14">
        <f t="shared" ref="G2514:L2514" si="629">SUBTOTAL(9,G2512:G2513)</f>
        <v>949.62</v>
      </c>
      <c r="H2514" s="14">
        <f t="shared" si="629"/>
        <v>0</v>
      </c>
      <c r="I2514" s="14">
        <f t="shared" si="629"/>
        <v>0</v>
      </c>
      <c r="J2514" s="14">
        <f t="shared" si="629"/>
        <v>113.95</v>
      </c>
      <c r="K2514" s="14">
        <f t="shared" si="629"/>
        <v>-18.989999999999998</v>
      </c>
      <c r="L2514" s="14">
        <f t="shared" si="629"/>
        <v>1044.58</v>
      </c>
      <c r="M2514" s="10">
        <v>2725</v>
      </c>
      <c r="N2514" s="69"/>
      <c r="O2514" s="11">
        <f>O2507+1</f>
        <v>606</v>
      </c>
    </row>
    <row r="2515" spans="1:15" s="4" customFormat="1" x14ac:dyDescent="0.25">
      <c r="A2515" s="10"/>
      <c r="B2515"/>
      <c r="C2515"/>
      <c r="D2515"/>
      <c r="E2515"/>
      <c r="F2515"/>
      <c r="G2515" s="21"/>
      <c r="H2515" s="21"/>
      <c r="I2515" s="21"/>
      <c r="J2515" s="21"/>
      <c r="K2515" s="21"/>
      <c r="L2515" s="21"/>
      <c r="M2515" s="10"/>
      <c r="N2515" s="67"/>
      <c r="O2515" s="11"/>
    </row>
    <row r="2516" spans="1:15" x14ac:dyDescent="0.25">
      <c r="A2516" s="6">
        <v>1250</v>
      </c>
      <c r="B2516" s="5" t="s">
        <v>550</v>
      </c>
      <c r="C2516" s="5" t="s">
        <v>17</v>
      </c>
      <c r="D2516" s="5" t="s">
        <v>330</v>
      </c>
      <c r="E2516" s="5" t="s">
        <v>331</v>
      </c>
      <c r="F2516" s="5" t="s">
        <v>552</v>
      </c>
      <c r="G2516" s="22">
        <v>7.0000000000000007E-2</v>
      </c>
      <c r="H2516" s="22">
        <v>0</v>
      </c>
      <c r="I2516" s="22">
        <v>0</v>
      </c>
      <c r="J2516" s="22">
        <v>0</v>
      </c>
      <c r="K2516" s="22">
        <v>0</v>
      </c>
      <c r="L2516" s="22">
        <v>7.0000000000000007E-2</v>
      </c>
      <c r="M2516" s="10"/>
      <c r="O2516" s="11"/>
    </row>
    <row r="2517" spans="1:15" x14ac:dyDescent="0.25">
      <c r="A2517" s="6">
        <v>1251</v>
      </c>
      <c r="B2517" s="5" t="s">
        <v>550</v>
      </c>
      <c r="C2517" s="5" t="s">
        <v>13</v>
      </c>
      <c r="D2517" s="5" t="s">
        <v>330</v>
      </c>
      <c r="E2517" s="5" t="s">
        <v>331</v>
      </c>
      <c r="F2517" s="5" t="s">
        <v>552</v>
      </c>
      <c r="G2517" s="22">
        <v>0</v>
      </c>
      <c r="H2517" s="22">
        <v>0</v>
      </c>
      <c r="I2517" s="22">
        <v>0</v>
      </c>
      <c r="J2517" s="22">
        <v>0.01</v>
      </c>
      <c r="K2517" s="22">
        <v>0</v>
      </c>
      <c r="L2517" s="22">
        <v>0.01</v>
      </c>
      <c r="M2517" s="10"/>
      <c r="O2517" s="11"/>
    </row>
    <row r="2518" spans="1:15" s="4" customFormat="1" x14ac:dyDescent="0.25">
      <c r="A2518" s="6"/>
      <c r="B2518" s="5"/>
      <c r="C2518" s="5"/>
      <c r="D2518" s="5" t="s">
        <v>330</v>
      </c>
      <c r="E2518" s="5" t="s">
        <v>331</v>
      </c>
      <c r="F2518" s="5" t="s">
        <v>552</v>
      </c>
      <c r="G2518" s="14">
        <f t="shared" ref="G2518:L2518" si="630">SUBTOTAL(9,G2516:G2517)</f>
        <v>7.0000000000000007E-2</v>
      </c>
      <c r="H2518" s="14">
        <f t="shared" si="630"/>
        <v>0</v>
      </c>
      <c r="I2518" s="14">
        <f t="shared" si="630"/>
        <v>0</v>
      </c>
      <c r="J2518" s="14">
        <f t="shared" si="630"/>
        <v>0.01</v>
      </c>
      <c r="K2518" s="14">
        <f t="shared" si="630"/>
        <v>0</v>
      </c>
      <c r="L2518" s="14">
        <f t="shared" si="630"/>
        <v>0.08</v>
      </c>
      <c r="M2518" s="10">
        <v>2726</v>
      </c>
      <c r="N2518" s="69"/>
      <c r="O2518" s="11">
        <f>O2514+1</f>
        <v>607</v>
      </c>
    </row>
    <row r="2519" spans="1:15" x14ac:dyDescent="0.25">
      <c r="A2519" s="10"/>
      <c r="G2519" s="21"/>
      <c r="H2519" s="21"/>
      <c r="I2519" s="21"/>
      <c r="J2519" s="21"/>
      <c r="K2519" s="21"/>
      <c r="L2519" s="21"/>
      <c r="M2519" s="10"/>
      <c r="O2519" s="11"/>
    </row>
    <row r="2520" spans="1:15" x14ac:dyDescent="0.25">
      <c r="A2520" s="6">
        <v>1252</v>
      </c>
      <c r="B2520" s="5" t="s">
        <v>29</v>
      </c>
      <c r="C2520" s="5" t="s">
        <v>13</v>
      </c>
      <c r="D2520" s="5" t="s">
        <v>332</v>
      </c>
      <c r="E2520" s="5" t="s">
        <v>333</v>
      </c>
      <c r="F2520" s="5" t="s">
        <v>30</v>
      </c>
      <c r="G2520" s="22">
        <v>0</v>
      </c>
      <c r="H2520" s="22">
        <v>0</v>
      </c>
      <c r="I2520" s="22">
        <v>0</v>
      </c>
      <c r="J2520" s="22">
        <v>0.03</v>
      </c>
      <c r="K2520" s="22">
        <v>0</v>
      </c>
      <c r="L2520" s="22">
        <v>0.03</v>
      </c>
      <c r="M2520" s="10"/>
      <c r="O2520" s="11"/>
    </row>
    <row r="2521" spans="1:15" s="4" customFormat="1" x14ac:dyDescent="0.25">
      <c r="A2521" s="6"/>
      <c r="B2521" s="5"/>
      <c r="C2521" s="5"/>
      <c r="D2521" s="5" t="s">
        <v>332</v>
      </c>
      <c r="E2521" s="5" t="s">
        <v>333</v>
      </c>
      <c r="F2521" s="5" t="s">
        <v>30</v>
      </c>
      <c r="G2521" s="14">
        <f t="shared" ref="G2521:L2521" si="631">SUBTOTAL(9,G2520:G2520)</f>
        <v>0</v>
      </c>
      <c r="H2521" s="14">
        <f t="shared" si="631"/>
        <v>0</v>
      </c>
      <c r="I2521" s="14">
        <f t="shared" si="631"/>
        <v>0</v>
      </c>
      <c r="J2521" s="14">
        <f t="shared" si="631"/>
        <v>0.03</v>
      </c>
      <c r="K2521" s="14">
        <f t="shared" si="631"/>
        <v>0</v>
      </c>
      <c r="L2521" s="14">
        <f t="shared" si="631"/>
        <v>0.03</v>
      </c>
      <c r="M2521" s="10">
        <v>2727</v>
      </c>
      <c r="N2521" s="69"/>
      <c r="O2521" s="11">
        <f>O2518+1</f>
        <v>608</v>
      </c>
    </row>
    <row r="2522" spans="1:15" x14ac:dyDescent="0.25">
      <c r="A2522" s="10"/>
      <c r="G2522" s="21"/>
      <c r="H2522" s="21"/>
      <c r="I2522" s="21"/>
      <c r="J2522" s="21"/>
      <c r="K2522" s="21"/>
      <c r="L2522" s="21"/>
      <c r="M2522" s="10"/>
      <c r="O2522" s="11"/>
    </row>
    <row r="2523" spans="1:15" x14ac:dyDescent="0.25">
      <c r="A2523" s="6">
        <v>1253</v>
      </c>
      <c r="B2523" s="5" t="s">
        <v>18</v>
      </c>
      <c r="C2523" s="5" t="s">
        <v>17</v>
      </c>
      <c r="D2523" s="5" t="s">
        <v>332</v>
      </c>
      <c r="E2523" s="5" t="s">
        <v>333</v>
      </c>
      <c r="F2523" s="5" t="s">
        <v>19</v>
      </c>
      <c r="G2523" s="22">
        <v>0.78</v>
      </c>
      <c r="H2523" s="22">
        <v>0</v>
      </c>
      <c r="I2523" s="22">
        <v>0</v>
      </c>
      <c r="J2523" s="22">
        <v>0</v>
      </c>
      <c r="K2523" s="22">
        <v>-0.69</v>
      </c>
      <c r="L2523" s="22">
        <v>0.09</v>
      </c>
      <c r="M2523" s="10"/>
      <c r="O2523" s="11"/>
    </row>
    <row r="2524" spans="1:15" s="4" customFormat="1" x14ac:dyDescent="0.25">
      <c r="A2524" s="6"/>
      <c r="B2524" s="5"/>
      <c r="C2524" s="5"/>
      <c r="D2524" s="5" t="s">
        <v>332</v>
      </c>
      <c r="E2524" s="5" t="s">
        <v>333</v>
      </c>
      <c r="F2524" s="5" t="s">
        <v>19</v>
      </c>
      <c r="G2524" s="14">
        <f t="shared" ref="G2524:L2524" si="632">SUBTOTAL(9,G2523:G2523)</f>
        <v>0.78</v>
      </c>
      <c r="H2524" s="14">
        <f t="shared" si="632"/>
        <v>0</v>
      </c>
      <c r="I2524" s="14">
        <f t="shared" si="632"/>
        <v>0</v>
      </c>
      <c r="J2524" s="14">
        <f t="shared" si="632"/>
        <v>0</v>
      </c>
      <c r="K2524" s="14">
        <f t="shared" si="632"/>
        <v>-0.69</v>
      </c>
      <c r="L2524" s="14">
        <f t="shared" si="632"/>
        <v>0.09</v>
      </c>
      <c r="M2524" s="10">
        <v>2728</v>
      </c>
      <c r="N2524" s="69"/>
      <c r="O2524" s="11">
        <f>O2521+1</f>
        <v>609</v>
      </c>
    </row>
    <row r="2525" spans="1:15" s="4" customFormat="1" x14ac:dyDescent="0.25">
      <c r="A2525" s="10"/>
      <c r="B2525"/>
      <c r="C2525"/>
      <c r="D2525"/>
      <c r="E2525"/>
      <c r="F2525"/>
      <c r="G2525" s="21"/>
      <c r="H2525" s="21"/>
      <c r="I2525" s="21"/>
      <c r="J2525" s="21"/>
      <c r="K2525" s="21"/>
      <c r="L2525" s="21"/>
      <c r="M2525" s="10"/>
      <c r="N2525" s="67"/>
      <c r="O2525" s="11"/>
    </row>
    <row r="2526" spans="1:15" x14ac:dyDescent="0.25">
      <c r="A2526" s="6">
        <v>1254</v>
      </c>
      <c r="B2526" s="5" t="s">
        <v>550</v>
      </c>
      <c r="C2526" s="5" t="s">
        <v>17</v>
      </c>
      <c r="D2526" s="5" t="s">
        <v>332</v>
      </c>
      <c r="E2526" s="5" t="s">
        <v>333</v>
      </c>
      <c r="F2526" s="5" t="s">
        <v>551</v>
      </c>
      <c r="G2526" s="22">
        <v>6174.14</v>
      </c>
      <c r="H2526" s="22">
        <v>0</v>
      </c>
      <c r="I2526" s="22">
        <v>0</v>
      </c>
      <c r="J2526" s="22">
        <v>0</v>
      </c>
      <c r="K2526" s="22">
        <v>-123.48</v>
      </c>
      <c r="L2526" s="22">
        <v>6050.66</v>
      </c>
      <c r="M2526" s="10"/>
      <c r="O2526" s="11"/>
    </row>
    <row r="2527" spans="1:15" x14ac:dyDescent="0.25">
      <c r="A2527" s="6">
        <v>1255</v>
      </c>
      <c r="B2527" s="5" t="s">
        <v>550</v>
      </c>
      <c r="C2527" s="5" t="s">
        <v>13</v>
      </c>
      <c r="D2527" s="5" t="s">
        <v>332</v>
      </c>
      <c r="E2527" s="5" t="s">
        <v>333</v>
      </c>
      <c r="F2527" s="5" t="s">
        <v>551</v>
      </c>
      <c r="G2527" s="22">
        <v>0</v>
      </c>
      <c r="H2527" s="22">
        <v>0</v>
      </c>
      <c r="I2527" s="22">
        <v>0</v>
      </c>
      <c r="J2527" s="22">
        <v>736.64</v>
      </c>
      <c r="K2527" s="22">
        <v>0</v>
      </c>
      <c r="L2527" s="22">
        <v>736.64</v>
      </c>
      <c r="M2527" s="10"/>
      <c r="O2527" s="11"/>
    </row>
    <row r="2528" spans="1:15" s="4" customFormat="1" x14ac:dyDescent="0.25">
      <c r="A2528" s="6"/>
      <c r="B2528" s="5"/>
      <c r="C2528" s="5"/>
      <c r="D2528" s="5" t="s">
        <v>332</v>
      </c>
      <c r="E2528" s="5" t="s">
        <v>333</v>
      </c>
      <c r="F2528" s="5" t="s">
        <v>551</v>
      </c>
      <c r="G2528" s="14">
        <f t="shared" ref="G2528:L2528" si="633">SUBTOTAL(9,G2526:G2527)</f>
        <v>6174.14</v>
      </c>
      <c r="H2528" s="14">
        <f t="shared" si="633"/>
        <v>0</v>
      </c>
      <c r="I2528" s="14">
        <f t="shared" si="633"/>
        <v>0</v>
      </c>
      <c r="J2528" s="14">
        <f t="shared" si="633"/>
        <v>736.64</v>
      </c>
      <c r="K2528" s="14">
        <f t="shared" si="633"/>
        <v>-123.48</v>
      </c>
      <c r="L2528" s="14">
        <f t="shared" si="633"/>
        <v>6787.3</v>
      </c>
      <c r="M2528" s="10">
        <v>2729</v>
      </c>
      <c r="N2528" s="69"/>
      <c r="O2528" s="11">
        <f>O2524+1</f>
        <v>610</v>
      </c>
    </row>
    <row r="2529" spans="1:15" x14ac:dyDescent="0.25">
      <c r="A2529" s="10"/>
      <c r="G2529" s="21"/>
      <c r="H2529" s="21"/>
      <c r="I2529" s="21"/>
      <c r="J2529" s="21"/>
      <c r="K2529" s="21"/>
      <c r="L2529" s="21"/>
      <c r="M2529" s="10"/>
      <c r="O2529" s="11"/>
    </row>
    <row r="2530" spans="1:15" x14ac:dyDescent="0.25">
      <c r="A2530" s="6">
        <v>1256</v>
      </c>
      <c r="B2530" s="5" t="s">
        <v>550</v>
      </c>
      <c r="C2530" s="5" t="s">
        <v>17</v>
      </c>
      <c r="D2530" s="5" t="s">
        <v>332</v>
      </c>
      <c r="E2530" s="5" t="s">
        <v>333</v>
      </c>
      <c r="F2530" s="5" t="s">
        <v>552</v>
      </c>
      <c r="G2530" s="22">
        <v>0.44</v>
      </c>
      <c r="H2530" s="22">
        <v>0</v>
      </c>
      <c r="I2530" s="22">
        <v>0</v>
      </c>
      <c r="J2530" s="22">
        <v>0</v>
      </c>
      <c r="K2530" s="22">
        <v>-0.01</v>
      </c>
      <c r="L2530" s="22">
        <v>0.43</v>
      </c>
      <c r="M2530" s="10"/>
      <c r="O2530" s="11"/>
    </row>
    <row r="2531" spans="1:15" s="4" customFormat="1" x14ac:dyDescent="0.25">
      <c r="A2531" s="6">
        <v>1257</v>
      </c>
      <c r="B2531" s="5" t="s">
        <v>550</v>
      </c>
      <c r="C2531" s="5" t="s">
        <v>13</v>
      </c>
      <c r="D2531" s="5" t="s">
        <v>332</v>
      </c>
      <c r="E2531" s="5" t="s">
        <v>333</v>
      </c>
      <c r="F2531" s="5" t="s">
        <v>552</v>
      </c>
      <c r="G2531" s="22">
        <v>0</v>
      </c>
      <c r="H2531" s="22">
        <v>0</v>
      </c>
      <c r="I2531" s="22">
        <v>0</v>
      </c>
      <c r="J2531" s="22">
        <v>0.05</v>
      </c>
      <c r="K2531" s="22">
        <v>0</v>
      </c>
      <c r="L2531" s="22">
        <v>0.05</v>
      </c>
      <c r="M2531" s="10"/>
      <c r="N2531" s="67"/>
      <c r="O2531" s="11"/>
    </row>
    <row r="2532" spans="1:15" x14ac:dyDescent="0.25">
      <c r="A2532" s="6"/>
      <c r="B2532" s="5"/>
      <c r="C2532" s="5"/>
      <c r="D2532" s="5" t="s">
        <v>332</v>
      </c>
      <c r="E2532" s="5" t="s">
        <v>333</v>
      </c>
      <c r="F2532" s="5" t="s">
        <v>552</v>
      </c>
      <c r="G2532" s="14">
        <f t="shared" ref="G2532:L2532" si="634">SUBTOTAL(9,G2530:G2531)</f>
        <v>0.44</v>
      </c>
      <c r="H2532" s="14">
        <f t="shared" si="634"/>
        <v>0</v>
      </c>
      <c r="I2532" s="14">
        <f t="shared" si="634"/>
        <v>0</v>
      </c>
      <c r="J2532" s="14">
        <f t="shared" si="634"/>
        <v>0.05</v>
      </c>
      <c r="K2532" s="14">
        <f t="shared" si="634"/>
        <v>-0.01</v>
      </c>
      <c r="L2532" s="14">
        <f t="shared" si="634"/>
        <v>0.48</v>
      </c>
      <c r="M2532" s="10">
        <v>2730</v>
      </c>
      <c r="N2532" s="69"/>
      <c r="O2532" s="11">
        <f>O2528+1</f>
        <v>611</v>
      </c>
    </row>
    <row r="2533" spans="1:15" x14ac:dyDescent="0.25">
      <c r="A2533" s="10"/>
      <c r="G2533" s="21"/>
      <c r="H2533" s="21"/>
      <c r="I2533" s="21"/>
      <c r="J2533" s="21"/>
      <c r="K2533" s="21"/>
      <c r="L2533" s="21"/>
      <c r="M2533" s="10"/>
      <c r="O2533" s="11"/>
    </row>
    <row r="2534" spans="1:15" s="4" customFormat="1" x14ac:dyDescent="0.25">
      <c r="A2534" s="6">
        <v>1258</v>
      </c>
      <c r="B2534" s="5" t="s">
        <v>550</v>
      </c>
      <c r="C2534" s="5" t="s">
        <v>17</v>
      </c>
      <c r="D2534" s="5" t="s">
        <v>619</v>
      </c>
      <c r="E2534" s="5" t="s">
        <v>335</v>
      </c>
      <c r="F2534" s="5" t="s">
        <v>551</v>
      </c>
      <c r="G2534" s="22">
        <v>0</v>
      </c>
      <c r="H2534" s="22">
        <v>0</v>
      </c>
      <c r="I2534" s="22">
        <v>5.38</v>
      </c>
      <c r="J2534" s="22">
        <v>0</v>
      </c>
      <c r="K2534" s="22">
        <v>-0.11</v>
      </c>
      <c r="L2534" s="22">
        <v>5.27</v>
      </c>
      <c r="M2534" s="10"/>
      <c r="N2534" s="67"/>
      <c r="O2534" s="11"/>
    </row>
    <row r="2535" spans="1:15" s="4" customFormat="1" x14ac:dyDescent="0.25">
      <c r="A2535" s="6">
        <v>1259</v>
      </c>
      <c r="B2535" s="5" t="s">
        <v>550</v>
      </c>
      <c r="C2535" s="5" t="s">
        <v>17</v>
      </c>
      <c r="D2535" s="5" t="s">
        <v>619</v>
      </c>
      <c r="E2535" s="5" t="s">
        <v>335</v>
      </c>
      <c r="F2535" s="5" t="s">
        <v>551</v>
      </c>
      <c r="G2535" s="22">
        <v>0</v>
      </c>
      <c r="H2535" s="22">
        <v>0</v>
      </c>
      <c r="I2535" s="22">
        <v>77.040000000000006</v>
      </c>
      <c r="J2535" s="22">
        <v>0</v>
      </c>
      <c r="K2535" s="22">
        <v>-1.54</v>
      </c>
      <c r="L2535" s="22">
        <v>75.5</v>
      </c>
      <c r="M2535" s="10"/>
      <c r="N2535" s="67"/>
      <c r="O2535" s="11"/>
    </row>
    <row r="2536" spans="1:15" x14ac:dyDescent="0.25">
      <c r="A2536" s="6"/>
      <c r="B2536" s="5"/>
      <c r="C2536" s="5"/>
      <c r="D2536" s="5" t="s">
        <v>334</v>
      </c>
      <c r="E2536" s="5" t="s">
        <v>335</v>
      </c>
      <c r="F2536" s="5" t="s">
        <v>551</v>
      </c>
      <c r="G2536" s="14">
        <f t="shared" ref="G2536:L2536" si="635">SUBTOTAL(9,G2534:G2535)</f>
        <v>0</v>
      </c>
      <c r="H2536" s="14">
        <f t="shared" si="635"/>
        <v>0</v>
      </c>
      <c r="I2536" s="14">
        <f t="shared" si="635"/>
        <v>82.42</v>
      </c>
      <c r="J2536" s="14">
        <f t="shared" si="635"/>
        <v>0</v>
      </c>
      <c r="K2536" s="14">
        <f t="shared" si="635"/>
        <v>-1.6500000000000001</v>
      </c>
      <c r="L2536" s="14">
        <f t="shared" si="635"/>
        <v>80.77</v>
      </c>
      <c r="M2536" s="10">
        <v>2731</v>
      </c>
      <c r="N2536" s="69"/>
      <c r="O2536" s="11">
        <f>O2532+1</f>
        <v>612</v>
      </c>
    </row>
    <row r="2537" spans="1:15" x14ac:dyDescent="0.25">
      <c r="A2537" s="10"/>
      <c r="G2537" s="21"/>
      <c r="H2537" s="21"/>
      <c r="I2537" s="21"/>
      <c r="J2537" s="21"/>
      <c r="K2537" s="21"/>
      <c r="L2537" s="21"/>
      <c r="M2537" s="10"/>
      <c r="O2537" s="11"/>
    </row>
    <row r="2538" spans="1:15" s="4" customFormat="1" x14ac:dyDescent="0.25">
      <c r="A2538" s="6">
        <v>1260</v>
      </c>
      <c r="B2538" s="5" t="s">
        <v>550</v>
      </c>
      <c r="C2538" s="5" t="s">
        <v>17</v>
      </c>
      <c r="D2538" s="5" t="s">
        <v>619</v>
      </c>
      <c r="E2538" s="5" t="s">
        <v>335</v>
      </c>
      <c r="F2538" s="5" t="s">
        <v>552</v>
      </c>
      <c r="G2538" s="22">
        <v>0</v>
      </c>
      <c r="H2538" s="22">
        <v>0</v>
      </c>
      <c r="I2538" s="22">
        <v>0.01</v>
      </c>
      <c r="J2538" s="22">
        <v>0</v>
      </c>
      <c r="K2538" s="22">
        <v>0</v>
      </c>
      <c r="L2538" s="22">
        <v>0.01</v>
      </c>
      <c r="M2538" s="10"/>
      <c r="N2538" s="67"/>
      <c r="O2538" s="11"/>
    </row>
    <row r="2539" spans="1:15" s="4" customFormat="1" x14ac:dyDescent="0.25">
      <c r="A2539" s="6"/>
      <c r="B2539" s="5"/>
      <c r="C2539" s="5"/>
      <c r="D2539" s="5" t="s">
        <v>334</v>
      </c>
      <c r="E2539" s="5" t="s">
        <v>335</v>
      </c>
      <c r="F2539" s="5" t="s">
        <v>552</v>
      </c>
      <c r="G2539" s="14">
        <f t="shared" ref="G2539:L2539" si="636">SUBTOTAL(9,G2538:G2538)</f>
        <v>0</v>
      </c>
      <c r="H2539" s="14">
        <f t="shared" si="636"/>
        <v>0</v>
      </c>
      <c r="I2539" s="14">
        <f t="shared" si="636"/>
        <v>0.01</v>
      </c>
      <c r="J2539" s="14">
        <f t="shared" si="636"/>
        <v>0</v>
      </c>
      <c r="K2539" s="14">
        <f t="shared" si="636"/>
        <v>0</v>
      </c>
      <c r="L2539" s="14">
        <f t="shared" si="636"/>
        <v>0.01</v>
      </c>
      <c r="M2539" s="10">
        <v>2732</v>
      </c>
      <c r="N2539" s="69"/>
      <c r="O2539" s="11">
        <f>O2536+1</f>
        <v>613</v>
      </c>
    </row>
    <row r="2540" spans="1:15" x14ac:dyDescent="0.25">
      <c r="A2540" s="10"/>
      <c r="G2540" s="21"/>
      <c r="H2540" s="21"/>
      <c r="I2540" s="21"/>
      <c r="J2540" s="21"/>
      <c r="K2540" s="21"/>
      <c r="L2540" s="21"/>
      <c r="M2540" s="10"/>
      <c r="O2540" s="11"/>
    </row>
    <row r="2541" spans="1:15" x14ac:dyDescent="0.25">
      <c r="A2541" s="6">
        <v>1261</v>
      </c>
      <c r="B2541" s="5" t="s">
        <v>18</v>
      </c>
      <c r="C2541" s="5" t="s">
        <v>17</v>
      </c>
      <c r="D2541" s="5" t="s">
        <v>336</v>
      </c>
      <c r="E2541" s="5" t="s">
        <v>337</v>
      </c>
      <c r="F2541" s="5" t="s">
        <v>19</v>
      </c>
      <c r="G2541" s="22">
        <v>1.06</v>
      </c>
      <c r="H2541" s="22">
        <v>0</v>
      </c>
      <c r="I2541" s="22">
        <v>0</v>
      </c>
      <c r="J2541" s="22">
        <v>0</v>
      </c>
      <c r="K2541" s="22">
        <v>0</v>
      </c>
      <c r="L2541" s="22">
        <v>1.06</v>
      </c>
      <c r="M2541" s="10"/>
      <c r="O2541" s="11"/>
    </row>
    <row r="2542" spans="1:15" s="4" customFormat="1" x14ac:dyDescent="0.25">
      <c r="A2542" s="6"/>
      <c r="B2542" s="5"/>
      <c r="C2542" s="5"/>
      <c r="D2542" s="5" t="s">
        <v>336</v>
      </c>
      <c r="E2542" s="5" t="s">
        <v>337</v>
      </c>
      <c r="F2542" s="5" t="s">
        <v>19</v>
      </c>
      <c r="G2542" s="14">
        <f t="shared" ref="G2542:L2542" si="637">SUBTOTAL(9,G2541:G2541)</f>
        <v>1.06</v>
      </c>
      <c r="H2542" s="14">
        <f t="shared" si="637"/>
        <v>0</v>
      </c>
      <c r="I2542" s="14">
        <f t="shared" si="637"/>
        <v>0</v>
      </c>
      <c r="J2542" s="14">
        <f t="shared" si="637"/>
        <v>0</v>
      </c>
      <c r="K2542" s="14">
        <f t="shared" si="637"/>
        <v>0</v>
      </c>
      <c r="L2542" s="14">
        <f t="shared" si="637"/>
        <v>1.06</v>
      </c>
      <c r="M2542" s="10">
        <v>2733</v>
      </c>
      <c r="N2542" s="69"/>
      <c r="O2542" s="11">
        <f>O2539+1</f>
        <v>614</v>
      </c>
    </row>
    <row r="2543" spans="1:15" x14ac:dyDescent="0.25">
      <c r="A2543" s="10"/>
      <c r="G2543" s="21"/>
      <c r="H2543" s="21"/>
      <c r="I2543" s="21"/>
      <c r="J2543" s="21"/>
      <c r="K2543" s="21"/>
      <c r="L2543" s="21"/>
      <c r="M2543" s="10"/>
      <c r="O2543" s="11"/>
    </row>
    <row r="2544" spans="1:15" x14ac:dyDescent="0.25">
      <c r="A2544" s="6">
        <v>1262</v>
      </c>
      <c r="B2544" s="5" t="s">
        <v>550</v>
      </c>
      <c r="C2544" s="5" t="s">
        <v>17</v>
      </c>
      <c r="D2544" s="5" t="s">
        <v>336</v>
      </c>
      <c r="E2544" s="5" t="s">
        <v>337</v>
      </c>
      <c r="F2544" s="5" t="s">
        <v>551</v>
      </c>
      <c r="G2544" s="22">
        <v>3595.94</v>
      </c>
      <c r="H2544" s="22">
        <v>0</v>
      </c>
      <c r="I2544" s="22">
        <v>0</v>
      </c>
      <c r="J2544" s="22">
        <v>0</v>
      </c>
      <c r="K2544" s="22">
        <v>0</v>
      </c>
      <c r="L2544" s="22">
        <v>3595.94</v>
      </c>
      <c r="M2544" s="10"/>
      <c r="O2544" s="11"/>
    </row>
    <row r="2545" spans="1:15" s="4" customFormat="1" x14ac:dyDescent="0.25">
      <c r="A2545" s="6">
        <v>1263</v>
      </c>
      <c r="B2545" s="5" t="s">
        <v>550</v>
      </c>
      <c r="C2545" s="5" t="s">
        <v>13</v>
      </c>
      <c r="D2545" s="5" t="s">
        <v>336</v>
      </c>
      <c r="E2545" s="5" t="s">
        <v>337</v>
      </c>
      <c r="F2545" s="5" t="s">
        <v>551</v>
      </c>
      <c r="G2545" s="22">
        <v>0</v>
      </c>
      <c r="H2545" s="22">
        <v>0</v>
      </c>
      <c r="I2545" s="22">
        <v>0</v>
      </c>
      <c r="J2545" s="22">
        <v>431.51</v>
      </c>
      <c r="K2545" s="22">
        <v>0</v>
      </c>
      <c r="L2545" s="22">
        <v>431.51</v>
      </c>
      <c r="M2545" s="10"/>
      <c r="N2545" s="67"/>
      <c r="O2545" s="11"/>
    </row>
    <row r="2546" spans="1:15" x14ac:dyDescent="0.25">
      <c r="A2546" s="6"/>
      <c r="B2546" s="5"/>
      <c r="C2546" s="5"/>
      <c r="D2546" s="5" t="s">
        <v>336</v>
      </c>
      <c r="E2546" s="5" t="s">
        <v>337</v>
      </c>
      <c r="F2546" s="5" t="s">
        <v>551</v>
      </c>
      <c r="G2546" s="14">
        <f t="shared" ref="G2546:L2546" si="638">SUBTOTAL(9,G2544:G2545)</f>
        <v>3595.94</v>
      </c>
      <c r="H2546" s="14">
        <f t="shared" si="638"/>
        <v>0</v>
      </c>
      <c r="I2546" s="14">
        <f t="shared" si="638"/>
        <v>0</v>
      </c>
      <c r="J2546" s="14">
        <f t="shared" si="638"/>
        <v>431.51</v>
      </c>
      <c r="K2546" s="14">
        <f t="shared" si="638"/>
        <v>0</v>
      </c>
      <c r="L2546" s="14">
        <f t="shared" si="638"/>
        <v>4027.45</v>
      </c>
      <c r="M2546" s="10">
        <v>2734</v>
      </c>
      <c r="N2546" s="69"/>
      <c r="O2546" s="11">
        <f>O2542+1</f>
        <v>615</v>
      </c>
    </row>
    <row r="2547" spans="1:15" x14ac:dyDescent="0.25">
      <c r="A2547" s="10"/>
      <c r="G2547" s="21"/>
      <c r="H2547" s="21"/>
      <c r="I2547" s="21"/>
      <c r="J2547" s="21"/>
      <c r="K2547" s="21"/>
      <c r="L2547" s="21"/>
      <c r="M2547" s="10"/>
      <c r="O2547" s="11"/>
    </row>
    <row r="2548" spans="1:15" s="4" customFormat="1" x14ac:dyDescent="0.25">
      <c r="A2548" s="6">
        <v>1264</v>
      </c>
      <c r="B2548" s="5" t="s">
        <v>550</v>
      </c>
      <c r="C2548" s="5" t="s">
        <v>17</v>
      </c>
      <c r="D2548" s="5" t="s">
        <v>336</v>
      </c>
      <c r="E2548" s="5" t="s">
        <v>337</v>
      </c>
      <c r="F2548" s="5" t="s">
        <v>552</v>
      </c>
      <c r="G2548" s="22">
        <v>0.26</v>
      </c>
      <c r="H2548" s="22">
        <v>0</v>
      </c>
      <c r="I2548" s="22">
        <v>0</v>
      </c>
      <c r="J2548" s="22">
        <v>0</v>
      </c>
      <c r="K2548" s="22">
        <v>0</v>
      </c>
      <c r="L2548" s="22">
        <v>0.26</v>
      </c>
      <c r="M2548" s="10"/>
      <c r="N2548" s="67"/>
      <c r="O2548" s="11"/>
    </row>
    <row r="2549" spans="1:15" x14ac:dyDescent="0.25">
      <c r="A2549" s="6">
        <v>1265</v>
      </c>
      <c r="B2549" s="5" t="s">
        <v>550</v>
      </c>
      <c r="C2549" s="5" t="s">
        <v>13</v>
      </c>
      <c r="D2549" s="5" t="s">
        <v>336</v>
      </c>
      <c r="E2549" s="5" t="s">
        <v>337</v>
      </c>
      <c r="F2549" s="5" t="s">
        <v>552</v>
      </c>
      <c r="G2549" s="22">
        <v>0</v>
      </c>
      <c r="H2549" s="22">
        <v>0</v>
      </c>
      <c r="I2549" s="22">
        <v>0</v>
      </c>
      <c r="J2549" s="22">
        <v>0.03</v>
      </c>
      <c r="K2549" s="22">
        <v>0</v>
      </c>
      <c r="L2549" s="22">
        <v>0.03</v>
      </c>
      <c r="M2549" s="10"/>
      <c r="O2549" s="11"/>
    </row>
    <row r="2550" spans="1:15" x14ac:dyDescent="0.25">
      <c r="A2550" s="6"/>
      <c r="B2550" s="5"/>
      <c r="C2550" s="5"/>
      <c r="D2550" s="5" t="s">
        <v>336</v>
      </c>
      <c r="E2550" s="5" t="s">
        <v>337</v>
      </c>
      <c r="F2550" s="5" t="s">
        <v>552</v>
      </c>
      <c r="G2550" s="14">
        <f t="shared" ref="G2550:L2550" si="639">SUBTOTAL(9,G2548:G2549)</f>
        <v>0.26</v>
      </c>
      <c r="H2550" s="14">
        <f t="shared" si="639"/>
        <v>0</v>
      </c>
      <c r="I2550" s="14">
        <f t="shared" si="639"/>
        <v>0</v>
      </c>
      <c r="J2550" s="14">
        <f t="shared" si="639"/>
        <v>0.03</v>
      </c>
      <c r="K2550" s="14">
        <f t="shared" si="639"/>
        <v>0</v>
      </c>
      <c r="L2550" s="14">
        <f t="shared" si="639"/>
        <v>0.29000000000000004</v>
      </c>
      <c r="M2550" s="10">
        <v>2735</v>
      </c>
      <c r="N2550" s="69"/>
      <c r="O2550" s="11">
        <f>O2546+1</f>
        <v>616</v>
      </c>
    </row>
    <row r="2551" spans="1:15" s="4" customFormat="1" x14ac:dyDescent="0.25">
      <c r="A2551" s="10"/>
      <c r="B2551"/>
      <c r="C2551"/>
      <c r="D2551"/>
      <c r="E2551"/>
      <c r="F2551"/>
      <c r="G2551" s="21"/>
      <c r="H2551" s="21"/>
      <c r="I2551" s="21"/>
      <c r="J2551" s="21"/>
      <c r="K2551" s="21"/>
      <c r="L2551" s="21"/>
      <c r="M2551" s="10"/>
      <c r="N2551" s="67"/>
      <c r="O2551" s="11"/>
    </row>
    <row r="2552" spans="1:15" x14ac:dyDescent="0.25">
      <c r="A2552" s="6">
        <v>1266</v>
      </c>
      <c r="B2552" s="5" t="s">
        <v>12</v>
      </c>
      <c r="C2552" s="5" t="s">
        <v>17</v>
      </c>
      <c r="D2552" s="5" t="s">
        <v>338</v>
      </c>
      <c r="E2552" s="5" t="s">
        <v>339</v>
      </c>
      <c r="F2552" s="5" t="s">
        <v>16</v>
      </c>
      <c r="G2552" s="22">
        <v>0</v>
      </c>
      <c r="H2552" s="22">
        <v>0</v>
      </c>
      <c r="I2552" s="22">
        <v>2.75</v>
      </c>
      <c r="J2552" s="22">
        <v>0</v>
      </c>
      <c r="K2552" s="22">
        <v>-0.06</v>
      </c>
      <c r="L2552" s="22">
        <v>2.69</v>
      </c>
      <c r="M2552" s="10"/>
      <c r="O2552" s="11"/>
    </row>
    <row r="2553" spans="1:15" x14ac:dyDescent="0.25">
      <c r="A2553" s="6"/>
      <c r="B2553" s="5"/>
      <c r="C2553" s="5"/>
      <c r="D2553" s="5" t="s">
        <v>338</v>
      </c>
      <c r="E2553" s="5" t="s">
        <v>339</v>
      </c>
      <c r="F2553" s="5" t="s">
        <v>16</v>
      </c>
      <c r="G2553" s="14">
        <f t="shared" ref="G2553:L2553" si="640">SUBTOTAL(9,G2552:G2552)</f>
        <v>0</v>
      </c>
      <c r="H2553" s="14">
        <f t="shared" si="640"/>
        <v>0</v>
      </c>
      <c r="I2553" s="14">
        <f t="shared" si="640"/>
        <v>2.75</v>
      </c>
      <c r="J2553" s="14">
        <f t="shared" si="640"/>
        <v>0</v>
      </c>
      <c r="K2553" s="14">
        <f t="shared" si="640"/>
        <v>-0.06</v>
      </c>
      <c r="L2553" s="14">
        <f t="shared" si="640"/>
        <v>2.69</v>
      </c>
      <c r="M2553" s="10">
        <v>2736</v>
      </c>
      <c r="N2553" s="69"/>
      <c r="O2553" s="11">
        <f>O2550+1</f>
        <v>617</v>
      </c>
    </row>
    <row r="2554" spans="1:15" s="4" customFormat="1" x14ac:dyDescent="0.25">
      <c r="A2554" s="10"/>
      <c r="B2554"/>
      <c r="C2554"/>
      <c r="D2554"/>
      <c r="E2554"/>
      <c r="F2554"/>
      <c r="G2554" s="21"/>
      <c r="H2554" s="21"/>
      <c r="I2554" s="21"/>
      <c r="J2554" s="21"/>
      <c r="K2554" s="21"/>
      <c r="L2554" s="21"/>
      <c r="M2554" s="10"/>
      <c r="N2554" s="67"/>
      <c r="O2554" s="11"/>
    </row>
    <row r="2555" spans="1:15" x14ac:dyDescent="0.25">
      <c r="A2555" s="6">
        <v>1267</v>
      </c>
      <c r="B2555" s="5" t="s">
        <v>33</v>
      </c>
      <c r="C2555" s="5" t="s">
        <v>17</v>
      </c>
      <c r="D2555" s="5" t="s">
        <v>338</v>
      </c>
      <c r="E2555" s="5" t="s">
        <v>339</v>
      </c>
      <c r="F2555" s="5" t="s">
        <v>34</v>
      </c>
      <c r="G2555" s="22">
        <v>0</v>
      </c>
      <c r="H2555" s="22">
        <v>0</v>
      </c>
      <c r="I2555" s="22">
        <v>73.010000000000005</v>
      </c>
      <c r="J2555" s="22">
        <v>0</v>
      </c>
      <c r="K2555" s="22">
        <v>-1.46</v>
      </c>
      <c r="L2555" s="22">
        <v>71.55</v>
      </c>
      <c r="M2555" s="10"/>
      <c r="O2555" s="11"/>
    </row>
    <row r="2556" spans="1:15" x14ac:dyDescent="0.25">
      <c r="A2556" s="6">
        <v>1268</v>
      </c>
      <c r="B2556" s="5" t="s">
        <v>33</v>
      </c>
      <c r="C2556" s="5" t="s">
        <v>49</v>
      </c>
      <c r="D2556" s="5" t="s">
        <v>338</v>
      </c>
      <c r="E2556" s="5" t="s">
        <v>339</v>
      </c>
      <c r="F2556" s="5" t="s">
        <v>34</v>
      </c>
      <c r="G2556" s="22">
        <v>0</v>
      </c>
      <c r="H2556" s="22">
        <v>0</v>
      </c>
      <c r="I2556" s="22">
        <v>0.13</v>
      </c>
      <c r="J2556" s="22">
        <v>0</v>
      </c>
      <c r="K2556" s="22">
        <v>0</v>
      </c>
      <c r="L2556" s="22">
        <v>0.13</v>
      </c>
      <c r="M2556" s="10"/>
      <c r="N2556" s="70">
        <v>0.13</v>
      </c>
      <c r="O2556" s="11"/>
    </row>
    <row r="2557" spans="1:15" s="4" customFormat="1" x14ac:dyDescent="0.25">
      <c r="A2557" s="6"/>
      <c r="B2557" s="5"/>
      <c r="C2557" s="5"/>
      <c r="D2557" s="5" t="s">
        <v>338</v>
      </c>
      <c r="E2557" s="5" t="s">
        <v>339</v>
      </c>
      <c r="F2557" s="5" t="s">
        <v>34</v>
      </c>
      <c r="G2557" s="14">
        <f t="shared" ref="G2557:L2557" si="641">SUBTOTAL(9,G2555:G2556)</f>
        <v>0</v>
      </c>
      <c r="H2557" s="14">
        <f t="shared" si="641"/>
        <v>0</v>
      </c>
      <c r="I2557" s="14">
        <f t="shared" si="641"/>
        <v>73.14</v>
      </c>
      <c r="J2557" s="14">
        <f t="shared" si="641"/>
        <v>0</v>
      </c>
      <c r="K2557" s="14">
        <f t="shared" si="641"/>
        <v>-1.46</v>
      </c>
      <c r="L2557" s="14">
        <f t="shared" si="641"/>
        <v>71.679999999999993</v>
      </c>
      <c r="M2557" s="10">
        <v>2737</v>
      </c>
      <c r="N2557" s="71">
        <f>SUBTOTAL(9,N2555:N2556)</f>
        <v>0.13</v>
      </c>
      <c r="O2557" s="11">
        <f>O2553+1</f>
        <v>618</v>
      </c>
    </row>
    <row r="2558" spans="1:15" x14ac:dyDescent="0.25">
      <c r="A2558" s="10"/>
      <c r="G2558" s="21"/>
      <c r="H2558" s="21"/>
      <c r="I2558" s="21"/>
      <c r="J2558" s="21"/>
      <c r="K2558" s="21"/>
      <c r="L2558" s="21"/>
      <c r="M2558" s="10"/>
      <c r="O2558" s="11"/>
    </row>
    <row r="2559" spans="1:15" x14ac:dyDescent="0.25">
      <c r="A2559" s="6">
        <v>1269</v>
      </c>
      <c r="B2559" s="5" t="s">
        <v>557</v>
      </c>
      <c r="C2559" s="5" t="s">
        <v>17</v>
      </c>
      <c r="D2559" s="5" t="s">
        <v>338</v>
      </c>
      <c r="E2559" s="5" t="s">
        <v>339</v>
      </c>
      <c r="F2559" s="5" t="s">
        <v>558</v>
      </c>
      <c r="G2559" s="22">
        <v>0</v>
      </c>
      <c r="H2559" s="22">
        <v>0</v>
      </c>
      <c r="I2559" s="22">
        <v>2.8</v>
      </c>
      <c r="J2559" s="22">
        <v>0</v>
      </c>
      <c r="K2559" s="22">
        <v>-0.06</v>
      </c>
      <c r="L2559" s="22">
        <v>2.74</v>
      </c>
      <c r="M2559" s="10"/>
      <c r="O2559" s="11"/>
    </row>
    <row r="2560" spans="1:15" s="4" customFormat="1" x14ac:dyDescent="0.25">
      <c r="A2560" s="6"/>
      <c r="B2560" s="5"/>
      <c r="C2560" s="5"/>
      <c r="D2560" s="5" t="s">
        <v>338</v>
      </c>
      <c r="E2560" s="5" t="s">
        <v>339</v>
      </c>
      <c r="F2560" s="5" t="s">
        <v>558</v>
      </c>
      <c r="G2560" s="14">
        <f t="shared" ref="G2560:L2560" si="642">SUBTOTAL(9,G2559:G2559)</f>
        <v>0</v>
      </c>
      <c r="H2560" s="14">
        <f t="shared" si="642"/>
        <v>0</v>
      </c>
      <c r="I2560" s="14">
        <f t="shared" si="642"/>
        <v>2.8</v>
      </c>
      <c r="J2560" s="14">
        <f t="shared" si="642"/>
        <v>0</v>
      </c>
      <c r="K2560" s="14">
        <f t="shared" si="642"/>
        <v>-0.06</v>
      </c>
      <c r="L2560" s="14">
        <f t="shared" si="642"/>
        <v>2.74</v>
      </c>
      <c r="M2560" s="10">
        <v>2738</v>
      </c>
      <c r="N2560" s="69"/>
      <c r="O2560" s="11">
        <f>O2557+1</f>
        <v>619</v>
      </c>
    </row>
    <row r="2561" spans="1:15" x14ac:dyDescent="0.25">
      <c r="A2561" s="10"/>
      <c r="G2561" s="21"/>
      <c r="H2561" s="21"/>
      <c r="I2561" s="21"/>
      <c r="J2561" s="21"/>
      <c r="K2561" s="21"/>
      <c r="L2561" s="21"/>
      <c r="M2561" s="10"/>
      <c r="O2561" s="11"/>
    </row>
    <row r="2562" spans="1:15" x14ac:dyDescent="0.25">
      <c r="A2562" s="6">
        <v>1270</v>
      </c>
      <c r="B2562" s="5" t="s">
        <v>559</v>
      </c>
      <c r="C2562" s="5" t="s">
        <v>17</v>
      </c>
      <c r="D2562" s="5" t="s">
        <v>338</v>
      </c>
      <c r="E2562" s="5" t="s">
        <v>339</v>
      </c>
      <c r="F2562" s="5" t="s">
        <v>560</v>
      </c>
      <c r="G2562" s="22">
        <v>0</v>
      </c>
      <c r="H2562" s="22">
        <v>0</v>
      </c>
      <c r="I2562" s="22">
        <v>0.01</v>
      </c>
      <c r="J2562" s="22">
        <v>0</v>
      </c>
      <c r="K2562" s="22">
        <v>0</v>
      </c>
      <c r="L2562" s="22">
        <v>0.01</v>
      </c>
      <c r="M2562" s="10"/>
      <c r="O2562" s="11"/>
    </row>
    <row r="2563" spans="1:15" s="4" customFormat="1" x14ac:dyDescent="0.25">
      <c r="A2563" s="6"/>
      <c r="B2563" s="5"/>
      <c r="C2563" s="5"/>
      <c r="D2563" s="5" t="s">
        <v>338</v>
      </c>
      <c r="E2563" s="5" t="s">
        <v>339</v>
      </c>
      <c r="F2563" s="5" t="s">
        <v>560</v>
      </c>
      <c r="G2563" s="14">
        <f t="shared" ref="G2563:L2563" si="643">SUBTOTAL(9,G2562:G2562)</f>
        <v>0</v>
      </c>
      <c r="H2563" s="14">
        <f t="shared" si="643"/>
        <v>0</v>
      </c>
      <c r="I2563" s="14">
        <f t="shared" si="643"/>
        <v>0.01</v>
      </c>
      <c r="J2563" s="14">
        <f t="shared" si="643"/>
        <v>0</v>
      </c>
      <c r="K2563" s="14">
        <f t="shared" si="643"/>
        <v>0</v>
      </c>
      <c r="L2563" s="14">
        <f t="shared" si="643"/>
        <v>0.01</v>
      </c>
      <c r="M2563" s="10">
        <v>2739</v>
      </c>
      <c r="N2563" s="69"/>
      <c r="O2563" s="11">
        <f>O2560+1</f>
        <v>620</v>
      </c>
    </row>
    <row r="2564" spans="1:15" x14ac:dyDescent="0.25">
      <c r="A2564" s="10"/>
      <c r="G2564" s="21"/>
      <c r="H2564" s="21"/>
      <c r="I2564" s="21"/>
      <c r="J2564" s="21"/>
      <c r="K2564" s="21"/>
      <c r="L2564" s="21"/>
      <c r="M2564" s="10"/>
      <c r="O2564" s="11"/>
    </row>
    <row r="2565" spans="1:15" x14ac:dyDescent="0.25">
      <c r="A2565" s="6">
        <v>1271</v>
      </c>
      <c r="B2565" s="5" t="s">
        <v>18</v>
      </c>
      <c r="C2565" s="5" t="s">
        <v>17</v>
      </c>
      <c r="D2565" s="5" t="s">
        <v>338</v>
      </c>
      <c r="E2565" s="5" t="s">
        <v>339</v>
      </c>
      <c r="F2565" s="5" t="s">
        <v>19</v>
      </c>
      <c r="G2565" s="21"/>
      <c r="H2565" s="22">
        <v>0</v>
      </c>
      <c r="I2565" s="22">
        <v>0.16</v>
      </c>
      <c r="J2565" s="22">
        <v>0</v>
      </c>
      <c r="K2565" s="22">
        <v>-0.02</v>
      </c>
      <c r="L2565" s="22">
        <v>0.14000000000000001</v>
      </c>
      <c r="M2565" s="10"/>
      <c r="O2565" s="11"/>
    </row>
    <row r="2566" spans="1:15" s="4" customFormat="1" x14ac:dyDescent="0.25">
      <c r="A2566" s="6"/>
      <c r="B2566" s="5"/>
      <c r="C2566" s="5"/>
      <c r="D2566" s="5" t="s">
        <v>338</v>
      </c>
      <c r="E2566" s="5" t="s">
        <v>339</v>
      </c>
      <c r="F2566" s="5" t="s">
        <v>19</v>
      </c>
      <c r="G2566" s="14">
        <f t="shared" ref="G2566:L2566" si="644">SUBTOTAL(9,G2565:G2565)</f>
        <v>0</v>
      </c>
      <c r="H2566" s="14">
        <f t="shared" si="644"/>
        <v>0</v>
      </c>
      <c r="I2566" s="14">
        <f t="shared" si="644"/>
        <v>0.16</v>
      </c>
      <c r="J2566" s="14">
        <f t="shared" si="644"/>
        <v>0</v>
      </c>
      <c r="K2566" s="14">
        <f t="shared" si="644"/>
        <v>-0.02</v>
      </c>
      <c r="L2566" s="14">
        <f t="shared" si="644"/>
        <v>0.14000000000000001</v>
      </c>
      <c r="M2566" s="10">
        <v>2740</v>
      </c>
      <c r="N2566" s="69"/>
      <c r="O2566" s="11">
        <f>O2563+1</f>
        <v>621</v>
      </c>
    </row>
    <row r="2567" spans="1:15" x14ac:dyDescent="0.25">
      <c r="A2567" s="10"/>
      <c r="G2567" s="21"/>
      <c r="H2567" s="21"/>
      <c r="I2567" s="21"/>
      <c r="J2567" s="21"/>
      <c r="K2567" s="21"/>
      <c r="L2567" s="21"/>
      <c r="M2567" s="10"/>
      <c r="O2567" s="11"/>
    </row>
    <row r="2568" spans="1:15" x14ac:dyDescent="0.25">
      <c r="A2568" s="6">
        <v>1272</v>
      </c>
      <c r="B2568" s="5" t="s">
        <v>20</v>
      </c>
      <c r="C2568" s="5" t="s">
        <v>17</v>
      </c>
      <c r="D2568" s="5" t="s">
        <v>338</v>
      </c>
      <c r="E2568" s="5" t="s">
        <v>339</v>
      </c>
      <c r="F2568" s="5" t="s">
        <v>21</v>
      </c>
      <c r="G2568" s="22">
        <v>0</v>
      </c>
      <c r="H2568" s="22">
        <v>0</v>
      </c>
      <c r="I2568" s="22">
        <v>0</v>
      </c>
      <c r="J2568" s="22">
        <v>0</v>
      </c>
      <c r="K2568" s="22">
        <v>0</v>
      </c>
      <c r="L2568" s="22">
        <v>0</v>
      </c>
      <c r="M2568" s="10"/>
      <c r="O2568" s="11"/>
    </row>
    <row r="2569" spans="1:15" s="4" customFormat="1" x14ac:dyDescent="0.25">
      <c r="A2569" s="6">
        <v>1273</v>
      </c>
      <c r="B2569" s="5" t="s">
        <v>20</v>
      </c>
      <c r="C2569" s="5" t="s">
        <v>17</v>
      </c>
      <c r="D2569" s="5" t="s">
        <v>338</v>
      </c>
      <c r="E2569" s="5" t="s">
        <v>339</v>
      </c>
      <c r="F2569" s="5" t="s">
        <v>21</v>
      </c>
      <c r="G2569" s="22">
        <v>0</v>
      </c>
      <c r="H2569" s="22">
        <v>0</v>
      </c>
      <c r="I2569" s="22">
        <v>0</v>
      </c>
      <c r="J2569" s="22">
        <v>0</v>
      </c>
      <c r="K2569" s="22">
        <v>0</v>
      </c>
      <c r="L2569" s="22">
        <v>0</v>
      </c>
      <c r="M2569" s="10"/>
      <c r="N2569" s="67"/>
      <c r="O2569" s="11"/>
    </row>
    <row r="2570" spans="1:15" x14ac:dyDescent="0.25">
      <c r="A2570" s="28"/>
      <c r="B2570" s="29"/>
      <c r="C2570" s="29"/>
      <c r="D2570" s="29"/>
      <c r="E2570" s="29"/>
      <c r="F2570" s="29" t="s">
        <v>662</v>
      </c>
      <c r="G2570" s="31">
        <f t="shared" ref="G2570:L2570" si="645">SUBTOTAL(9,G2568:G2569)</f>
        <v>0</v>
      </c>
      <c r="H2570" s="31">
        <f t="shared" si="645"/>
        <v>0</v>
      </c>
      <c r="I2570" s="31">
        <f t="shared" si="645"/>
        <v>0</v>
      </c>
      <c r="J2570" s="31">
        <f t="shared" si="645"/>
        <v>0</v>
      </c>
      <c r="K2570" s="31">
        <f t="shared" si="645"/>
        <v>0</v>
      </c>
      <c r="L2570" s="31">
        <f t="shared" si="645"/>
        <v>0</v>
      </c>
      <c r="M2570" s="15"/>
      <c r="O2570" s="11"/>
    </row>
    <row r="2571" spans="1:15" x14ac:dyDescent="0.25">
      <c r="A2571" s="10"/>
      <c r="G2571" s="21"/>
      <c r="H2571" s="21"/>
      <c r="I2571" s="21"/>
      <c r="J2571" s="21"/>
      <c r="K2571" s="21"/>
      <c r="L2571" s="21"/>
      <c r="M2571" s="10"/>
      <c r="O2571" s="11"/>
    </row>
    <row r="2572" spans="1:15" s="4" customFormat="1" x14ac:dyDescent="0.25">
      <c r="A2572" s="6">
        <v>1274</v>
      </c>
      <c r="B2572" s="5" t="s">
        <v>550</v>
      </c>
      <c r="C2572" s="5" t="s">
        <v>17</v>
      </c>
      <c r="D2572" s="5" t="s">
        <v>338</v>
      </c>
      <c r="E2572" s="5" t="s">
        <v>339</v>
      </c>
      <c r="F2572" s="5" t="s">
        <v>551</v>
      </c>
      <c r="G2572" s="22">
        <v>0</v>
      </c>
      <c r="H2572" s="22">
        <v>0</v>
      </c>
      <c r="I2572" s="22">
        <v>19.87</v>
      </c>
      <c r="J2572" s="22">
        <v>0</v>
      </c>
      <c r="K2572" s="22">
        <v>-0.4</v>
      </c>
      <c r="L2572" s="22">
        <v>19.47</v>
      </c>
      <c r="M2572" s="10"/>
      <c r="N2572" s="67"/>
      <c r="O2572" s="11"/>
    </row>
    <row r="2573" spans="1:15" x14ac:dyDescent="0.25">
      <c r="A2573" s="6">
        <v>1275</v>
      </c>
      <c r="B2573" s="5" t="s">
        <v>550</v>
      </c>
      <c r="C2573" s="5" t="s">
        <v>17</v>
      </c>
      <c r="D2573" s="5" t="s">
        <v>338</v>
      </c>
      <c r="E2573" s="5" t="s">
        <v>339</v>
      </c>
      <c r="F2573" s="5" t="s">
        <v>551</v>
      </c>
      <c r="G2573" s="22">
        <v>0</v>
      </c>
      <c r="H2573" s="22">
        <v>0</v>
      </c>
      <c r="I2573" s="22">
        <v>337.58</v>
      </c>
      <c r="J2573" s="22">
        <v>0</v>
      </c>
      <c r="K2573" s="22">
        <v>-6.75</v>
      </c>
      <c r="L2573" s="22">
        <v>330.83</v>
      </c>
      <c r="M2573" s="10"/>
      <c r="O2573" s="11"/>
    </row>
    <row r="2574" spans="1:15" x14ac:dyDescent="0.25">
      <c r="A2574" s="6"/>
      <c r="B2574" s="5"/>
      <c r="C2574" s="5"/>
      <c r="D2574" s="5" t="s">
        <v>338</v>
      </c>
      <c r="E2574" s="5" t="s">
        <v>339</v>
      </c>
      <c r="F2574" s="5" t="s">
        <v>551</v>
      </c>
      <c r="G2574" s="14">
        <f t="shared" ref="G2574:L2574" si="646">SUBTOTAL(9,G2572:G2573)</f>
        <v>0</v>
      </c>
      <c r="H2574" s="14">
        <f t="shared" si="646"/>
        <v>0</v>
      </c>
      <c r="I2574" s="14">
        <f t="shared" si="646"/>
        <v>357.45</v>
      </c>
      <c r="J2574" s="14">
        <f t="shared" si="646"/>
        <v>0</v>
      </c>
      <c r="K2574" s="14">
        <f t="shared" si="646"/>
        <v>-7.15</v>
      </c>
      <c r="L2574" s="14">
        <f t="shared" si="646"/>
        <v>350.29999999999995</v>
      </c>
      <c r="M2574" s="10">
        <v>2741</v>
      </c>
      <c r="N2574" s="69"/>
      <c r="O2574" s="11">
        <f>O2566+1</f>
        <v>622</v>
      </c>
    </row>
    <row r="2575" spans="1:15" s="4" customFormat="1" x14ac:dyDescent="0.25">
      <c r="A2575" s="10"/>
      <c r="B2575"/>
      <c r="C2575"/>
      <c r="D2575"/>
      <c r="E2575"/>
      <c r="F2575"/>
      <c r="G2575" s="21"/>
      <c r="H2575" s="21"/>
      <c r="I2575" s="21"/>
      <c r="J2575" s="21"/>
      <c r="K2575" s="21"/>
      <c r="L2575" s="21"/>
      <c r="M2575" s="10"/>
      <c r="N2575" s="67"/>
      <c r="O2575" s="11"/>
    </row>
    <row r="2576" spans="1:15" x14ac:dyDescent="0.25">
      <c r="A2576" s="6">
        <v>1276</v>
      </c>
      <c r="B2576" s="5" t="s">
        <v>550</v>
      </c>
      <c r="C2576" s="5" t="s">
        <v>17</v>
      </c>
      <c r="D2576" s="5" t="s">
        <v>338</v>
      </c>
      <c r="E2576" s="5" t="s">
        <v>339</v>
      </c>
      <c r="F2576" s="5" t="s">
        <v>552</v>
      </c>
      <c r="G2576" s="22">
        <v>0</v>
      </c>
      <c r="H2576" s="22">
        <v>0</v>
      </c>
      <c r="I2576" s="22">
        <v>0.02</v>
      </c>
      <c r="J2576" s="22">
        <v>0</v>
      </c>
      <c r="K2576" s="22">
        <v>0</v>
      </c>
      <c r="L2576" s="22">
        <v>0.02</v>
      </c>
      <c r="M2576" s="10"/>
      <c r="O2576" s="11"/>
    </row>
    <row r="2577" spans="1:15" x14ac:dyDescent="0.25">
      <c r="A2577" s="6"/>
      <c r="B2577" s="5"/>
      <c r="C2577" s="5"/>
      <c r="D2577" s="5" t="s">
        <v>338</v>
      </c>
      <c r="E2577" s="5" t="s">
        <v>339</v>
      </c>
      <c r="F2577" s="5" t="s">
        <v>552</v>
      </c>
      <c r="G2577" s="14">
        <f t="shared" ref="G2577:L2577" si="647">SUBTOTAL(9,G2576:G2576)</f>
        <v>0</v>
      </c>
      <c r="H2577" s="14">
        <f t="shared" si="647"/>
        <v>0</v>
      </c>
      <c r="I2577" s="14">
        <f t="shared" si="647"/>
        <v>0.02</v>
      </c>
      <c r="J2577" s="14">
        <f t="shared" si="647"/>
        <v>0</v>
      </c>
      <c r="K2577" s="14">
        <f t="shared" si="647"/>
        <v>0</v>
      </c>
      <c r="L2577" s="14">
        <f t="shared" si="647"/>
        <v>0.02</v>
      </c>
      <c r="M2577" s="10">
        <v>2742</v>
      </c>
      <c r="N2577" s="69"/>
      <c r="O2577" s="11">
        <f>O2574+1</f>
        <v>623</v>
      </c>
    </row>
    <row r="2578" spans="1:15" s="4" customFormat="1" x14ac:dyDescent="0.25">
      <c r="A2578" s="10"/>
      <c r="B2578"/>
      <c r="C2578"/>
      <c r="D2578"/>
      <c r="E2578"/>
      <c r="F2578"/>
      <c r="G2578" s="21"/>
      <c r="H2578" s="21"/>
      <c r="I2578" s="21"/>
      <c r="J2578" s="21"/>
      <c r="K2578" s="21"/>
      <c r="L2578" s="21"/>
      <c r="M2578" s="10"/>
      <c r="N2578" s="67"/>
      <c r="O2578" s="11"/>
    </row>
    <row r="2579" spans="1:15" x14ac:dyDescent="0.25">
      <c r="A2579" s="6">
        <v>1277</v>
      </c>
      <c r="B2579" s="5" t="s">
        <v>12</v>
      </c>
      <c r="C2579" s="5" t="s">
        <v>17</v>
      </c>
      <c r="D2579" s="5" t="s">
        <v>340</v>
      </c>
      <c r="E2579" s="5" t="s">
        <v>339</v>
      </c>
      <c r="F2579" s="5" t="s">
        <v>16</v>
      </c>
      <c r="G2579" s="22">
        <v>0</v>
      </c>
      <c r="H2579" s="22">
        <v>0</v>
      </c>
      <c r="I2579" s="22">
        <v>1.77</v>
      </c>
      <c r="J2579" s="22">
        <v>0</v>
      </c>
      <c r="K2579" s="22">
        <v>-0.04</v>
      </c>
      <c r="L2579" s="22">
        <v>1.73</v>
      </c>
      <c r="M2579" s="10"/>
      <c r="O2579" s="11"/>
    </row>
    <row r="2580" spans="1:15" x14ac:dyDescent="0.25">
      <c r="A2580" s="6"/>
      <c r="B2580" s="5"/>
      <c r="C2580" s="5"/>
      <c r="D2580" s="5" t="s">
        <v>340</v>
      </c>
      <c r="E2580" s="5" t="s">
        <v>339</v>
      </c>
      <c r="F2580" s="5" t="s">
        <v>16</v>
      </c>
      <c r="G2580" s="14">
        <f t="shared" ref="G2580:L2580" si="648">SUBTOTAL(9,G2579:G2579)</f>
        <v>0</v>
      </c>
      <c r="H2580" s="14">
        <f t="shared" si="648"/>
        <v>0</v>
      </c>
      <c r="I2580" s="14">
        <f t="shared" si="648"/>
        <v>1.77</v>
      </c>
      <c r="J2580" s="14">
        <f t="shared" si="648"/>
        <v>0</v>
      </c>
      <c r="K2580" s="14">
        <f t="shared" si="648"/>
        <v>-0.04</v>
      </c>
      <c r="L2580" s="14">
        <f t="shared" si="648"/>
        <v>1.73</v>
      </c>
      <c r="M2580" s="10">
        <v>2743</v>
      </c>
      <c r="N2580" s="69"/>
      <c r="O2580" s="11">
        <f>O2577+1</f>
        <v>624</v>
      </c>
    </row>
    <row r="2581" spans="1:15" s="4" customFormat="1" x14ac:dyDescent="0.25">
      <c r="A2581" s="10"/>
      <c r="B2581"/>
      <c r="C2581"/>
      <c r="D2581"/>
      <c r="E2581"/>
      <c r="F2581"/>
      <c r="G2581" s="21"/>
      <c r="H2581" s="21"/>
      <c r="I2581" s="21"/>
      <c r="J2581" s="21"/>
      <c r="K2581" s="21"/>
      <c r="L2581" s="21"/>
      <c r="M2581" s="10"/>
      <c r="N2581" s="67"/>
      <c r="O2581" s="11"/>
    </row>
    <row r="2582" spans="1:15" x14ac:dyDescent="0.25">
      <c r="A2582" s="6">
        <v>1278</v>
      </c>
      <c r="B2582" s="5" t="s">
        <v>555</v>
      </c>
      <c r="C2582" s="5" t="s">
        <v>17</v>
      </c>
      <c r="D2582" s="5" t="s">
        <v>340</v>
      </c>
      <c r="E2582" s="5" t="s">
        <v>339</v>
      </c>
      <c r="F2582" s="5" t="s">
        <v>556</v>
      </c>
      <c r="G2582" s="22">
        <v>0</v>
      </c>
      <c r="H2582" s="22">
        <v>0</v>
      </c>
      <c r="I2582" s="22">
        <v>2.93</v>
      </c>
      <c r="J2582" s="22">
        <v>0</v>
      </c>
      <c r="K2582" s="22">
        <v>-0.06</v>
      </c>
      <c r="L2582" s="22">
        <v>2.87</v>
      </c>
      <c r="M2582" s="10"/>
      <c r="O2582" s="11"/>
    </row>
    <row r="2583" spans="1:15" x14ac:dyDescent="0.25">
      <c r="A2583" s="6"/>
      <c r="B2583" s="5"/>
      <c r="C2583" s="5"/>
      <c r="D2583" s="5" t="s">
        <v>340</v>
      </c>
      <c r="E2583" s="5" t="s">
        <v>339</v>
      </c>
      <c r="F2583" s="5" t="s">
        <v>556</v>
      </c>
      <c r="G2583" s="14">
        <f t="shared" ref="G2583:L2583" si="649">SUBTOTAL(9,G2582:G2582)</f>
        <v>0</v>
      </c>
      <c r="H2583" s="14">
        <f t="shared" si="649"/>
        <v>0</v>
      </c>
      <c r="I2583" s="14">
        <f t="shared" si="649"/>
        <v>2.93</v>
      </c>
      <c r="J2583" s="14">
        <f t="shared" si="649"/>
        <v>0</v>
      </c>
      <c r="K2583" s="14">
        <f t="shared" si="649"/>
        <v>-0.06</v>
      </c>
      <c r="L2583" s="14">
        <f t="shared" si="649"/>
        <v>2.87</v>
      </c>
      <c r="M2583" s="10">
        <v>2744</v>
      </c>
      <c r="N2583" s="69"/>
      <c r="O2583" s="11">
        <f>O2580+1</f>
        <v>625</v>
      </c>
    </row>
    <row r="2584" spans="1:15" s="4" customFormat="1" x14ac:dyDescent="0.25">
      <c r="A2584" s="10"/>
      <c r="B2584"/>
      <c r="C2584"/>
      <c r="D2584"/>
      <c r="E2584"/>
      <c r="F2584"/>
      <c r="G2584" s="21"/>
      <c r="H2584" s="21"/>
      <c r="I2584" s="21"/>
      <c r="J2584" s="21"/>
      <c r="K2584" s="21"/>
      <c r="L2584" s="21"/>
      <c r="M2584" s="10"/>
      <c r="N2584" s="67"/>
      <c r="O2584" s="11"/>
    </row>
    <row r="2585" spans="1:15" x14ac:dyDescent="0.25">
      <c r="A2585" s="6">
        <v>1279</v>
      </c>
      <c r="B2585" s="5" t="s">
        <v>33</v>
      </c>
      <c r="C2585" s="5" t="s">
        <v>17</v>
      </c>
      <c r="D2585" s="5" t="s">
        <v>340</v>
      </c>
      <c r="E2585" s="5" t="s">
        <v>339</v>
      </c>
      <c r="F2585" s="5" t="s">
        <v>34</v>
      </c>
      <c r="G2585" s="22">
        <v>0</v>
      </c>
      <c r="H2585" s="22">
        <v>0</v>
      </c>
      <c r="I2585" s="22">
        <v>71.13</v>
      </c>
      <c r="J2585" s="22">
        <v>0</v>
      </c>
      <c r="K2585" s="22">
        <v>-1.42</v>
      </c>
      <c r="L2585" s="22">
        <v>69.709999999999994</v>
      </c>
      <c r="M2585" s="10"/>
      <c r="O2585" s="11"/>
    </row>
    <row r="2586" spans="1:15" x14ac:dyDescent="0.25">
      <c r="A2586" s="6">
        <v>1280</v>
      </c>
      <c r="B2586" s="5" t="s">
        <v>33</v>
      </c>
      <c r="C2586" s="5" t="s">
        <v>49</v>
      </c>
      <c r="D2586" s="5" t="s">
        <v>340</v>
      </c>
      <c r="E2586" s="5" t="s">
        <v>339</v>
      </c>
      <c r="F2586" s="5" t="s">
        <v>34</v>
      </c>
      <c r="G2586" s="22">
        <v>0</v>
      </c>
      <c r="H2586" s="22">
        <v>0</v>
      </c>
      <c r="I2586" s="22">
        <v>0.13</v>
      </c>
      <c r="J2586" s="22">
        <v>0</v>
      </c>
      <c r="K2586" s="22">
        <v>0</v>
      </c>
      <c r="L2586" s="22">
        <v>0.13</v>
      </c>
      <c r="M2586" s="10"/>
      <c r="N2586" s="70">
        <v>0.13</v>
      </c>
      <c r="O2586" s="11"/>
    </row>
    <row r="2587" spans="1:15" s="4" customFormat="1" x14ac:dyDescent="0.25">
      <c r="A2587" s="6"/>
      <c r="B2587" s="5"/>
      <c r="C2587" s="5"/>
      <c r="D2587" s="5" t="s">
        <v>340</v>
      </c>
      <c r="E2587" s="5" t="s">
        <v>339</v>
      </c>
      <c r="F2587" s="5" t="s">
        <v>34</v>
      </c>
      <c r="G2587" s="14">
        <f t="shared" ref="G2587:L2587" si="650">SUBTOTAL(9,G2585:G2586)</f>
        <v>0</v>
      </c>
      <c r="H2587" s="14">
        <f t="shared" si="650"/>
        <v>0</v>
      </c>
      <c r="I2587" s="14">
        <f t="shared" si="650"/>
        <v>71.259999999999991</v>
      </c>
      <c r="J2587" s="14">
        <f t="shared" si="650"/>
        <v>0</v>
      </c>
      <c r="K2587" s="14">
        <f t="shared" si="650"/>
        <v>-1.42</v>
      </c>
      <c r="L2587" s="14">
        <f t="shared" si="650"/>
        <v>69.839999999999989</v>
      </c>
      <c r="M2587" s="10">
        <v>2745</v>
      </c>
      <c r="N2587" s="71">
        <f>SUBTOTAL(9,N2585:N2586)</f>
        <v>0.13</v>
      </c>
      <c r="O2587" s="11">
        <f>O2583+1</f>
        <v>626</v>
      </c>
    </row>
    <row r="2588" spans="1:15" x14ac:dyDescent="0.25">
      <c r="A2588" s="10"/>
      <c r="G2588" s="21"/>
      <c r="H2588" s="21"/>
      <c r="I2588" s="21"/>
      <c r="J2588" s="21"/>
      <c r="K2588" s="21"/>
      <c r="L2588" s="21"/>
      <c r="M2588" s="10"/>
      <c r="O2588" s="11"/>
    </row>
    <row r="2589" spans="1:15" x14ac:dyDescent="0.25">
      <c r="A2589" s="6">
        <v>1281</v>
      </c>
      <c r="B2589" s="5" t="s">
        <v>557</v>
      </c>
      <c r="C2589" s="5" t="s">
        <v>17</v>
      </c>
      <c r="D2589" s="5" t="s">
        <v>340</v>
      </c>
      <c r="E2589" s="5" t="s">
        <v>339</v>
      </c>
      <c r="F2589" s="5" t="s">
        <v>558</v>
      </c>
      <c r="G2589" s="22">
        <v>0</v>
      </c>
      <c r="H2589" s="22">
        <v>0</v>
      </c>
      <c r="I2589" s="22">
        <v>2.65</v>
      </c>
      <c r="J2589" s="22">
        <v>0</v>
      </c>
      <c r="K2589" s="22">
        <v>-0.05</v>
      </c>
      <c r="L2589" s="22">
        <v>2.6</v>
      </c>
      <c r="M2589" s="10"/>
      <c r="O2589" s="11"/>
    </row>
    <row r="2590" spans="1:15" s="4" customFormat="1" x14ac:dyDescent="0.25">
      <c r="A2590" s="6"/>
      <c r="B2590" s="5"/>
      <c r="C2590" s="5"/>
      <c r="D2590" s="5" t="s">
        <v>340</v>
      </c>
      <c r="E2590" s="5" t="s">
        <v>339</v>
      </c>
      <c r="F2590" s="5" t="s">
        <v>558</v>
      </c>
      <c r="G2590" s="14">
        <f t="shared" ref="G2590:L2590" si="651">SUBTOTAL(9,G2589:G2589)</f>
        <v>0</v>
      </c>
      <c r="H2590" s="14">
        <f t="shared" si="651"/>
        <v>0</v>
      </c>
      <c r="I2590" s="14">
        <f t="shared" si="651"/>
        <v>2.65</v>
      </c>
      <c r="J2590" s="14">
        <f t="shared" si="651"/>
        <v>0</v>
      </c>
      <c r="K2590" s="14">
        <f t="shared" si="651"/>
        <v>-0.05</v>
      </c>
      <c r="L2590" s="14">
        <f t="shared" si="651"/>
        <v>2.6</v>
      </c>
      <c r="M2590" s="10">
        <v>2746</v>
      </c>
      <c r="N2590" s="69"/>
      <c r="O2590" s="11">
        <f>O2587+1</f>
        <v>627</v>
      </c>
    </row>
    <row r="2591" spans="1:15" s="4" customFormat="1" x14ac:dyDescent="0.25">
      <c r="A2591" s="10"/>
      <c r="B2591"/>
      <c r="C2591"/>
      <c r="D2591"/>
      <c r="E2591"/>
      <c r="F2591"/>
      <c r="G2591" s="21"/>
      <c r="H2591" s="21"/>
      <c r="I2591" s="21"/>
      <c r="J2591" s="21"/>
      <c r="K2591" s="21"/>
      <c r="L2591" s="21"/>
      <c r="M2591" s="10"/>
      <c r="N2591" s="67"/>
      <c r="O2591" s="11"/>
    </row>
    <row r="2592" spans="1:15" s="4" customFormat="1" x14ac:dyDescent="0.25">
      <c r="A2592" s="6">
        <v>1282</v>
      </c>
      <c r="B2592" s="5" t="s">
        <v>559</v>
      </c>
      <c r="C2592" s="5" t="s">
        <v>17</v>
      </c>
      <c r="D2592" s="5" t="s">
        <v>340</v>
      </c>
      <c r="E2592" s="5" t="s">
        <v>339</v>
      </c>
      <c r="F2592" s="5" t="s">
        <v>560</v>
      </c>
      <c r="G2592" s="22">
        <v>0</v>
      </c>
      <c r="H2592" s="22">
        <v>0</v>
      </c>
      <c r="I2592" s="22">
        <v>0.01</v>
      </c>
      <c r="J2592" s="22">
        <v>0</v>
      </c>
      <c r="K2592" s="22">
        <v>0</v>
      </c>
      <c r="L2592" s="22">
        <v>0.01</v>
      </c>
      <c r="M2592" s="10"/>
      <c r="N2592" s="67"/>
      <c r="O2592" s="11"/>
    </row>
    <row r="2593" spans="1:15" x14ac:dyDescent="0.25">
      <c r="A2593" s="6"/>
      <c r="B2593" s="5"/>
      <c r="C2593" s="5"/>
      <c r="D2593" s="5" t="s">
        <v>340</v>
      </c>
      <c r="E2593" s="5" t="s">
        <v>339</v>
      </c>
      <c r="F2593" s="5" t="s">
        <v>560</v>
      </c>
      <c r="G2593" s="14">
        <f t="shared" ref="G2593:L2593" si="652">SUBTOTAL(9,G2592:G2592)</f>
        <v>0</v>
      </c>
      <c r="H2593" s="14">
        <f t="shared" si="652"/>
        <v>0</v>
      </c>
      <c r="I2593" s="14">
        <f t="shared" si="652"/>
        <v>0.01</v>
      </c>
      <c r="J2593" s="14">
        <f t="shared" si="652"/>
        <v>0</v>
      </c>
      <c r="K2593" s="14">
        <f t="shared" si="652"/>
        <v>0</v>
      </c>
      <c r="L2593" s="14">
        <f t="shared" si="652"/>
        <v>0.01</v>
      </c>
      <c r="M2593" s="10">
        <v>2747</v>
      </c>
      <c r="N2593" s="69"/>
      <c r="O2593" s="11">
        <f>O2590+1</f>
        <v>628</v>
      </c>
    </row>
    <row r="2594" spans="1:15" x14ac:dyDescent="0.25">
      <c r="A2594" s="10"/>
      <c r="G2594" s="21"/>
      <c r="H2594" s="21"/>
      <c r="I2594" s="21"/>
      <c r="J2594" s="21"/>
      <c r="K2594" s="21"/>
      <c r="L2594" s="21"/>
      <c r="M2594" s="10"/>
      <c r="O2594" s="11"/>
    </row>
    <row r="2595" spans="1:15" s="4" customFormat="1" x14ac:dyDescent="0.25">
      <c r="A2595" s="6">
        <v>1283</v>
      </c>
      <c r="B2595" s="5" t="s">
        <v>18</v>
      </c>
      <c r="C2595" s="5" t="s">
        <v>17</v>
      </c>
      <c r="D2595" s="5" t="s">
        <v>340</v>
      </c>
      <c r="E2595" s="5" t="s">
        <v>339</v>
      </c>
      <c r="F2595" s="5" t="s">
        <v>19</v>
      </c>
      <c r="G2595" s="22">
        <v>0</v>
      </c>
      <c r="H2595" s="22">
        <v>0</v>
      </c>
      <c r="I2595" s="22">
        <v>0.16</v>
      </c>
      <c r="J2595" s="22">
        <v>0</v>
      </c>
      <c r="K2595" s="22">
        <v>-0.02</v>
      </c>
      <c r="L2595" s="22">
        <v>0.14000000000000001</v>
      </c>
      <c r="M2595" s="10"/>
      <c r="N2595" s="67"/>
      <c r="O2595" s="11"/>
    </row>
    <row r="2596" spans="1:15" s="4" customFormat="1" x14ac:dyDescent="0.25">
      <c r="A2596" s="6"/>
      <c r="B2596" s="5"/>
      <c r="C2596" s="5"/>
      <c r="D2596" s="5" t="s">
        <v>340</v>
      </c>
      <c r="E2596" s="5" t="s">
        <v>339</v>
      </c>
      <c r="F2596" s="5" t="s">
        <v>19</v>
      </c>
      <c r="G2596" s="14">
        <f t="shared" ref="G2596:L2596" si="653">SUBTOTAL(9,G2595:G2595)</f>
        <v>0</v>
      </c>
      <c r="H2596" s="14">
        <f t="shared" si="653"/>
        <v>0</v>
      </c>
      <c r="I2596" s="14">
        <f t="shared" si="653"/>
        <v>0.16</v>
      </c>
      <c r="J2596" s="14">
        <f t="shared" si="653"/>
        <v>0</v>
      </c>
      <c r="K2596" s="14">
        <f t="shared" si="653"/>
        <v>-0.02</v>
      </c>
      <c r="L2596" s="14">
        <f t="shared" si="653"/>
        <v>0.14000000000000001</v>
      </c>
      <c r="M2596" s="10">
        <v>2748</v>
      </c>
      <c r="N2596" s="69"/>
      <c r="O2596" s="11">
        <f>O2593+1</f>
        <v>629</v>
      </c>
    </row>
    <row r="2597" spans="1:15" x14ac:dyDescent="0.25">
      <c r="A2597" s="10"/>
      <c r="G2597" s="21"/>
      <c r="H2597" s="21"/>
      <c r="I2597" s="21"/>
      <c r="J2597" s="21"/>
      <c r="K2597" s="21"/>
      <c r="L2597" s="21"/>
      <c r="M2597" s="10"/>
      <c r="O2597" s="11"/>
    </row>
    <row r="2598" spans="1:15" x14ac:dyDescent="0.25">
      <c r="A2598" s="6">
        <v>1284</v>
      </c>
      <c r="B2598" s="5" t="s">
        <v>20</v>
      </c>
      <c r="C2598" s="5" t="s">
        <v>17</v>
      </c>
      <c r="D2598" s="5" t="s">
        <v>340</v>
      </c>
      <c r="E2598" s="5" t="s">
        <v>339</v>
      </c>
      <c r="F2598" s="5" t="s">
        <v>21</v>
      </c>
      <c r="G2598" s="22">
        <v>0</v>
      </c>
      <c r="H2598" s="22">
        <v>0</v>
      </c>
      <c r="I2598" s="22">
        <v>0</v>
      </c>
      <c r="J2598" s="22">
        <v>0</v>
      </c>
      <c r="K2598" s="22">
        <v>0</v>
      </c>
      <c r="L2598" s="22">
        <v>0</v>
      </c>
      <c r="M2598" s="10"/>
      <c r="O2598" s="11"/>
    </row>
    <row r="2599" spans="1:15" s="4" customFormat="1" x14ac:dyDescent="0.25">
      <c r="A2599" s="6">
        <v>1285</v>
      </c>
      <c r="B2599" s="5" t="s">
        <v>20</v>
      </c>
      <c r="C2599" s="5" t="s">
        <v>17</v>
      </c>
      <c r="D2599" s="5" t="s">
        <v>340</v>
      </c>
      <c r="E2599" s="5" t="s">
        <v>339</v>
      </c>
      <c r="F2599" s="5" t="s">
        <v>21</v>
      </c>
      <c r="G2599" s="22">
        <v>0</v>
      </c>
      <c r="H2599" s="22">
        <v>0</v>
      </c>
      <c r="I2599" s="22">
        <v>0</v>
      </c>
      <c r="J2599" s="22">
        <v>0</v>
      </c>
      <c r="K2599" s="22">
        <v>0</v>
      </c>
      <c r="L2599" s="22">
        <v>0</v>
      </c>
      <c r="M2599" s="10"/>
      <c r="N2599" s="67"/>
      <c r="O2599" s="11"/>
    </row>
    <row r="2600" spans="1:15" s="4" customFormat="1" x14ac:dyDescent="0.25">
      <c r="A2600" s="28"/>
      <c r="B2600" s="29"/>
      <c r="C2600" s="29"/>
      <c r="D2600" s="29"/>
      <c r="E2600" s="29"/>
      <c r="F2600" s="29" t="s">
        <v>662</v>
      </c>
      <c r="G2600" s="31">
        <f t="shared" ref="G2600:L2600" si="654">SUBTOTAL(9,G2598:G2599)</f>
        <v>0</v>
      </c>
      <c r="H2600" s="31">
        <f t="shared" si="654"/>
        <v>0</v>
      </c>
      <c r="I2600" s="31">
        <f t="shared" si="654"/>
        <v>0</v>
      </c>
      <c r="J2600" s="31">
        <f t="shared" si="654"/>
        <v>0</v>
      </c>
      <c r="K2600" s="31">
        <f t="shared" si="654"/>
        <v>0</v>
      </c>
      <c r="L2600" s="31">
        <f t="shared" si="654"/>
        <v>0</v>
      </c>
      <c r="M2600" s="42"/>
      <c r="N2600" s="67"/>
      <c r="O2600" s="11"/>
    </row>
    <row r="2601" spans="1:15" x14ac:dyDescent="0.25">
      <c r="A2601" s="10"/>
      <c r="G2601" s="21"/>
      <c r="H2601" s="21"/>
      <c r="I2601" s="21"/>
      <c r="J2601" s="21"/>
      <c r="K2601" s="21"/>
      <c r="L2601" s="21"/>
      <c r="M2601" s="10"/>
      <c r="O2601" s="11"/>
    </row>
    <row r="2602" spans="1:15" x14ac:dyDescent="0.25">
      <c r="A2602" s="6">
        <v>1286</v>
      </c>
      <c r="B2602" s="5" t="s">
        <v>22</v>
      </c>
      <c r="C2602" s="5" t="s">
        <v>17</v>
      </c>
      <c r="D2602" s="5" t="s">
        <v>340</v>
      </c>
      <c r="E2602" s="5" t="s">
        <v>339</v>
      </c>
      <c r="F2602" s="5" t="s">
        <v>23</v>
      </c>
      <c r="G2602" s="22">
        <v>0</v>
      </c>
      <c r="H2602" s="22">
        <v>0</v>
      </c>
      <c r="I2602" s="22">
        <v>0</v>
      </c>
      <c r="J2602" s="22">
        <v>0</v>
      </c>
      <c r="K2602" s="22">
        <v>0</v>
      </c>
      <c r="L2602" s="22">
        <v>0</v>
      </c>
      <c r="M2602" s="10"/>
      <c r="O2602" s="11"/>
    </row>
    <row r="2603" spans="1:15" s="4" customFormat="1" x14ac:dyDescent="0.25">
      <c r="A2603" s="6">
        <v>1287</v>
      </c>
      <c r="B2603" s="5" t="s">
        <v>22</v>
      </c>
      <c r="C2603" s="5" t="s">
        <v>17</v>
      </c>
      <c r="D2603" s="5" t="s">
        <v>340</v>
      </c>
      <c r="E2603" s="5" t="s">
        <v>339</v>
      </c>
      <c r="F2603" s="5" t="s">
        <v>23</v>
      </c>
      <c r="G2603" s="22">
        <v>0</v>
      </c>
      <c r="H2603" s="22">
        <v>0</v>
      </c>
      <c r="I2603" s="22">
        <v>0.11</v>
      </c>
      <c r="J2603" s="22">
        <v>0</v>
      </c>
      <c r="K2603" s="22">
        <v>0</v>
      </c>
      <c r="L2603" s="22">
        <v>0.11</v>
      </c>
      <c r="M2603" s="10"/>
      <c r="N2603" s="67"/>
      <c r="O2603" s="11"/>
    </row>
    <row r="2604" spans="1:15" s="4" customFormat="1" x14ac:dyDescent="0.25">
      <c r="A2604" s="6"/>
      <c r="B2604" s="5"/>
      <c r="C2604" s="5"/>
      <c r="D2604" s="5" t="s">
        <v>340</v>
      </c>
      <c r="E2604" s="5" t="s">
        <v>339</v>
      </c>
      <c r="F2604" s="5" t="s">
        <v>23</v>
      </c>
      <c r="G2604" s="14">
        <f t="shared" ref="G2604:L2604" si="655">SUBTOTAL(9,G2602:G2603)</f>
        <v>0</v>
      </c>
      <c r="H2604" s="14">
        <f t="shared" si="655"/>
        <v>0</v>
      </c>
      <c r="I2604" s="14">
        <f t="shared" si="655"/>
        <v>0.11</v>
      </c>
      <c r="J2604" s="14">
        <f t="shared" si="655"/>
        <v>0</v>
      </c>
      <c r="K2604" s="14">
        <f t="shared" si="655"/>
        <v>0</v>
      </c>
      <c r="L2604" s="14">
        <f t="shared" si="655"/>
        <v>0.11</v>
      </c>
      <c r="M2604" s="10">
        <v>2749</v>
      </c>
      <c r="N2604" s="69"/>
      <c r="O2604" s="11">
        <f>O2596+1</f>
        <v>630</v>
      </c>
    </row>
    <row r="2605" spans="1:15" x14ac:dyDescent="0.25">
      <c r="A2605" s="10"/>
      <c r="G2605" s="21"/>
      <c r="H2605" s="21"/>
      <c r="I2605" s="21"/>
      <c r="J2605" s="21"/>
      <c r="K2605" s="21"/>
      <c r="L2605" s="21"/>
      <c r="M2605" s="10"/>
      <c r="O2605" s="11"/>
    </row>
    <row r="2606" spans="1:15" x14ac:dyDescent="0.25">
      <c r="A2606" s="6">
        <v>1288</v>
      </c>
      <c r="B2606" s="5" t="s">
        <v>22</v>
      </c>
      <c r="C2606" s="5" t="s">
        <v>17</v>
      </c>
      <c r="D2606" s="5" t="s">
        <v>340</v>
      </c>
      <c r="E2606" s="5" t="s">
        <v>339</v>
      </c>
      <c r="F2606" s="5" t="s">
        <v>24</v>
      </c>
      <c r="G2606" s="22">
        <v>0</v>
      </c>
      <c r="H2606" s="22">
        <v>0</v>
      </c>
      <c r="I2606" s="22">
        <v>0</v>
      </c>
      <c r="J2606" s="22">
        <v>0</v>
      </c>
      <c r="K2606" s="22">
        <v>0</v>
      </c>
      <c r="L2606" s="22">
        <v>0</v>
      </c>
      <c r="M2606" s="10"/>
      <c r="O2606" s="11"/>
    </row>
    <row r="2607" spans="1:15" s="4" customFormat="1" x14ac:dyDescent="0.25">
      <c r="A2607" s="6">
        <v>1289</v>
      </c>
      <c r="B2607" s="5" t="s">
        <v>22</v>
      </c>
      <c r="C2607" s="5" t="s">
        <v>17</v>
      </c>
      <c r="D2607" s="5" t="s">
        <v>340</v>
      </c>
      <c r="E2607" s="5" t="s">
        <v>339</v>
      </c>
      <c r="F2607" s="5" t="s">
        <v>24</v>
      </c>
      <c r="G2607" s="22">
        <v>0</v>
      </c>
      <c r="H2607" s="22">
        <v>0</v>
      </c>
      <c r="I2607" s="22">
        <v>0</v>
      </c>
      <c r="J2607" s="22">
        <v>0</v>
      </c>
      <c r="K2607" s="22">
        <v>0</v>
      </c>
      <c r="L2607" s="22">
        <v>0</v>
      </c>
      <c r="M2607" s="10"/>
      <c r="N2607" s="67"/>
      <c r="O2607" s="11"/>
    </row>
    <row r="2608" spans="1:15" s="4" customFormat="1" x14ac:dyDescent="0.25">
      <c r="A2608" s="28"/>
      <c r="B2608" s="29"/>
      <c r="C2608" s="29"/>
      <c r="D2608" s="29"/>
      <c r="E2608" s="29"/>
      <c r="F2608" s="29" t="s">
        <v>660</v>
      </c>
      <c r="G2608" s="31">
        <f t="shared" ref="G2608:L2608" si="656">SUBTOTAL(9,G2606:G2607)</f>
        <v>0</v>
      </c>
      <c r="H2608" s="31">
        <f t="shared" si="656"/>
        <v>0</v>
      </c>
      <c r="I2608" s="31">
        <f t="shared" si="656"/>
        <v>0</v>
      </c>
      <c r="J2608" s="31">
        <f t="shared" si="656"/>
        <v>0</v>
      </c>
      <c r="K2608" s="31">
        <f t="shared" si="656"/>
        <v>0</v>
      </c>
      <c r="L2608" s="31">
        <f t="shared" si="656"/>
        <v>0</v>
      </c>
      <c r="M2608" s="42"/>
      <c r="N2608" s="67"/>
      <c r="O2608" s="11"/>
    </row>
    <row r="2609" spans="1:15" x14ac:dyDescent="0.25">
      <c r="A2609" s="10"/>
      <c r="G2609" s="21"/>
      <c r="H2609" s="21"/>
      <c r="I2609" s="21"/>
      <c r="J2609" s="21"/>
      <c r="K2609" s="21"/>
      <c r="L2609" s="21"/>
      <c r="M2609" s="10"/>
      <c r="O2609" s="11"/>
    </row>
    <row r="2610" spans="1:15" x14ac:dyDescent="0.25">
      <c r="A2610" s="6">
        <v>1290</v>
      </c>
      <c r="B2610" s="5" t="s">
        <v>550</v>
      </c>
      <c r="C2610" s="5" t="s">
        <v>17</v>
      </c>
      <c r="D2610" s="5" t="s">
        <v>340</v>
      </c>
      <c r="E2610" s="5" t="s">
        <v>339</v>
      </c>
      <c r="F2610" s="5" t="s">
        <v>551</v>
      </c>
      <c r="G2610" s="22">
        <v>0</v>
      </c>
      <c r="H2610" s="22">
        <v>0</v>
      </c>
      <c r="I2610" s="22">
        <v>28.96</v>
      </c>
      <c r="J2610" s="22">
        <v>0</v>
      </c>
      <c r="K2610" s="22">
        <v>-0.57999999999999996</v>
      </c>
      <c r="L2610" s="22">
        <v>28.38</v>
      </c>
      <c r="M2610" s="25"/>
      <c r="O2610" s="11"/>
    </row>
    <row r="2611" spans="1:15" s="4" customFormat="1" x14ac:dyDescent="0.25">
      <c r="A2611" s="6">
        <v>1291</v>
      </c>
      <c r="B2611" s="5" t="s">
        <v>550</v>
      </c>
      <c r="C2611" s="5" t="s">
        <v>17</v>
      </c>
      <c r="D2611" s="5" t="s">
        <v>340</v>
      </c>
      <c r="E2611" s="5" t="s">
        <v>339</v>
      </c>
      <c r="F2611" s="5" t="s">
        <v>551</v>
      </c>
      <c r="G2611" s="22">
        <v>0</v>
      </c>
      <c r="H2611" s="22">
        <v>0</v>
      </c>
      <c r="I2611" s="22">
        <v>378.04</v>
      </c>
      <c r="J2611" s="22">
        <v>0</v>
      </c>
      <c r="K2611" s="22">
        <v>-7.56</v>
      </c>
      <c r="L2611" s="22">
        <v>370.48</v>
      </c>
      <c r="M2611" s="25"/>
      <c r="N2611" s="67"/>
      <c r="O2611" s="11"/>
    </row>
    <row r="2612" spans="1:15" s="4" customFormat="1" x14ac:dyDescent="0.25">
      <c r="A2612" s="6"/>
      <c r="B2612" s="5"/>
      <c r="C2612" s="5"/>
      <c r="D2612" s="5" t="s">
        <v>340</v>
      </c>
      <c r="E2612" s="5" t="s">
        <v>339</v>
      </c>
      <c r="F2612" s="5" t="s">
        <v>551</v>
      </c>
      <c r="G2612" s="14">
        <f t="shared" ref="G2612:L2612" si="657">SUBTOTAL(9,G2610:G2611)</f>
        <v>0</v>
      </c>
      <c r="H2612" s="14">
        <f t="shared" si="657"/>
        <v>0</v>
      </c>
      <c r="I2612" s="14">
        <f t="shared" si="657"/>
        <v>407</v>
      </c>
      <c r="J2612" s="14">
        <f t="shared" si="657"/>
        <v>0</v>
      </c>
      <c r="K2612" s="14">
        <f t="shared" si="657"/>
        <v>-8.1399999999999988</v>
      </c>
      <c r="L2612" s="14">
        <f t="shared" si="657"/>
        <v>398.86</v>
      </c>
      <c r="M2612" s="25">
        <v>2750</v>
      </c>
      <c r="N2612" s="69"/>
      <c r="O2612" s="11">
        <f>O2604+1</f>
        <v>631</v>
      </c>
    </row>
    <row r="2613" spans="1:15" x14ac:dyDescent="0.25">
      <c r="A2613" s="25"/>
      <c r="B2613" s="26"/>
      <c r="C2613" s="26"/>
      <c r="D2613" s="26"/>
      <c r="E2613" s="26"/>
      <c r="F2613" s="26"/>
      <c r="G2613" s="27"/>
      <c r="H2613" s="21"/>
      <c r="I2613" s="21"/>
      <c r="J2613" s="21"/>
      <c r="K2613" s="21"/>
      <c r="L2613" s="21"/>
      <c r="M2613" s="25"/>
      <c r="O2613" s="11"/>
    </row>
    <row r="2614" spans="1:15" x14ac:dyDescent="0.25">
      <c r="A2614" s="6">
        <v>1292</v>
      </c>
      <c r="B2614" s="5" t="s">
        <v>550</v>
      </c>
      <c r="C2614" s="5" t="s">
        <v>17</v>
      </c>
      <c r="D2614" s="5" t="s">
        <v>340</v>
      </c>
      <c r="E2614" s="5" t="s">
        <v>339</v>
      </c>
      <c r="F2614" s="5" t="s">
        <v>552</v>
      </c>
      <c r="G2614" s="22">
        <v>0</v>
      </c>
      <c r="H2614" s="43">
        <v>0</v>
      </c>
      <c r="I2614" s="22">
        <v>0.03</v>
      </c>
      <c r="J2614" s="22">
        <v>0</v>
      </c>
      <c r="K2614" s="22">
        <v>0</v>
      </c>
      <c r="L2614" s="22">
        <v>0.03</v>
      </c>
      <c r="M2614" s="10"/>
      <c r="O2614" s="11"/>
    </row>
    <row r="2615" spans="1:15" s="4" customFormat="1" x14ac:dyDescent="0.25">
      <c r="A2615" s="7"/>
      <c r="B2615" s="8"/>
      <c r="C2615" s="44"/>
      <c r="D2615" s="5" t="s">
        <v>340</v>
      </c>
      <c r="E2615" s="5" t="s">
        <v>339</v>
      </c>
      <c r="F2615" s="5" t="s">
        <v>552</v>
      </c>
      <c r="G2615" s="34">
        <f t="shared" ref="G2615:L2615" si="658">SUBTOTAL(9,G2614:G2614)</f>
        <v>0</v>
      </c>
      <c r="H2615" s="14">
        <f t="shared" si="658"/>
        <v>0</v>
      </c>
      <c r="I2615" s="14">
        <f t="shared" si="658"/>
        <v>0.03</v>
      </c>
      <c r="J2615" s="14">
        <f t="shared" si="658"/>
        <v>0</v>
      </c>
      <c r="K2615" s="14">
        <f t="shared" si="658"/>
        <v>0</v>
      </c>
      <c r="L2615" s="14">
        <f t="shared" si="658"/>
        <v>0.03</v>
      </c>
      <c r="M2615" s="10">
        <v>2751</v>
      </c>
      <c r="N2615" s="69"/>
      <c r="O2615" s="11">
        <f>O2612+1</f>
        <v>632</v>
      </c>
    </row>
    <row r="2616" spans="1:15" s="4" customFormat="1" x14ac:dyDescent="0.25">
      <c r="A2616" s="10"/>
      <c r="B2616"/>
      <c r="C2616"/>
      <c r="D2616"/>
      <c r="E2616"/>
      <c r="F2616"/>
      <c r="G2616" s="21"/>
      <c r="H2616" s="21"/>
      <c r="I2616" s="21"/>
      <c r="J2616" s="21"/>
      <c r="K2616" s="21"/>
      <c r="L2616" s="21"/>
      <c r="M2616" s="10"/>
      <c r="N2616" s="67"/>
      <c r="O2616" s="11"/>
    </row>
    <row r="2617" spans="1:15" x14ac:dyDescent="0.25">
      <c r="A2617" s="6">
        <v>1293</v>
      </c>
      <c r="B2617" s="5" t="s">
        <v>18</v>
      </c>
      <c r="C2617" s="5" t="s">
        <v>17</v>
      </c>
      <c r="D2617" s="5" t="s">
        <v>341</v>
      </c>
      <c r="E2617" s="5" t="s">
        <v>342</v>
      </c>
      <c r="F2617" s="5" t="s">
        <v>19</v>
      </c>
      <c r="G2617" s="22">
        <v>0</v>
      </c>
      <c r="H2617" s="22">
        <v>0</v>
      </c>
      <c r="I2617" s="22">
        <v>0.26</v>
      </c>
      <c r="J2617" s="22">
        <v>0</v>
      </c>
      <c r="K2617" s="22">
        <v>-0.03</v>
      </c>
      <c r="L2617" s="22">
        <v>0.23</v>
      </c>
      <c r="M2617" s="10"/>
      <c r="O2617" s="11"/>
    </row>
    <row r="2618" spans="1:15" x14ac:dyDescent="0.25">
      <c r="A2618" s="6"/>
      <c r="B2618" s="5"/>
      <c r="C2618" s="5"/>
      <c r="D2618" s="5" t="s">
        <v>341</v>
      </c>
      <c r="E2618" s="5" t="s">
        <v>342</v>
      </c>
      <c r="F2618" s="5" t="s">
        <v>19</v>
      </c>
      <c r="G2618" s="14">
        <f t="shared" ref="G2618:L2618" si="659">SUBTOTAL(9,G2617:G2617)</f>
        <v>0</v>
      </c>
      <c r="H2618" s="14">
        <f t="shared" si="659"/>
        <v>0</v>
      </c>
      <c r="I2618" s="14">
        <f t="shared" si="659"/>
        <v>0.26</v>
      </c>
      <c r="J2618" s="14">
        <f t="shared" si="659"/>
        <v>0</v>
      </c>
      <c r="K2618" s="14">
        <f t="shared" si="659"/>
        <v>-0.03</v>
      </c>
      <c r="L2618" s="14">
        <f t="shared" si="659"/>
        <v>0.23</v>
      </c>
      <c r="M2618" s="10">
        <v>2752</v>
      </c>
      <c r="N2618" s="69"/>
      <c r="O2618" s="11">
        <f>O2615+1</f>
        <v>633</v>
      </c>
    </row>
    <row r="2619" spans="1:15" s="4" customFormat="1" x14ac:dyDescent="0.25">
      <c r="A2619" s="10"/>
      <c r="B2619"/>
      <c r="C2619"/>
      <c r="D2619"/>
      <c r="E2619"/>
      <c r="F2619"/>
      <c r="G2619" s="21"/>
      <c r="H2619" s="21"/>
      <c r="I2619" s="21"/>
      <c r="J2619" s="21"/>
      <c r="K2619" s="21"/>
      <c r="L2619" s="21"/>
      <c r="M2619" s="10"/>
      <c r="N2619" s="67"/>
      <c r="O2619" s="11"/>
    </row>
    <row r="2620" spans="1:15" x14ac:dyDescent="0.25">
      <c r="A2620" s="6">
        <v>1294</v>
      </c>
      <c r="B2620" s="5" t="s">
        <v>550</v>
      </c>
      <c r="C2620" s="5" t="s">
        <v>17</v>
      </c>
      <c r="D2620" s="5" t="s">
        <v>620</v>
      </c>
      <c r="E2620" s="5" t="s">
        <v>342</v>
      </c>
      <c r="F2620" s="5" t="s">
        <v>551</v>
      </c>
      <c r="G2620" s="22">
        <v>0</v>
      </c>
      <c r="H2620" s="22">
        <v>0</v>
      </c>
      <c r="I2620" s="22">
        <v>166.81</v>
      </c>
      <c r="J2620" s="22">
        <v>0</v>
      </c>
      <c r="K2620" s="22">
        <v>-3.34</v>
      </c>
      <c r="L2620" s="22">
        <v>163.47</v>
      </c>
      <c r="M2620" s="10"/>
      <c r="O2620" s="11"/>
    </row>
    <row r="2621" spans="1:15" x14ac:dyDescent="0.25">
      <c r="A2621" s="6">
        <v>1295</v>
      </c>
      <c r="B2621" s="5" t="s">
        <v>550</v>
      </c>
      <c r="C2621" s="5" t="s">
        <v>17</v>
      </c>
      <c r="D2621" s="5" t="s">
        <v>620</v>
      </c>
      <c r="E2621" s="5" t="s">
        <v>342</v>
      </c>
      <c r="F2621" s="5" t="s">
        <v>551</v>
      </c>
      <c r="G2621" s="22">
        <v>0</v>
      </c>
      <c r="H2621" s="22">
        <v>0</v>
      </c>
      <c r="I2621" s="22">
        <v>836.02</v>
      </c>
      <c r="J2621" s="22">
        <v>0</v>
      </c>
      <c r="K2621" s="22">
        <v>-16.72</v>
      </c>
      <c r="L2621" s="22">
        <v>819.3</v>
      </c>
      <c r="M2621" s="10"/>
      <c r="O2621" s="11"/>
    </row>
    <row r="2622" spans="1:15" s="4" customFormat="1" x14ac:dyDescent="0.25">
      <c r="A2622" s="6"/>
      <c r="B2622" s="5"/>
      <c r="C2622" s="5"/>
      <c r="D2622" s="5" t="s">
        <v>341</v>
      </c>
      <c r="E2622" s="5" t="s">
        <v>342</v>
      </c>
      <c r="F2622" s="5" t="s">
        <v>551</v>
      </c>
      <c r="G2622" s="14">
        <f t="shared" ref="G2622:L2622" si="660">SUBTOTAL(9,G2620:G2621)</f>
        <v>0</v>
      </c>
      <c r="H2622" s="14">
        <f t="shared" si="660"/>
        <v>0</v>
      </c>
      <c r="I2622" s="14">
        <f t="shared" si="660"/>
        <v>1002.8299999999999</v>
      </c>
      <c r="J2622" s="14">
        <f t="shared" si="660"/>
        <v>0</v>
      </c>
      <c r="K2622" s="14">
        <f t="shared" si="660"/>
        <v>-20.059999999999999</v>
      </c>
      <c r="L2622" s="14">
        <f t="shared" si="660"/>
        <v>982.77</v>
      </c>
      <c r="M2622" s="10">
        <v>2753</v>
      </c>
      <c r="N2622" s="69"/>
      <c r="O2622" s="11">
        <f>O2618+1</f>
        <v>634</v>
      </c>
    </row>
    <row r="2623" spans="1:15" x14ac:dyDescent="0.25">
      <c r="A2623" s="10"/>
      <c r="G2623" s="21"/>
      <c r="H2623" s="21"/>
      <c r="I2623" s="21"/>
      <c r="J2623" s="21"/>
      <c r="K2623" s="21"/>
      <c r="L2623" s="21"/>
      <c r="M2623" s="10"/>
      <c r="O2623" s="11"/>
    </row>
    <row r="2624" spans="1:15" x14ac:dyDescent="0.25">
      <c r="A2624" s="6">
        <v>1296</v>
      </c>
      <c r="B2624" s="5" t="s">
        <v>550</v>
      </c>
      <c r="C2624" s="5" t="s">
        <v>17</v>
      </c>
      <c r="D2624" s="5" t="s">
        <v>620</v>
      </c>
      <c r="E2624" s="5" t="s">
        <v>342</v>
      </c>
      <c r="F2624" s="5" t="s">
        <v>552</v>
      </c>
      <c r="G2624" s="22">
        <v>0</v>
      </c>
      <c r="H2624" s="22">
        <v>0</v>
      </c>
      <c r="I2624" s="22">
        <v>0.01</v>
      </c>
      <c r="J2624" s="22">
        <v>0</v>
      </c>
      <c r="K2624" s="22">
        <v>0</v>
      </c>
      <c r="L2624" s="22">
        <v>0.01</v>
      </c>
      <c r="M2624" s="10"/>
      <c r="O2624" s="11"/>
    </row>
    <row r="2625" spans="1:15" s="4" customFormat="1" x14ac:dyDescent="0.25">
      <c r="A2625" s="6">
        <v>1297</v>
      </c>
      <c r="B2625" s="5" t="s">
        <v>550</v>
      </c>
      <c r="C2625" s="5" t="s">
        <v>17</v>
      </c>
      <c r="D2625" s="5" t="s">
        <v>620</v>
      </c>
      <c r="E2625" s="5" t="s">
        <v>342</v>
      </c>
      <c r="F2625" s="5" t="s">
        <v>552</v>
      </c>
      <c r="G2625" s="22">
        <v>0</v>
      </c>
      <c r="H2625" s="22">
        <v>0</v>
      </c>
      <c r="I2625" s="22">
        <v>0.06</v>
      </c>
      <c r="J2625" s="22">
        <v>0</v>
      </c>
      <c r="K2625" s="22">
        <v>0</v>
      </c>
      <c r="L2625" s="22">
        <v>0.06</v>
      </c>
      <c r="M2625" s="10"/>
      <c r="N2625" s="67"/>
      <c r="O2625" s="11"/>
    </row>
    <row r="2626" spans="1:15" x14ac:dyDescent="0.25">
      <c r="A2626" s="6"/>
      <c r="B2626" s="5"/>
      <c r="C2626" s="5"/>
      <c r="D2626" s="5" t="s">
        <v>341</v>
      </c>
      <c r="E2626" s="5" t="s">
        <v>342</v>
      </c>
      <c r="F2626" s="5" t="s">
        <v>552</v>
      </c>
      <c r="G2626" s="14">
        <f t="shared" ref="G2626:L2626" si="661">SUBTOTAL(9,G2624:G2625)</f>
        <v>0</v>
      </c>
      <c r="H2626" s="14">
        <f t="shared" si="661"/>
        <v>0</v>
      </c>
      <c r="I2626" s="14">
        <f t="shared" si="661"/>
        <v>6.9999999999999993E-2</v>
      </c>
      <c r="J2626" s="14">
        <f t="shared" si="661"/>
        <v>0</v>
      </c>
      <c r="K2626" s="14">
        <f t="shared" si="661"/>
        <v>0</v>
      </c>
      <c r="L2626" s="14">
        <f t="shared" si="661"/>
        <v>6.9999999999999993E-2</v>
      </c>
      <c r="M2626" s="10">
        <v>2754</v>
      </c>
      <c r="N2626" s="69"/>
      <c r="O2626" s="11">
        <f>O2622+1</f>
        <v>635</v>
      </c>
    </row>
    <row r="2627" spans="1:15" x14ac:dyDescent="0.25">
      <c r="A2627" s="10"/>
      <c r="G2627" s="21"/>
      <c r="H2627" s="21"/>
      <c r="I2627" s="21"/>
      <c r="J2627" s="21"/>
      <c r="K2627" s="21"/>
      <c r="L2627" s="21"/>
      <c r="M2627" s="10"/>
      <c r="O2627" s="11"/>
    </row>
    <row r="2628" spans="1:15" s="4" customFormat="1" x14ac:dyDescent="0.25">
      <c r="A2628" s="6">
        <v>1298</v>
      </c>
      <c r="B2628" s="5" t="s">
        <v>555</v>
      </c>
      <c r="C2628" s="5" t="s">
        <v>17</v>
      </c>
      <c r="D2628" s="5" t="s">
        <v>343</v>
      </c>
      <c r="E2628" s="5" t="s">
        <v>344</v>
      </c>
      <c r="F2628" s="5" t="s">
        <v>556</v>
      </c>
      <c r="G2628" s="22">
        <v>0</v>
      </c>
      <c r="H2628" s="22">
        <v>0</v>
      </c>
      <c r="I2628" s="22">
        <v>9.51</v>
      </c>
      <c r="J2628" s="22">
        <v>0</v>
      </c>
      <c r="K2628" s="22">
        <v>0</v>
      </c>
      <c r="L2628" s="22">
        <v>9.51</v>
      </c>
      <c r="M2628" s="10"/>
      <c r="N2628" s="67"/>
      <c r="O2628" s="11"/>
    </row>
    <row r="2629" spans="1:15" x14ac:dyDescent="0.25">
      <c r="A2629" s="6"/>
      <c r="B2629" s="5"/>
      <c r="C2629" s="5"/>
      <c r="D2629" s="5" t="s">
        <v>343</v>
      </c>
      <c r="E2629" s="5" t="s">
        <v>344</v>
      </c>
      <c r="F2629" s="5" t="s">
        <v>556</v>
      </c>
      <c r="G2629" s="14">
        <f t="shared" ref="G2629:L2629" si="662">SUBTOTAL(9,G2628:G2628)</f>
        <v>0</v>
      </c>
      <c r="H2629" s="14">
        <f t="shared" si="662"/>
        <v>0</v>
      </c>
      <c r="I2629" s="14">
        <f t="shared" si="662"/>
        <v>9.51</v>
      </c>
      <c r="J2629" s="14">
        <f t="shared" si="662"/>
        <v>0</v>
      </c>
      <c r="K2629" s="14">
        <f t="shared" si="662"/>
        <v>0</v>
      </c>
      <c r="L2629" s="14">
        <f t="shared" si="662"/>
        <v>9.51</v>
      </c>
      <c r="M2629" s="10">
        <v>2755</v>
      </c>
      <c r="N2629" s="69"/>
      <c r="O2629" s="11">
        <f>O2626+1</f>
        <v>636</v>
      </c>
    </row>
    <row r="2630" spans="1:15" x14ac:dyDescent="0.25">
      <c r="A2630" s="10"/>
      <c r="G2630" s="21"/>
      <c r="H2630" s="21"/>
      <c r="I2630" s="21"/>
      <c r="J2630" s="21"/>
      <c r="K2630" s="21"/>
      <c r="L2630" s="21"/>
      <c r="M2630" s="10"/>
      <c r="O2630" s="11"/>
    </row>
    <row r="2631" spans="1:15" s="4" customFormat="1" x14ac:dyDescent="0.25">
      <c r="A2631" s="6">
        <v>1299</v>
      </c>
      <c r="B2631" s="5" t="s">
        <v>557</v>
      </c>
      <c r="C2631" s="5" t="s">
        <v>17</v>
      </c>
      <c r="D2631" s="5" t="s">
        <v>343</v>
      </c>
      <c r="E2631" s="5" t="s">
        <v>344</v>
      </c>
      <c r="F2631" s="5" t="s">
        <v>558</v>
      </c>
      <c r="G2631" s="22">
        <v>0</v>
      </c>
      <c r="H2631" s="22">
        <v>0</v>
      </c>
      <c r="I2631" s="22">
        <v>3.72</v>
      </c>
      <c r="J2631" s="22">
        <v>0</v>
      </c>
      <c r="K2631" s="22">
        <v>0</v>
      </c>
      <c r="L2631" s="22">
        <v>3.72</v>
      </c>
      <c r="M2631" s="10"/>
      <c r="N2631" s="67"/>
      <c r="O2631" s="11"/>
    </row>
    <row r="2632" spans="1:15" x14ac:dyDescent="0.25">
      <c r="A2632" s="6"/>
      <c r="B2632" s="5"/>
      <c r="C2632" s="5"/>
      <c r="D2632" s="5" t="s">
        <v>343</v>
      </c>
      <c r="E2632" s="5" t="s">
        <v>344</v>
      </c>
      <c r="F2632" s="5" t="s">
        <v>558</v>
      </c>
      <c r="G2632" s="14">
        <f t="shared" ref="G2632:L2632" si="663">SUBTOTAL(9,G2631:G2631)</f>
        <v>0</v>
      </c>
      <c r="H2632" s="14">
        <f t="shared" si="663"/>
        <v>0</v>
      </c>
      <c r="I2632" s="14">
        <f t="shared" si="663"/>
        <v>3.72</v>
      </c>
      <c r="J2632" s="14">
        <f t="shared" si="663"/>
        <v>0</v>
      </c>
      <c r="K2632" s="14">
        <f t="shared" si="663"/>
        <v>0</v>
      </c>
      <c r="L2632" s="14">
        <f t="shared" si="663"/>
        <v>3.72</v>
      </c>
      <c r="M2632" s="10">
        <v>2756</v>
      </c>
      <c r="N2632" s="69"/>
      <c r="O2632" s="11">
        <f>O2629+1</f>
        <v>637</v>
      </c>
    </row>
    <row r="2633" spans="1:15" x14ac:dyDescent="0.25">
      <c r="A2633" s="10"/>
      <c r="G2633" s="21"/>
      <c r="H2633" s="21"/>
      <c r="I2633" s="21"/>
      <c r="J2633" s="21"/>
      <c r="K2633" s="21"/>
      <c r="L2633" s="21"/>
      <c r="M2633" s="10"/>
      <c r="O2633" s="11"/>
    </row>
    <row r="2634" spans="1:15" s="4" customFormat="1" x14ac:dyDescent="0.25">
      <c r="A2634" s="6">
        <v>1300</v>
      </c>
      <c r="B2634" s="5" t="s">
        <v>18</v>
      </c>
      <c r="C2634" s="5" t="s">
        <v>17</v>
      </c>
      <c r="D2634" s="5" t="s">
        <v>343</v>
      </c>
      <c r="E2634" s="5" t="s">
        <v>344</v>
      </c>
      <c r="F2634" s="5" t="s">
        <v>19</v>
      </c>
      <c r="G2634" s="22">
        <v>0</v>
      </c>
      <c r="H2634" s="22">
        <v>0</v>
      </c>
      <c r="I2634" s="22">
        <v>0.89</v>
      </c>
      <c r="J2634" s="22">
        <v>0</v>
      </c>
      <c r="K2634" s="22">
        <v>0</v>
      </c>
      <c r="L2634" s="22">
        <v>0.89</v>
      </c>
      <c r="M2634" s="10"/>
      <c r="N2634" s="67"/>
      <c r="O2634" s="11"/>
    </row>
    <row r="2635" spans="1:15" x14ac:dyDescent="0.25">
      <c r="A2635" s="6"/>
      <c r="B2635" s="5"/>
      <c r="C2635" s="5"/>
      <c r="D2635" s="5" t="s">
        <v>343</v>
      </c>
      <c r="E2635" s="5" t="s">
        <v>344</v>
      </c>
      <c r="F2635" s="5" t="s">
        <v>19</v>
      </c>
      <c r="G2635" s="14">
        <f t="shared" ref="G2635:L2635" si="664">SUBTOTAL(9,G2634:G2634)</f>
        <v>0</v>
      </c>
      <c r="H2635" s="14">
        <f t="shared" si="664"/>
        <v>0</v>
      </c>
      <c r="I2635" s="14">
        <f t="shared" si="664"/>
        <v>0.89</v>
      </c>
      <c r="J2635" s="14">
        <f t="shared" si="664"/>
        <v>0</v>
      </c>
      <c r="K2635" s="14">
        <f t="shared" si="664"/>
        <v>0</v>
      </c>
      <c r="L2635" s="14">
        <f t="shared" si="664"/>
        <v>0.89</v>
      </c>
      <c r="M2635" s="10">
        <v>2757</v>
      </c>
      <c r="N2635" s="69"/>
      <c r="O2635" s="11">
        <f>O2632+1</f>
        <v>638</v>
      </c>
    </row>
    <row r="2636" spans="1:15" x14ac:dyDescent="0.25">
      <c r="A2636" s="10"/>
      <c r="G2636" s="21"/>
      <c r="H2636" s="21"/>
      <c r="I2636" s="21"/>
      <c r="J2636" s="21"/>
      <c r="K2636" s="21"/>
      <c r="L2636" s="21"/>
      <c r="M2636" s="10"/>
      <c r="O2636" s="11"/>
    </row>
    <row r="2637" spans="1:15" s="4" customFormat="1" x14ac:dyDescent="0.25">
      <c r="A2637" s="6">
        <v>1301</v>
      </c>
      <c r="B2637" s="5" t="s">
        <v>550</v>
      </c>
      <c r="C2637" s="5" t="s">
        <v>17</v>
      </c>
      <c r="D2637" s="5" t="s">
        <v>343</v>
      </c>
      <c r="E2637" s="5" t="s">
        <v>344</v>
      </c>
      <c r="F2637" s="5" t="s">
        <v>551</v>
      </c>
      <c r="G2637" s="22">
        <v>0</v>
      </c>
      <c r="H2637" s="22">
        <v>0</v>
      </c>
      <c r="I2637" s="22">
        <v>982.25</v>
      </c>
      <c r="J2637" s="22">
        <v>0</v>
      </c>
      <c r="K2637" s="22">
        <v>0</v>
      </c>
      <c r="L2637" s="22">
        <v>982.25</v>
      </c>
      <c r="M2637" s="10"/>
      <c r="N2637" s="67"/>
      <c r="O2637" s="11"/>
    </row>
    <row r="2638" spans="1:15" s="4" customFormat="1" x14ac:dyDescent="0.25">
      <c r="A2638" s="6"/>
      <c r="B2638" s="5"/>
      <c r="C2638" s="5"/>
      <c r="D2638" s="5" t="s">
        <v>343</v>
      </c>
      <c r="E2638" s="5" t="s">
        <v>344</v>
      </c>
      <c r="F2638" s="5" t="s">
        <v>551</v>
      </c>
      <c r="G2638" s="14">
        <f t="shared" ref="G2638:L2638" si="665">SUBTOTAL(9,G2637:G2637)</f>
        <v>0</v>
      </c>
      <c r="H2638" s="14">
        <f t="shared" si="665"/>
        <v>0</v>
      </c>
      <c r="I2638" s="14">
        <f t="shared" si="665"/>
        <v>982.25</v>
      </c>
      <c r="J2638" s="14">
        <f t="shared" si="665"/>
        <v>0</v>
      </c>
      <c r="K2638" s="14">
        <f t="shared" si="665"/>
        <v>0</v>
      </c>
      <c r="L2638" s="14">
        <f t="shared" si="665"/>
        <v>982.25</v>
      </c>
      <c r="M2638" s="10">
        <v>2758</v>
      </c>
      <c r="N2638" s="69"/>
      <c r="O2638" s="11">
        <f>O2635+1</f>
        <v>639</v>
      </c>
    </row>
    <row r="2639" spans="1:15" s="4" customFormat="1" x14ac:dyDescent="0.25">
      <c r="A2639" s="10"/>
      <c r="B2639"/>
      <c r="C2639"/>
      <c r="D2639"/>
      <c r="E2639"/>
      <c r="F2639"/>
      <c r="G2639" s="21"/>
      <c r="H2639" s="21"/>
      <c r="I2639" s="21"/>
      <c r="J2639" s="21"/>
      <c r="K2639" s="21"/>
      <c r="L2639" s="21"/>
      <c r="M2639" s="10"/>
      <c r="N2639" s="67"/>
      <c r="O2639" s="11"/>
    </row>
    <row r="2640" spans="1:15" x14ac:dyDescent="0.25">
      <c r="A2640" s="6">
        <v>1302</v>
      </c>
      <c r="B2640" s="5" t="s">
        <v>550</v>
      </c>
      <c r="C2640" s="5" t="s">
        <v>17</v>
      </c>
      <c r="D2640" s="5" t="s">
        <v>343</v>
      </c>
      <c r="E2640" s="5" t="s">
        <v>344</v>
      </c>
      <c r="F2640" s="5" t="s">
        <v>552</v>
      </c>
      <c r="G2640" s="22">
        <v>0</v>
      </c>
      <c r="H2640" s="22">
        <v>0</v>
      </c>
      <c r="I2640" s="22">
        <v>7.0000000000000007E-2</v>
      </c>
      <c r="J2640" s="22">
        <v>0</v>
      </c>
      <c r="K2640" s="22">
        <v>0</v>
      </c>
      <c r="L2640" s="22">
        <v>7.0000000000000007E-2</v>
      </c>
      <c r="M2640" s="10"/>
      <c r="O2640" s="11"/>
    </row>
    <row r="2641" spans="1:15" x14ac:dyDescent="0.25">
      <c r="A2641" s="6"/>
      <c r="B2641" s="5"/>
      <c r="C2641" s="5"/>
      <c r="D2641" s="5" t="s">
        <v>343</v>
      </c>
      <c r="E2641" s="5" t="s">
        <v>344</v>
      </c>
      <c r="F2641" s="5" t="s">
        <v>552</v>
      </c>
      <c r="G2641" s="14">
        <f t="shared" ref="G2641:L2641" si="666">SUBTOTAL(9,G2640:G2640)</f>
        <v>0</v>
      </c>
      <c r="H2641" s="14">
        <f t="shared" si="666"/>
        <v>0</v>
      </c>
      <c r="I2641" s="14">
        <f t="shared" si="666"/>
        <v>7.0000000000000007E-2</v>
      </c>
      <c r="J2641" s="14">
        <f t="shared" si="666"/>
        <v>0</v>
      </c>
      <c r="K2641" s="14">
        <f t="shared" si="666"/>
        <v>0</v>
      </c>
      <c r="L2641" s="14">
        <f t="shared" si="666"/>
        <v>7.0000000000000007E-2</v>
      </c>
      <c r="M2641" s="10">
        <v>2759</v>
      </c>
      <c r="N2641" s="69"/>
      <c r="O2641" s="11">
        <f>O2638+1</f>
        <v>640</v>
      </c>
    </row>
    <row r="2642" spans="1:15" s="4" customFormat="1" x14ac:dyDescent="0.25">
      <c r="A2642" s="10"/>
      <c r="B2642"/>
      <c r="C2642"/>
      <c r="D2642"/>
      <c r="E2642"/>
      <c r="F2642"/>
      <c r="G2642" s="21"/>
      <c r="H2642" s="21"/>
      <c r="I2642" s="21"/>
      <c r="J2642" s="21"/>
      <c r="K2642" s="21"/>
      <c r="L2642" s="21"/>
      <c r="M2642" s="10"/>
      <c r="N2642" s="67"/>
      <c r="O2642" s="11"/>
    </row>
    <row r="2643" spans="1:15" s="4" customFormat="1" x14ac:dyDescent="0.25">
      <c r="A2643" s="6">
        <v>1303</v>
      </c>
      <c r="B2643" s="5" t="s">
        <v>555</v>
      </c>
      <c r="C2643" s="5" t="s">
        <v>17</v>
      </c>
      <c r="D2643" s="5" t="s">
        <v>345</v>
      </c>
      <c r="E2643" s="5" t="s">
        <v>346</v>
      </c>
      <c r="F2643" s="5" t="s">
        <v>556</v>
      </c>
      <c r="G2643" s="22">
        <v>1701.59</v>
      </c>
      <c r="H2643" s="22">
        <v>0</v>
      </c>
      <c r="I2643" s="22">
        <v>0</v>
      </c>
      <c r="J2643" s="22">
        <v>0</v>
      </c>
      <c r="K2643" s="22">
        <v>-34.03</v>
      </c>
      <c r="L2643" s="22">
        <v>1667.56</v>
      </c>
      <c r="M2643" s="10"/>
      <c r="N2643" s="67"/>
      <c r="O2643" s="11"/>
    </row>
    <row r="2644" spans="1:15" x14ac:dyDescent="0.25">
      <c r="A2644" s="6">
        <v>1304</v>
      </c>
      <c r="B2644" s="5" t="s">
        <v>555</v>
      </c>
      <c r="C2644" s="5" t="s">
        <v>13</v>
      </c>
      <c r="D2644" s="5" t="s">
        <v>345</v>
      </c>
      <c r="E2644" s="5" t="s">
        <v>346</v>
      </c>
      <c r="F2644" s="5" t="s">
        <v>556</v>
      </c>
      <c r="G2644" s="22">
        <v>0</v>
      </c>
      <c r="H2644" s="22">
        <v>0</v>
      </c>
      <c r="I2644" s="22">
        <v>0</v>
      </c>
      <c r="J2644" s="22">
        <v>204.19</v>
      </c>
      <c r="K2644" s="22">
        <v>0</v>
      </c>
      <c r="L2644" s="22">
        <v>204.19</v>
      </c>
      <c r="M2644" s="10"/>
      <c r="O2644" s="11"/>
    </row>
    <row r="2645" spans="1:15" x14ac:dyDescent="0.25">
      <c r="A2645" s="6"/>
      <c r="B2645" s="5"/>
      <c r="C2645" s="5"/>
      <c r="D2645" s="5" t="s">
        <v>345</v>
      </c>
      <c r="E2645" s="5" t="s">
        <v>346</v>
      </c>
      <c r="F2645" s="5" t="s">
        <v>556</v>
      </c>
      <c r="G2645" s="14">
        <f t="shared" ref="G2645:L2645" si="667">SUBTOTAL(9,G2643:G2644)</f>
        <v>1701.59</v>
      </c>
      <c r="H2645" s="14">
        <f t="shared" si="667"/>
        <v>0</v>
      </c>
      <c r="I2645" s="14">
        <f t="shared" si="667"/>
        <v>0</v>
      </c>
      <c r="J2645" s="14">
        <f t="shared" si="667"/>
        <v>204.19</v>
      </c>
      <c r="K2645" s="14">
        <f t="shared" si="667"/>
        <v>-34.03</v>
      </c>
      <c r="L2645" s="14">
        <f t="shared" si="667"/>
        <v>1871.75</v>
      </c>
      <c r="M2645" s="10">
        <v>2760</v>
      </c>
      <c r="N2645" s="69"/>
      <c r="O2645" s="11">
        <f>O2641+1</f>
        <v>641</v>
      </c>
    </row>
    <row r="2646" spans="1:15" s="4" customFormat="1" x14ac:dyDescent="0.25">
      <c r="A2646" s="10"/>
      <c r="B2646"/>
      <c r="C2646"/>
      <c r="D2646"/>
      <c r="E2646"/>
      <c r="F2646"/>
      <c r="G2646" s="21"/>
      <c r="H2646" s="21"/>
      <c r="I2646" s="21"/>
      <c r="J2646" s="21"/>
      <c r="K2646" s="21"/>
      <c r="L2646" s="21"/>
      <c r="M2646" s="10"/>
      <c r="N2646" s="67"/>
      <c r="O2646" s="11"/>
    </row>
    <row r="2647" spans="1:15" s="4" customFormat="1" x14ac:dyDescent="0.25">
      <c r="A2647" s="6">
        <v>1305</v>
      </c>
      <c r="B2647" s="5" t="s">
        <v>557</v>
      </c>
      <c r="C2647" s="5" t="s">
        <v>17</v>
      </c>
      <c r="D2647" s="5" t="s">
        <v>345</v>
      </c>
      <c r="E2647" s="5" t="s">
        <v>346</v>
      </c>
      <c r="F2647" s="5" t="s">
        <v>558</v>
      </c>
      <c r="G2647" s="22">
        <v>684.09</v>
      </c>
      <c r="H2647" s="22">
        <v>0</v>
      </c>
      <c r="I2647" s="22">
        <v>0</v>
      </c>
      <c r="J2647" s="22">
        <v>0</v>
      </c>
      <c r="K2647" s="22">
        <v>-13.68</v>
      </c>
      <c r="L2647" s="22">
        <v>670.41</v>
      </c>
      <c r="M2647" s="10"/>
      <c r="N2647" s="67"/>
      <c r="O2647" s="11"/>
    </row>
    <row r="2648" spans="1:15" s="4" customFormat="1" x14ac:dyDescent="0.25">
      <c r="A2648" s="6">
        <v>1306</v>
      </c>
      <c r="B2648" s="5" t="s">
        <v>557</v>
      </c>
      <c r="C2648" s="5" t="s">
        <v>13</v>
      </c>
      <c r="D2648" s="5" t="s">
        <v>345</v>
      </c>
      <c r="E2648" s="5" t="s">
        <v>346</v>
      </c>
      <c r="F2648" s="5" t="s">
        <v>558</v>
      </c>
      <c r="G2648" s="22">
        <v>0</v>
      </c>
      <c r="H2648" s="22">
        <v>0</v>
      </c>
      <c r="I2648" s="22">
        <v>0</v>
      </c>
      <c r="J2648" s="22">
        <v>82.09</v>
      </c>
      <c r="K2648" s="22">
        <v>0</v>
      </c>
      <c r="L2648" s="22">
        <v>82.09</v>
      </c>
      <c r="M2648" s="10"/>
      <c r="N2648" s="67"/>
      <c r="O2648" s="11"/>
    </row>
    <row r="2649" spans="1:15" x14ac:dyDescent="0.25">
      <c r="A2649" s="6"/>
      <c r="B2649" s="5"/>
      <c r="C2649" s="5"/>
      <c r="D2649" s="5" t="s">
        <v>345</v>
      </c>
      <c r="E2649" s="5" t="s">
        <v>346</v>
      </c>
      <c r="F2649" s="5" t="s">
        <v>558</v>
      </c>
      <c r="G2649" s="14">
        <f t="shared" ref="G2649:L2649" si="668">SUBTOTAL(9,G2647:G2648)</f>
        <v>684.09</v>
      </c>
      <c r="H2649" s="14">
        <f t="shared" si="668"/>
        <v>0</v>
      </c>
      <c r="I2649" s="14">
        <f t="shared" si="668"/>
        <v>0</v>
      </c>
      <c r="J2649" s="14">
        <f t="shared" si="668"/>
        <v>82.09</v>
      </c>
      <c r="K2649" s="14">
        <f t="shared" si="668"/>
        <v>-13.68</v>
      </c>
      <c r="L2649" s="14">
        <f t="shared" si="668"/>
        <v>752.5</v>
      </c>
      <c r="M2649" s="10">
        <v>2761</v>
      </c>
      <c r="N2649" s="69"/>
      <c r="O2649" s="11">
        <f>O2645+1</f>
        <v>642</v>
      </c>
    </row>
    <row r="2650" spans="1:15" x14ac:dyDescent="0.25">
      <c r="A2650" s="10"/>
      <c r="G2650" s="21"/>
      <c r="H2650" s="21"/>
      <c r="I2650" s="21"/>
      <c r="J2650" s="21"/>
      <c r="K2650" s="21"/>
      <c r="L2650" s="21"/>
      <c r="M2650" s="10"/>
      <c r="O2650" s="11"/>
    </row>
    <row r="2651" spans="1:15" s="4" customFormat="1" x14ac:dyDescent="0.25">
      <c r="A2651" s="6">
        <v>1307</v>
      </c>
      <c r="B2651" s="5" t="s">
        <v>18</v>
      </c>
      <c r="C2651" s="5" t="s">
        <v>17</v>
      </c>
      <c r="D2651" s="5" t="s">
        <v>345</v>
      </c>
      <c r="E2651" s="5" t="s">
        <v>346</v>
      </c>
      <c r="F2651" s="5" t="s">
        <v>19</v>
      </c>
      <c r="G2651" s="22">
        <v>5.59</v>
      </c>
      <c r="H2651" s="22">
        <v>0</v>
      </c>
      <c r="I2651" s="22">
        <v>0</v>
      </c>
      <c r="J2651" s="22">
        <v>0</v>
      </c>
      <c r="K2651" s="22">
        <v>-4.96</v>
      </c>
      <c r="L2651" s="22">
        <v>0.63</v>
      </c>
      <c r="M2651" s="10"/>
      <c r="N2651" s="67"/>
      <c r="O2651" s="11"/>
    </row>
    <row r="2652" spans="1:15" s="4" customFormat="1" x14ac:dyDescent="0.25">
      <c r="A2652" s="6"/>
      <c r="B2652" s="5"/>
      <c r="C2652" s="5"/>
      <c r="D2652" s="5" t="s">
        <v>345</v>
      </c>
      <c r="E2652" s="5" t="s">
        <v>346</v>
      </c>
      <c r="F2652" s="5" t="s">
        <v>19</v>
      </c>
      <c r="G2652" s="14">
        <f t="shared" ref="G2652:L2652" si="669">SUBTOTAL(9,G2651:G2651)</f>
        <v>5.59</v>
      </c>
      <c r="H2652" s="14">
        <f t="shared" si="669"/>
        <v>0</v>
      </c>
      <c r="I2652" s="14">
        <f t="shared" si="669"/>
        <v>0</v>
      </c>
      <c r="J2652" s="14">
        <f t="shared" si="669"/>
        <v>0</v>
      </c>
      <c r="K2652" s="14">
        <f t="shared" si="669"/>
        <v>-4.96</v>
      </c>
      <c r="L2652" s="14">
        <f t="shared" si="669"/>
        <v>0.63</v>
      </c>
      <c r="M2652" s="10">
        <v>2762</v>
      </c>
      <c r="N2652" s="69"/>
      <c r="O2652" s="11">
        <f>O2649+1</f>
        <v>643</v>
      </c>
    </row>
    <row r="2653" spans="1:15" s="4" customFormat="1" x14ac:dyDescent="0.25">
      <c r="A2653" s="10"/>
      <c r="B2653"/>
      <c r="C2653"/>
      <c r="D2653"/>
      <c r="E2653"/>
      <c r="F2653"/>
      <c r="G2653" s="21"/>
      <c r="H2653" s="21"/>
      <c r="I2653" s="21"/>
      <c r="J2653" s="21"/>
      <c r="K2653" s="21"/>
      <c r="L2653" s="21"/>
      <c r="M2653" s="10"/>
      <c r="N2653" s="67"/>
      <c r="O2653" s="11"/>
    </row>
    <row r="2654" spans="1:15" x14ac:dyDescent="0.25">
      <c r="A2654" s="6">
        <v>1308</v>
      </c>
      <c r="B2654" s="5" t="s">
        <v>550</v>
      </c>
      <c r="C2654" s="5" t="s">
        <v>17</v>
      </c>
      <c r="D2654" s="5" t="s">
        <v>345</v>
      </c>
      <c r="E2654" s="5" t="s">
        <v>346</v>
      </c>
      <c r="F2654" s="5" t="s">
        <v>551</v>
      </c>
      <c r="G2654" s="22">
        <v>223051.19</v>
      </c>
      <c r="H2654" s="22">
        <v>0</v>
      </c>
      <c r="I2654" s="22">
        <v>0</v>
      </c>
      <c r="J2654" s="22">
        <v>0</v>
      </c>
      <c r="K2654" s="22">
        <v>-4461.0200000000004</v>
      </c>
      <c r="L2654" s="22">
        <v>218590.17</v>
      </c>
      <c r="M2654" s="10"/>
      <c r="O2654" s="11"/>
    </row>
    <row r="2655" spans="1:15" x14ac:dyDescent="0.25">
      <c r="A2655" s="6">
        <v>1309</v>
      </c>
      <c r="B2655" s="5" t="s">
        <v>550</v>
      </c>
      <c r="C2655" s="5" t="s">
        <v>13</v>
      </c>
      <c r="D2655" s="5" t="s">
        <v>345</v>
      </c>
      <c r="E2655" s="5" t="s">
        <v>346</v>
      </c>
      <c r="F2655" s="5" t="s">
        <v>551</v>
      </c>
      <c r="G2655" s="22">
        <v>0</v>
      </c>
      <c r="H2655" s="22">
        <v>0</v>
      </c>
      <c r="I2655" s="22">
        <v>0</v>
      </c>
      <c r="J2655" s="22">
        <v>26766.14</v>
      </c>
      <c r="K2655" s="22">
        <v>0</v>
      </c>
      <c r="L2655" s="22">
        <v>26766.14</v>
      </c>
      <c r="M2655" s="10"/>
      <c r="O2655" s="11"/>
    </row>
    <row r="2656" spans="1:15" s="4" customFormat="1" x14ac:dyDescent="0.25">
      <c r="A2656" s="6"/>
      <c r="B2656" s="5"/>
      <c r="C2656" s="5"/>
      <c r="D2656" s="5" t="s">
        <v>345</v>
      </c>
      <c r="E2656" s="5" t="s">
        <v>346</v>
      </c>
      <c r="F2656" s="5" t="s">
        <v>551</v>
      </c>
      <c r="G2656" s="14">
        <f t="shared" ref="G2656:L2656" si="670">SUBTOTAL(9,G2654:G2655)</f>
        <v>223051.19</v>
      </c>
      <c r="H2656" s="14">
        <f t="shared" si="670"/>
        <v>0</v>
      </c>
      <c r="I2656" s="14">
        <f t="shared" si="670"/>
        <v>0</v>
      </c>
      <c r="J2656" s="14">
        <f t="shared" si="670"/>
        <v>26766.14</v>
      </c>
      <c r="K2656" s="14">
        <f t="shared" si="670"/>
        <v>-4461.0200000000004</v>
      </c>
      <c r="L2656" s="14">
        <f t="shared" si="670"/>
        <v>245356.31</v>
      </c>
      <c r="M2656" s="10">
        <v>2763</v>
      </c>
      <c r="N2656" s="69"/>
      <c r="O2656" s="11">
        <f>O2652+1</f>
        <v>644</v>
      </c>
    </row>
    <row r="2657" spans="1:15" s="4" customFormat="1" x14ac:dyDescent="0.25">
      <c r="A2657" s="10"/>
      <c r="B2657"/>
      <c r="C2657"/>
      <c r="D2657"/>
      <c r="E2657"/>
      <c r="F2657"/>
      <c r="G2657" s="21"/>
      <c r="H2657" s="21"/>
      <c r="I2657" s="21"/>
      <c r="J2657" s="21"/>
      <c r="K2657" s="21"/>
      <c r="L2657" s="21"/>
      <c r="M2657" s="10"/>
      <c r="N2657" s="67"/>
      <c r="O2657" s="11"/>
    </row>
    <row r="2658" spans="1:15" x14ac:dyDescent="0.25">
      <c r="A2658" s="6">
        <v>1310</v>
      </c>
      <c r="B2658" s="5" t="s">
        <v>550</v>
      </c>
      <c r="C2658" s="5" t="s">
        <v>17</v>
      </c>
      <c r="D2658" s="5" t="s">
        <v>345</v>
      </c>
      <c r="E2658" s="5" t="s">
        <v>346</v>
      </c>
      <c r="F2658" s="5" t="s">
        <v>552</v>
      </c>
      <c r="G2658" s="22">
        <v>16.04</v>
      </c>
      <c r="H2658" s="22">
        <v>0</v>
      </c>
      <c r="I2658" s="22">
        <v>0</v>
      </c>
      <c r="J2658" s="22">
        <v>0</v>
      </c>
      <c r="K2658" s="22">
        <v>-0.32</v>
      </c>
      <c r="L2658" s="22">
        <v>15.72</v>
      </c>
      <c r="M2658" s="10"/>
      <c r="O2658" s="11"/>
    </row>
    <row r="2659" spans="1:15" x14ac:dyDescent="0.25">
      <c r="A2659" s="6">
        <v>1311</v>
      </c>
      <c r="B2659" s="5" t="s">
        <v>550</v>
      </c>
      <c r="C2659" s="5" t="s">
        <v>13</v>
      </c>
      <c r="D2659" s="5" t="s">
        <v>345</v>
      </c>
      <c r="E2659" s="5" t="s">
        <v>346</v>
      </c>
      <c r="F2659" s="5" t="s">
        <v>552</v>
      </c>
      <c r="G2659" s="22">
        <v>0</v>
      </c>
      <c r="H2659" s="22">
        <v>0</v>
      </c>
      <c r="I2659" s="22">
        <v>0</v>
      </c>
      <c r="J2659" s="22">
        <v>1.92</v>
      </c>
      <c r="K2659" s="22">
        <v>0</v>
      </c>
      <c r="L2659" s="22">
        <v>1.92</v>
      </c>
      <c r="M2659" s="10"/>
      <c r="O2659" s="11"/>
    </row>
    <row r="2660" spans="1:15" s="4" customFormat="1" x14ac:dyDescent="0.25">
      <c r="A2660" s="6"/>
      <c r="B2660" s="5"/>
      <c r="C2660" s="5"/>
      <c r="D2660" s="5" t="s">
        <v>345</v>
      </c>
      <c r="E2660" s="5" t="s">
        <v>346</v>
      </c>
      <c r="F2660" s="5" t="s">
        <v>552</v>
      </c>
      <c r="G2660" s="14">
        <f t="shared" ref="G2660:L2660" si="671">SUBTOTAL(9,G2658:G2659)</f>
        <v>16.04</v>
      </c>
      <c r="H2660" s="14">
        <f t="shared" si="671"/>
        <v>0</v>
      </c>
      <c r="I2660" s="14">
        <f t="shared" si="671"/>
        <v>0</v>
      </c>
      <c r="J2660" s="14">
        <f t="shared" si="671"/>
        <v>1.92</v>
      </c>
      <c r="K2660" s="14">
        <f t="shared" si="671"/>
        <v>-0.32</v>
      </c>
      <c r="L2660" s="14">
        <f t="shared" si="671"/>
        <v>17.64</v>
      </c>
      <c r="M2660" s="10">
        <v>2764</v>
      </c>
      <c r="N2660" s="69"/>
      <c r="O2660" s="11">
        <f>O2656+1</f>
        <v>645</v>
      </c>
    </row>
    <row r="2661" spans="1:15" x14ac:dyDescent="0.25">
      <c r="A2661" s="10"/>
      <c r="G2661" s="21"/>
      <c r="H2661" s="21"/>
      <c r="I2661" s="21"/>
      <c r="J2661" s="21"/>
      <c r="K2661" s="21"/>
      <c r="L2661" s="21"/>
      <c r="M2661" s="10"/>
      <c r="O2661" s="11"/>
    </row>
    <row r="2662" spans="1:15" x14ac:dyDescent="0.25">
      <c r="A2662" s="6">
        <v>1312</v>
      </c>
      <c r="B2662" s="5" t="s">
        <v>555</v>
      </c>
      <c r="C2662" s="5" t="s">
        <v>17</v>
      </c>
      <c r="D2662" s="5" t="s">
        <v>347</v>
      </c>
      <c r="E2662" s="5" t="s">
        <v>348</v>
      </c>
      <c r="F2662" s="5" t="s">
        <v>556</v>
      </c>
      <c r="G2662" s="22">
        <v>1383.41</v>
      </c>
      <c r="H2662" s="22">
        <v>0</v>
      </c>
      <c r="I2662" s="22">
        <v>0</v>
      </c>
      <c r="J2662" s="22">
        <v>0</v>
      </c>
      <c r="K2662" s="22">
        <v>-27.67</v>
      </c>
      <c r="L2662" s="22">
        <v>1355.74</v>
      </c>
      <c r="M2662" s="10"/>
      <c r="O2662" s="11"/>
    </row>
    <row r="2663" spans="1:15" s="4" customFormat="1" x14ac:dyDescent="0.25">
      <c r="A2663" s="6">
        <v>1313</v>
      </c>
      <c r="B2663" s="5" t="s">
        <v>555</v>
      </c>
      <c r="C2663" s="5" t="s">
        <v>13</v>
      </c>
      <c r="D2663" s="5" t="s">
        <v>347</v>
      </c>
      <c r="E2663" s="5" t="s">
        <v>348</v>
      </c>
      <c r="F2663" s="5" t="s">
        <v>556</v>
      </c>
      <c r="G2663" s="22">
        <v>0</v>
      </c>
      <c r="H2663" s="22">
        <v>0</v>
      </c>
      <c r="I2663" s="22">
        <v>0</v>
      </c>
      <c r="J2663" s="22">
        <v>57.19</v>
      </c>
      <c r="K2663" s="22">
        <v>0</v>
      </c>
      <c r="L2663" s="22">
        <v>57.19</v>
      </c>
      <c r="M2663" s="10"/>
      <c r="N2663" s="67"/>
      <c r="O2663" s="11"/>
    </row>
    <row r="2664" spans="1:15" x14ac:dyDescent="0.25">
      <c r="A2664" s="6"/>
      <c r="B2664" s="5"/>
      <c r="C2664" s="5"/>
      <c r="D2664" s="5" t="s">
        <v>347</v>
      </c>
      <c r="E2664" s="5" t="s">
        <v>348</v>
      </c>
      <c r="F2664" s="5" t="s">
        <v>556</v>
      </c>
      <c r="G2664" s="14">
        <f t="shared" ref="G2664:L2664" si="672">SUBTOTAL(9,G2662:G2663)</f>
        <v>1383.41</v>
      </c>
      <c r="H2664" s="14">
        <f t="shared" si="672"/>
        <v>0</v>
      </c>
      <c r="I2664" s="14">
        <f t="shared" si="672"/>
        <v>0</v>
      </c>
      <c r="J2664" s="14">
        <f t="shared" si="672"/>
        <v>57.19</v>
      </c>
      <c r="K2664" s="14">
        <f t="shared" si="672"/>
        <v>-27.67</v>
      </c>
      <c r="L2664" s="14">
        <f t="shared" si="672"/>
        <v>1412.93</v>
      </c>
      <c r="M2664" s="10">
        <v>2765</v>
      </c>
      <c r="N2664" s="69"/>
      <c r="O2664" s="11">
        <f>O2660+1</f>
        <v>646</v>
      </c>
    </row>
    <row r="2665" spans="1:15" x14ac:dyDescent="0.25">
      <c r="A2665" s="10"/>
      <c r="G2665" s="21"/>
      <c r="H2665" s="21"/>
      <c r="I2665" s="21"/>
      <c r="J2665" s="21"/>
      <c r="K2665" s="21"/>
      <c r="L2665" s="21"/>
      <c r="M2665" s="10"/>
      <c r="O2665" s="11"/>
    </row>
    <row r="2666" spans="1:15" s="4" customFormat="1" x14ac:dyDescent="0.25">
      <c r="A2666" s="6">
        <v>1314</v>
      </c>
      <c r="B2666" s="5" t="s">
        <v>557</v>
      </c>
      <c r="C2666" s="5" t="s">
        <v>17</v>
      </c>
      <c r="D2666" s="5" t="s">
        <v>347</v>
      </c>
      <c r="E2666" s="5" t="s">
        <v>348</v>
      </c>
      <c r="F2666" s="5" t="s">
        <v>558</v>
      </c>
      <c r="G2666" s="22">
        <v>1005.74</v>
      </c>
      <c r="H2666" s="22">
        <v>0</v>
      </c>
      <c r="I2666" s="22">
        <v>0</v>
      </c>
      <c r="J2666" s="22">
        <v>0</v>
      </c>
      <c r="K2666" s="22">
        <v>-20.11</v>
      </c>
      <c r="L2666" s="22">
        <v>985.63</v>
      </c>
      <c r="M2666" s="10"/>
      <c r="N2666" s="67"/>
      <c r="O2666" s="11"/>
    </row>
    <row r="2667" spans="1:15" s="4" customFormat="1" x14ac:dyDescent="0.25">
      <c r="A2667" s="6">
        <v>1315</v>
      </c>
      <c r="B2667" s="5" t="s">
        <v>557</v>
      </c>
      <c r="C2667" s="5" t="s">
        <v>13</v>
      </c>
      <c r="D2667" s="5" t="s">
        <v>347</v>
      </c>
      <c r="E2667" s="5" t="s">
        <v>348</v>
      </c>
      <c r="F2667" s="5" t="s">
        <v>558</v>
      </c>
      <c r="G2667" s="22">
        <v>0</v>
      </c>
      <c r="H2667" s="22">
        <v>0</v>
      </c>
      <c r="I2667" s="22">
        <v>0</v>
      </c>
      <c r="J2667" s="22">
        <v>120.69</v>
      </c>
      <c r="K2667" s="22">
        <v>0</v>
      </c>
      <c r="L2667" s="22">
        <v>120.69</v>
      </c>
      <c r="M2667" s="10"/>
      <c r="N2667" s="67"/>
      <c r="O2667" s="11"/>
    </row>
    <row r="2668" spans="1:15" s="4" customFormat="1" x14ac:dyDescent="0.25">
      <c r="A2668" s="6"/>
      <c r="B2668" s="5"/>
      <c r="C2668" s="5"/>
      <c r="D2668" s="5" t="s">
        <v>347</v>
      </c>
      <c r="E2668" s="5" t="s">
        <v>348</v>
      </c>
      <c r="F2668" s="5" t="s">
        <v>558</v>
      </c>
      <c r="G2668" s="14">
        <f t="shared" ref="G2668:L2668" si="673">SUBTOTAL(9,G2666:G2667)</f>
        <v>1005.74</v>
      </c>
      <c r="H2668" s="14">
        <f t="shared" si="673"/>
        <v>0</v>
      </c>
      <c r="I2668" s="14">
        <f t="shared" si="673"/>
        <v>0</v>
      </c>
      <c r="J2668" s="14">
        <f t="shared" si="673"/>
        <v>120.69</v>
      </c>
      <c r="K2668" s="14">
        <f t="shared" si="673"/>
        <v>-20.11</v>
      </c>
      <c r="L2668" s="14">
        <f t="shared" si="673"/>
        <v>1106.32</v>
      </c>
      <c r="M2668" s="10">
        <v>2766</v>
      </c>
      <c r="N2668" s="69"/>
      <c r="O2668" s="11">
        <f>O2664+1</f>
        <v>647</v>
      </c>
    </row>
    <row r="2669" spans="1:15" x14ac:dyDescent="0.25">
      <c r="A2669" s="10"/>
      <c r="G2669" s="21"/>
      <c r="H2669" s="21"/>
      <c r="I2669" s="21"/>
      <c r="J2669" s="21"/>
      <c r="K2669" s="21"/>
      <c r="L2669" s="21"/>
      <c r="M2669" s="10"/>
      <c r="O2669" s="11"/>
    </row>
    <row r="2670" spans="1:15" x14ac:dyDescent="0.25">
      <c r="A2670" s="6">
        <v>1316</v>
      </c>
      <c r="B2670" s="5" t="s">
        <v>37</v>
      </c>
      <c r="C2670" s="5" t="s">
        <v>13</v>
      </c>
      <c r="D2670" s="5" t="s">
        <v>347</v>
      </c>
      <c r="E2670" s="5" t="s">
        <v>348</v>
      </c>
      <c r="F2670" s="5" t="s">
        <v>38</v>
      </c>
      <c r="G2670" s="22">
        <v>0</v>
      </c>
      <c r="H2670" s="22">
        <v>0</v>
      </c>
      <c r="I2670" s="22">
        <v>0</v>
      </c>
      <c r="J2670" s="22">
        <v>4.1100000000000003</v>
      </c>
      <c r="K2670" s="22">
        <v>0</v>
      </c>
      <c r="L2670" s="22">
        <v>4.1100000000000003</v>
      </c>
      <c r="M2670" s="10"/>
      <c r="O2670" s="11"/>
    </row>
    <row r="2671" spans="1:15" s="4" customFormat="1" x14ac:dyDescent="0.25">
      <c r="A2671" s="6"/>
      <c r="B2671" s="5"/>
      <c r="C2671" s="5"/>
      <c r="D2671" s="5" t="s">
        <v>347</v>
      </c>
      <c r="E2671" s="5" t="s">
        <v>348</v>
      </c>
      <c r="F2671" s="5" t="s">
        <v>38</v>
      </c>
      <c r="G2671" s="14">
        <f t="shared" ref="G2671:L2671" si="674">SUBTOTAL(9,G2670:G2670)</f>
        <v>0</v>
      </c>
      <c r="H2671" s="14">
        <f t="shared" si="674"/>
        <v>0</v>
      </c>
      <c r="I2671" s="14">
        <f t="shared" si="674"/>
        <v>0</v>
      </c>
      <c r="J2671" s="14">
        <f t="shared" si="674"/>
        <v>4.1100000000000003</v>
      </c>
      <c r="K2671" s="14">
        <f t="shared" si="674"/>
        <v>0</v>
      </c>
      <c r="L2671" s="14">
        <f t="shared" si="674"/>
        <v>4.1100000000000003</v>
      </c>
      <c r="M2671" s="10">
        <v>2767</v>
      </c>
      <c r="N2671" s="69"/>
      <c r="O2671" s="11">
        <f>O2668+1</f>
        <v>648</v>
      </c>
    </row>
    <row r="2672" spans="1:15" s="4" customFormat="1" x14ac:dyDescent="0.25">
      <c r="A2672" s="10"/>
      <c r="B2672"/>
      <c r="C2672"/>
      <c r="D2672"/>
      <c r="E2672"/>
      <c r="F2672"/>
      <c r="G2672" s="21"/>
      <c r="H2672" s="21"/>
      <c r="I2672" s="21"/>
      <c r="J2672" s="21"/>
      <c r="K2672" s="21"/>
      <c r="L2672" s="21"/>
      <c r="M2672" s="10"/>
      <c r="N2672" s="67"/>
      <c r="O2672" s="11"/>
    </row>
    <row r="2673" spans="1:15" s="4" customFormat="1" x14ac:dyDescent="0.25">
      <c r="A2673" s="6">
        <v>1317</v>
      </c>
      <c r="B2673" s="5" t="s">
        <v>18</v>
      </c>
      <c r="C2673" s="5" t="s">
        <v>17</v>
      </c>
      <c r="D2673" s="5" t="s">
        <v>347</v>
      </c>
      <c r="E2673" s="5" t="s">
        <v>348</v>
      </c>
      <c r="F2673" s="5" t="s">
        <v>19</v>
      </c>
      <c r="G2673" s="22">
        <v>3.87</v>
      </c>
      <c r="H2673" s="22">
        <v>0</v>
      </c>
      <c r="I2673" s="22">
        <v>0</v>
      </c>
      <c r="J2673" s="22">
        <v>0</v>
      </c>
      <c r="K2673" s="22">
        <v>-3.44</v>
      </c>
      <c r="L2673" s="22">
        <v>0.43</v>
      </c>
      <c r="M2673" s="10"/>
      <c r="N2673" s="67"/>
      <c r="O2673" s="11"/>
    </row>
    <row r="2674" spans="1:15" x14ac:dyDescent="0.25">
      <c r="A2674" s="6"/>
      <c r="B2674" s="5"/>
      <c r="C2674" s="5"/>
      <c r="D2674" s="5" t="s">
        <v>347</v>
      </c>
      <c r="E2674" s="5" t="s">
        <v>348</v>
      </c>
      <c r="F2674" s="5" t="s">
        <v>19</v>
      </c>
      <c r="G2674" s="14">
        <f t="shared" ref="G2674:L2674" si="675">SUBTOTAL(9,G2673:G2673)</f>
        <v>3.87</v>
      </c>
      <c r="H2674" s="14">
        <f t="shared" si="675"/>
        <v>0</v>
      </c>
      <c r="I2674" s="14">
        <f t="shared" si="675"/>
        <v>0</v>
      </c>
      <c r="J2674" s="14">
        <f t="shared" si="675"/>
        <v>0</v>
      </c>
      <c r="K2674" s="14">
        <f t="shared" si="675"/>
        <v>-3.44</v>
      </c>
      <c r="L2674" s="14">
        <f t="shared" si="675"/>
        <v>0.43</v>
      </c>
      <c r="M2674" s="10">
        <v>2768</v>
      </c>
      <c r="N2674" s="69"/>
      <c r="O2674" s="11">
        <f>O2671+1</f>
        <v>649</v>
      </c>
    </row>
    <row r="2675" spans="1:15" x14ac:dyDescent="0.25">
      <c r="A2675" s="10"/>
      <c r="G2675" s="21"/>
      <c r="H2675" s="21"/>
      <c r="I2675" s="21"/>
      <c r="J2675" s="21"/>
      <c r="K2675" s="21"/>
      <c r="L2675" s="21"/>
      <c r="M2675" s="10"/>
      <c r="O2675" s="11"/>
    </row>
    <row r="2676" spans="1:15" s="4" customFormat="1" x14ac:dyDescent="0.25">
      <c r="A2676" s="6">
        <v>1318</v>
      </c>
      <c r="B2676" s="5" t="s">
        <v>550</v>
      </c>
      <c r="C2676" s="5" t="s">
        <v>17</v>
      </c>
      <c r="D2676" s="5" t="s">
        <v>347</v>
      </c>
      <c r="E2676" s="5" t="s">
        <v>348</v>
      </c>
      <c r="F2676" s="5" t="s">
        <v>551</v>
      </c>
      <c r="G2676" s="22">
        <v>159653.57999999999</v>
      </c>
      <c r="H2676" s="22">
        <v>0</v>
      </c>
      <c r="I2676" s="22">
        <v>0</v>
      </c>
      <c r="J2676" s="22">
        <v>0</v>
      </c>
      <c r="K2676" s="22">
        <v>-3193.07</v>
      </c>
      <c r="L2676" s="22">
        <v>156460.51</v>
      </c>
      <c r="M2676" s="10"/>
      <c r="N2676" s="67"/>
      <c r="O2676" s="11"/>
    </row>
    <row r="2677" spans="1:15" s="4" customFormat="1" x14ac:dyDescent="0.25">
      <c r="A2677" s="6">
        <v>1319</v>
      </c>
      <c r="B2677" s="5" t="s">
        <v>550</v>
      </c>
      <c r="C2677" s="5" t="s">
        <v>13</v>
      </c>
      <c r="D2677" s="5" t="s">
        <v>347</v>
      </c>
      <c r="E2677" s="5" t="s">
        <v>348</v>
      </c>
      <c r="F2677" s="5" t="s">
        <v>551</v>
      </c>
      <c r="G2677" s="22">
        <v>0</v>
      </c>
      <c r="H2677" s="22">
        <v>0</v>
      </c>
      <c r="I2677" s="22">
        <v>0</v>
      </c>
      <c r="J2677" s="22">
        <v>19158.43</v>
      </c>
      <c r="K2677" s="22">
        <v>0</v>
      </c>
      <c r="L2677" s="22">
        <v>19158.43</v>
      </c>
      <c r="M2677" s="10"/>
      <c r="N2677" s="67"/>
      <c r="O2677" s="11"/>
    </row>
    <row r="2678" spans="1:15" s="4" customFormat="1" x14ac:dyDescent="0.25">
      <c r="A2678" s="6"/>
      <c r="B2678" s="5"/>
      <c r="C2678" s="5"/>
      <c r="D2678" s="5" t="s">
        <v>347</v>
      </c>
      <c r="E2678" s="5" t="s">
        <v>348</v>
      </c>
      <c r="F2678" s="5" t="s">
        <v>551</v>
      </c>
      <c r="G2678" s="14">
        <f t="shared" ref="G2678:L2678" si="676">SUBTOTAL(9,G2676:G2677)</f>
        <v>159653.57999999999</v>
      </c>
      <c r="H2678" s="14">
        <f t="shared" si="676"/>
        <v>0</v>
      </c>
      <c r="I2678" s="14">
        <f t="shared" si="676"/>
        <v>0</v>
      </c>
      <c r="J2678" s="14">
        <f t="shared" si="676"/>
        <v>19158.43</v>
      </c>
      <c r="K2678" s="14">
        <f t="shared" si="676"/>
        <v>-3193.07</v>
      </c>
      <c r="L2678" s="14">
        <f t="shared" si="676"/>
        <v>175618.94</v>
      </c>
      <c r="M2678" s="10">
        <v>2769</v>
      </c>
      <c r="N2678" s="69"/>
      <c r="O2678" s="11">
        <f>O2674+1</f>
        <v>650</v>
      </c>
    </row>
    <row r="2679" spans="1:15" x14ac:dyDescent="0.25">
      <c r="A2679" s="10"/>
      <c r="G2679" s="21"/>
      <c r="H2679" s="21"/>
      <c r="I2679" s="21"/>
      <c r="J2679" s="21"/>
      <c r="K2679" s="21"/>
      <c r="L2679" s="21"/>
      <c r="M2679" s="10"/>
      <c r="O2679" s="11"/>
    </row>
    <row r="2680" spans="1:15" x14ac:dyDescent="0.25">
      <c r="A2680" s="6">
        <v>1320</v>
      </c>
      <c r="B2680" s="5" t="s">
        <v>550</v>
      </c>
      <c r="C2680" s="5" t="s">
        <v>17</v>
      </c>
      <c r="D2680" s="5" t="s">
        <v>347</v>
      </c>
      <c r="E2680" s="5" t="s">
        <v>348</v>
      </c>
      <c r="F2680" s="5" t="s">
        <v>552</v>
      </c>
      <c r="G2680" s="22">
        <v>11.48</v>
      </c>
      <c r="H2680" s="22">
        <v>0</v>
      </c>
      <c r="I2680" s="22">
        <v>0</v>
      </c>
      <c r="J2680" s="22">
        <v>0</v>
      </c>
      <c r="K2680" s="22">
        <v>-0.23</v>
      </c>
      <c r="L2680" s="22">
        <v>11.25</v>
      </c>
      <c r="M2680" s="10"/>
      <c r="O2680" s="11"/>
    </row>
    <row r="2681" spans="1:15" s="4" customFormat="1" x14ac:dyDescent="0.25">
      <c r="A2681" s="6">
        <v>1321</v>
      </c>
      <c r="B2681" s="5" t="s">
        <v>550</v>
      </c>
      <c r="C2681" s="5" t="s">
        <v>13</v>
      </c>
      <c r="D2681" s="5" t="s">
        <v>347</v>
      </c>
      <c r="E2681" s="5" t="s">
        <v>348</v>
      </c>
      <c r="F2681" s="5" t="s">
        <v>552</v>
      </c>
      <c r="G2681" s="22">
        <v>0</v>
      </c>
      <c r="H2681" s="22">
        <v>0</v>
      </c>
      <c r="I2681" s="22">
        <v>0</v>
      </c>
      <c r="J2681" s="22">
        <v>1.38</v>
      </c>
      <c r="K2681" s="22">
        <v>0</v>
      </c>
      <c r="L2681" s="22">
        <v>1.38</v>
      </c>
      <c r="M2681" s="10"/>
      <c r="N2681" s="67"/>
      <c r="O2681" s="11"/>
    </row>
    <row r="2682" spans="1:15" s="4" customFormat="1" x14ac:dyDescent="0.25">
      <c r="A2682" s="6"/>
      <c r="B2682" s="5"/>
      <c r="C2682" s="5"/>
      <c r="D2682" s="5" t="s">
        <v>347</v>
      </c>
      <c r="E2682" s="5" t="s">
        <v>348</v>
      </c>
      <c r="F2682" s="5" t="s">
        <v>552</v>
      </c>
      <c r="G2682" s="14">
        <f t="shared" ref="G2682:L2682" si="677">SUBTOTAL(9,G2680:G2681)</f>
        <v>11.48</v>
      </c>
      <c r="H2682" s="14">
        <f t="shared" si="677"/>
        <v>0</v>
      </c>
      <c r="I2682" s="14">
        <f t="shared" si="677"/>
        <v>0</v>
      </c>
      <c r="J2682" s="14">
        <f t="shared" si="677"/>
        <v>1.38</v>
      </c>
      <c r="K2682" s="14">
        <f t="shared" si="677"/>
        <v>-0.23</v>
      </c>
      <c r="L2682" s="14">
        <f t="shared" si="677"/>
        <v>12.629999999999999</v>
      </c>
      <c r="M2682" s="10">
        <v>2770</v>
      </c>
      <c r="N2682" s="69"/>
      <c r="O2682" s="11">
        <f>O2678+1</f>
        <v>651</v>
      </c>
    </row>
    <row r="2683" spans="1:15" x14ac:dyDescent="0.25">
      <c r="A2683" s="10"/>
      <c r="G2683" s="21"/>
      <c r="H2683" s="21"/>
      <c r="I2683" s="21"/>
      <c r="J2683" s="21"/>
      <c r="K2683" s="21"/>
      <c r="L2683" s="21"/>
      <c r="M2683" s="10"/>
      <c r="O2683" s="11"/>
    </row>
    <row r="2684" spans="1:15" x14ac:dyDescent="0.25">
      <c r="A2684" s="6">
        <v>1322</v>
      </c>
      <c r="B2684" s="5" t="s">
        <v>555</v>
      </c>
      <c r="C2684" s="5" t="s">
        <v>17</v>
      </c>
      <c r="D2684" s="5" t="s">
        <v>349</v>
      </c>
      <c r="E2684" s="5" t="s">
        <v>350</v>
      </c>
      <c r="F2684" s="5" t="s">
        <v>556</v>
      </c>
      <c r="G2684" s="22">
        <v>519.62</v>
      </c>
      <c r="H2684" s="22">
        <v>0</v>
      </c>
      <c r="I2684" s="22">
        <v>0</v>
      </c>
      <c r="J2684" s="22">
        <v>0</v>
      </c>
      <c r="K2684" s="22">
        <v>-10.39</v>
      </c>
      <c r="L2684" s="22">
        <v>509.23</v>
      </c>
      <c r="M2684" s="10"/>
      <c r="O2684" s="11"/>
    </row>
    <row r="2685" spans="1:15" s="4" customFormat="1" x14ac:dyDescent="0.25">
      <c r="A2685" s="6">
        <v>1323</v>
      </c>
      <c r="B2685" s="5" t="s">
        <v>555</v>
      </c>
      <c r="C2685" s="5" t="s">
        <v>13</v>
      </c>
      <c r="D2685" s="5" t="s">
        <v>349</v>
      </c>
      <c r="E2685" s="5" t="s">
        <v>350</v>
      </c>
      <c r="F2685" s="5" t="s">
        <v>556</v>
      </c>
      <c r="G2685" s="22">
        <v>0</v>
      </c>
      <c r="H2685" s="22">
        <v>0</v>
      </c>
      <c r="I2685" s="22">
        <v>0</v>
      </c>
      <c r="J2685" s="22">
        <v>62.35</v>
      </c>
      <c r="K2685" s="22">
        <v>0</v>
      </c>
      <c r="L2685" s="22">
        <v>62.35</v>
      </c>
      <c r="M2685" s="10"/>
      <c r="N2685" s="67"/>
      <c r="O2685" s="11"/>
    </row>
    <row r="2686" spans="1:15" x14ac:dyDescent="0.25">
      <c r="A2686" s="6"/>
      <c r="B2686" s="5"/>
      <c r="C2686" s="5"/>
      <c r="D2686" s="5" t="s">
        <v>349</v>
      </c>
      <c r="E2686" s="5" t="s">
        <v>350</v>
      </c>
      <c r="F2686" s="5" t="s">
        <v>556</v>
      </c>
      <c r="G2686" s="14">
        <f t="shared" ref="G2686:L2686" si="678">SUBTOTAL(9,G2684:G2685)</f>
        <v>519.62</v>
      </c>
      <c r="H2686" s="14">
        <f t="shared" si="678"/>
        <v>0</v>
      </c>
      <c r="I2686" s="14">
        <f t="shared" si="678"/>
        <v>0</v>
      </c>
      <c r="J2686" s="14">
        <f t="shared" si="678"/>
        <v>62.35</v>
      </c>
      <c r="K2686" s="14">
        <f t="shared" si="678"/>
        <v>-10.39</v>
      </c>
      <c r="L2686" s="14">
        <f t="shared" si="678"/>
        <v>571.58000000000004</v>
      </c>
      <c r="M2686" s="10">
        <v>2771</v>
      </c>
      <c r="N2686" s="69"/>
      <c r="O2686" s="11">
        <f>O2682+1</f>
        <v>652</v>
      </c>
    </row>
    <row r="2687" spans="1:15" x14ac:dyDescent="0.25">
      <c r="A2687" s="10"/>
      <c r="G2687" s="21"/>
      <c r="H2687" s="21"/>
      <c r="I2687" s="21"/>
      <c r="J2687" s="21"/>
      <c r="K2687" s="21"/>
      <c r="L2687" s="21"/>
      <c r="M2687" s="10"/>
      <c r="O2687" s="11"/>
    </row>
    <row r="2688" spans="1:15" s="4" customFormat="1" x14ac:dyDescent="0.25">
      <c r="A2688" s="6">
        <v>1324</v>
      </c>
      <c r="B2688" s="5" t="s">
        <v>557</v>
      </c>
      <c r="C2688" s="5" t="s">
        <v>17</v>
      </c>
      <c r="D2688" s="5" t="s">
        <v>349</v>
      </c>
      <c r="E2688" s="5" t="s">
        <v>350</v>
      </c>
      <c r="F2688" s="5" t="s">
        <v>558</v>
      </c>
      <c r="G2688" s="22">
        <v>128.84</v>
      </c>
      <c r="H2688" s="22">
        <v>0</v>
      </c>
      <c r="I2688" s="22">
        <v>0</v>
      </c>
      <c r="J2688" s="22">
        <v>0</v>
      </c>
      <c r="K2688" s="22">
        <v>-2.58</v>
      </c>
      <c r="L2688" s="22">
        <v>126.26</v>
      </c>
      <c r="M2688" s="10"/>
      <c r="N2688" s="67"/>
      <c r="O2688" s="11"/>
    </row>
    <row r="2689" spans="1:15" x14ac:dyDescent="0.25">
      <c r="A2689" s="6">
        <v>1325</v>
      </c>
      <c r="B2689" s="5" t="s">
        <v>557</v>
      </c>
      <c r="C2689" s="5" t="s">
        <v>13</v>
      </c>
      <c r="D2689" s="5" t="s">
        <v>349</v>
      </c>
      <c r="E2689" s="5" t="s">
        <v>350</v>
      </c>
      <c r="F2689" s="5" t="s">
        <v>558</v>
      </c>
      <c r="G2689" s="22">
        <v>0</v>
      </c>
      <c r="H2689" s="22">
        <v>0</v>
      </c>
      <c r="I2689" s="22">
        <v>0</v>
      </c>
      <c r="J2689" s="22">
        <v>15.46</v>
      </c>
      <c r="K2689" s="22">
        <v>0</v>
      </c>
      <c r="L2689" s="22">
        <v>15.46</v>
      </c>
      <c r="M2689" s="10"/>
      <c r="O2689" s="11"/>
    </row>
    <row r="2690" spans="1:15" x14ac:dyDescent="0.25">
      <c r="A2690" s="6"/>
      <c r="B2690" s="5"/>
      <c r="C2690" s="5"/>
      <c r="D2690" s="5" t="s">
        <v>349</v>
      </c>
      <c r="E2690" s="5" t="s">
        <v>350</v>
      </c>
      <c r="F2690" s="5" t="s">
        <v>558</v>
      </c>
      <c r="G2690" s="14">
        <f t="shared" ref="G2690:L2690" si="679">SUBTOTAL(9,G2688:G2689)</f>
        <v>128.84</v>
      </c>
      <c r="H2690" s="14">
        <f t="shared" si="679"/>
        <v>0</v>
      </c>
      <c r="I2690" s="14">
        <f t="shared" si="679"/>
        <v>0</v>
      </c>
      <c r="J2690" s="14">
        <f t="shared" si="679"/>
        <v>15.46</v>
      </c>
      <c r="K2690" s="14">
        <f t="shared" si="679"/>
        <v>-2.58</v>
      </c>
      <c r="L2690" s="14">
        <f t="shared" si="679"/>
        <v>141.72</v>
      </c>
      <c r="M2690" s="10">
        <v>2772</v>
      </c>
      <c r="N2690" s="69"/>
      <c r="O2690" s="11">
        <f>O2686+1</f>
        <v>653</v>
      </c>
    </row>
    <row r="2691" spans="1:15" s="4" customFormat="1" x14ac:dyDescent="0.25">
      <c r="A2691" s="10"/>
      <c r="B2691"/>
      <c r="C2691"/>
      <c r="D2691"/>
      <c r="E2691"/>
      <c r="F2691"/>
      <c r="G2691" s="21"/>
      <c r="H2691" s="21"/>
      <c r="I2691" s="21"/>
      <c r="J2691" s="21"/>
      <c r="K2691" s="21"/>
      <c r="L2691" s="21"/>
      <c r="M2691" s="10"/>
      <c r="N2691" s="67"/>
      <c r="O2691" s="11"/>
    </row>
    <row r="2692" spans="1:15" s="4" customFormat="1" x14ac:dyDescent="0.25">
      <c r="A2692" s="6">
        <v>1326</v>
      </c>
      <c r="B2692" s="5" t="s">
        <v>37</v>
      </c>
      <c r="C2692" s="5" t="s">
        <v>17</v>
      </c>
      <c r="D2692" s="5" t="s">
        <v>349</v>
      </c>
      <c r="E2692" s="5" t="s">
        <v>350</v>
      </c>
      <c r="F2692" s="5" t="s">
        <v>38</v>
      </c>
      <c r="G2692" s="22">
        <v>4.63</v>
      </c>
      <c r="H2692" s="22">
        <v>0</v>
      </c>
      <c r="I2692" s="22">
        <v>0</v>
      </c>
      <c r="J2692" s="22">
        <v>0</v>
      </c>
      <c r="K2692" s="22">
        <v>-0.09</v>
      </c>
      <c r="L2692" s="22">
        <v>4.54</v>
      </c>
      <c r="M2692" s="10"/>
      <c r="N2692" s="67"/>
      <c r="O2692" s="11"/>
    </row>
    <row r="2693" spans="1:15" s="4" customFormat="1" x14ac:dyDescent="0.25">
      <c r="A2693" s="6">
        <v>1327</v>
      </c>
      <c r="B2693" s="5" t="s">
        <v>37</v>
      </c>
      <c r="C2693" s="5" t="s">
        <v>49</v>
      </c>
      <c r="D2693" s="5" t="s">
        <v>349</v>
      </c>
      <c r="E2693" s="5" t="s">
        <v>350</v>
      </c>
      <c r="F2693" s="5" t="s">
        <v>38</v>
      </c>
      <c r="G2693" s="22">
        <v>0.01</v>
      </c>
      <c r="H2693" s="22">
        <v>0</v>
      </c>
      <c r="I2693" s="22">
        <v>0</v>
      </c>
      <c r="J2693" s="22">
        <v>0</v>
      </c>
      <c r="K2693" s="22">
        <v>0</v>
      </c>
      <c r="L2693" s="22">
        <v>0.01</v>
      </c>
      <c r="M2693" s="10"/>
      <c r="N2693" s="70">
        <v>0.01</v>
      </c>
      <c r="O2693" s="11"/>
    </row>
    <row r="2694" spans="1:15" x14ac:dyDescent="0.25">
      <c r="A2694" s="6">
        <v>1328</v>
      </c>
      <c r="B2694" s="5" t="s">
        <v>37</v>
      </c>
      <c r="C2694" s="5" t="s">
        <v>13</v>
      </c>
      <c r="D2694" s="5" t="s">
        <v>349</v>
      </c>
      <c r="E2694" s="5" t="s">
        <v>350</v>
      </c>
      <c r="F2694" s="5" t="s">
        <v>38</v>
      </c>
      <c r="G2694" s="22">
        <v>0</v>
      </c>
      <c r="H2694" s="45">
        <v>0</v>
      </c>
      <c r="I2694" s="22">
        <v>0</v>
      </c>
      <c r="J2694" s="22">
        <v>0.55000000000000004</v>
      </c>
      <c r="K2694" s="22">
        <v>0</v>
      </c>
      <c r="L2694" s="22">
        <v>0.55000000000000004</v>
      </c>
      <c r="M2694" s="10"/>
      <c r="O2694" s="11"/>
    </row>
    <row r="2695" spans="1:15" x14ac:dyDescent="0.25">
      <c r="A2695" s="6"/>
      <c r="B2695" s="5"/>
      <c r="C2695" s="5"/>
      <c r="D2695" s="5" t="s">
        <v>349</v>
      </c>
      <c r="E2695" s="5" t="s">
        <v>350</v>
      </c>
      <c r="F2695" s="5" t="s">
        <v>38</v>
      </c>
      <c r="G2695" s="46">
        <f t="shared" ref="G2695:L2695" si="680">SUBTOTAL(9,G2692:G2694)</f>
        <v>4.6399999999999997</v>
      </c>
      <c r="H2695" s="14">
        <f t="shared" si="680"/>
        <v>0</v>
      </c>
      <c r="I2695" s="47">
        <f t="shared" si="680"/>
        <v>0</v>
      </c>
      <c r="J2695" s="14">
        <f t="shared" si="680"/>
        <v>0.55000000000000004</v>
      </c>
      <c r="K2695" s="14">
        <f t="shared" si="680"/>
        <v>-0.09</v>
      </c>
      <c r="L2695" s="14">
        <f t="shared" si="680"/>
        <v>5.0999999999999996</v>
      </c>
      <c r="M2695" s="10">
        <v>2773</v>
      </c>
      <c r="N2695" s="71">
        <f>SUBTOTAL(9,N2692:N2694)</f>
        <v>0.01</v>
      </c>
      <c r="O2695" s="11">
        <f>O2690+1</f>
        <v>654</v>
      </c>
    </row>
    <row r="2696" spans="1:15" s="4" customFormat="1" x14ac:dyDescent="0.25">
      <c r="A2696" s="10"/>
      <c r="B2696"/>
      <c r="C2696"/>
      <c r="D2696"/>
      <c r="E2696"/>
      <c r="F2696"/>
      <c r="G2696" s="21"/>
      <c r="H2696" s="21"/>
      <c r="I2696" s="21"/>
      <c r="J2696" s="21"/>
      <c r="K2696" s="21"/>
      <c r="L2696" s="21"/>
      <c r="M2696" s="10"/>
      <c r="N2696" s="67"/>
      <c r="O2696" s="11"/>
    </row>
    <row r="2697" spans="1:15" s="4" customFormat="1" x14ac:dyDescent="0.25">
      <c r="A2697" s="6">
        <v>1329</v>
      </c>
      <c r="B2697" s="5" t="s">
        <v>29</v>
      </c>
      <c r="C2697" s="5" t="s">
        <v>17</v>
      </c>
      <c r="D2697" s="5" t="s">
        <v>349</v>
      </c>
      <c r="E2697" s="5" t="s">
        <v>350</v>
      </c>
      <c r="F2697" s="5" t="s">
        <v>30</v>
      </c>
      <c r="G2697" s="22">
        <v>3.02</v>
      </c>
      <c r="H2697" s="22">
        <v>0</v>
      </c>
      <c r="I2697" s="22">
        <v>0</v>
      </c>
      <c r="J2697" s="22">
        <v>0</v>
      </c>
      <c r="K2697" s="22">
        <v>-0.06</v>
      </c>
      <c r="L2697" s="22">
        <v>2.96</v>
      </c>
      <c r="M2697" s="10"/>
      <c r="N2697" s="67"/>
      <c r="O2697" s="11"/>
    </row>
    <row r="2698" spans="1:15" s="4" customFormat="1" x14ac:dyDescent="0.25">
      <c r="A2698" s="6">
        <v>1330</v>
      </c>
      <c r="B2698" s="5" t="s">
        <v>29</v>
      </c>
      <c r="C2698" s="5" t="s">
        <v>13</v>
      </c>
      <c r="D2698" s="5" t="s">
        <v>349</v>
      </c>
      <c r="E2698" s="5" t="s">
        <v>350</v>
      </c>
      <c r="F2698" s="5" t="s">
        <v>30</v>
      </c>
      <c r="G2698" s="22">
        <v>0</v>
      </c>
      <c r="H2698" s="22">
        <v>0</v>
      </c>
      <c r="I2698" s="22">
        <v>0</v>
      </c>
      <c r="J2698" s="22">
        <v>0.35</v>
      </c>
      <c r="K2698" s="22">
        <v>0</v>
      </c>
      <c r="L2698" s="22">
        <v>0.35</v>
      </c>
      <c r="M2698" s="10"/>
      <c r="N2698" s="67"/>
      <c r="O2698" s="11"/>
    </row>
    <row r="2699" spans="1:15" x14ac:dyDescent="0.25">
      <c r="A2699" s="6"/>
      <c r="B2699" s="5"/>
      <c r="C2699" s="5"/>
      <c r="D2699" s="5" t="s">
        <v>349</v>
      </c>
      <c r="E2699" s="5" t="s">
        <v>350</v>
      </c>
      <c r="F2699" s="5" t="s">
        <v>30</v>
      </c>
      <c r="G2699" s="14">
        <f t="shared" ref="G2699:L2699" si="681">SUBTOTAL(9,G2697:G2698)</f>
        <v>3.02</v>
      </c>
      <c r="H2699" s="14">
        <f t="shared" si="681"/>
        <v>0</v>
      </c>
      <c r="I2699" s="14">
        <f t="shared" si="681"/>
        <v>0</v>
      </c>
      <c r="J2699" s="14">
        <f t="shared" si="681"/>
        <v>0.35</v>
      </c>
      <c r="K2699" s="14">
        <f t="shared" si="681"/>
        <v>-0.06</v>
      </c>
      <c r="L2699" s="14">
        <f t="shared" si="681"/>
        <v>3.31</v>
      </c>
      <c r="M2699" s="10">
        <v>2774</v>
      </c>
      <c r="N2699" s="69"/>
      <c r="O2699" s="11">
        <f>O2695+1</f>
        <v>655</v>
      </c>
    </row>
    <row r="2700" spans="1:15" x14ac:dyDescent="0.25">
      <c r="A2700" s="10"/>
      <c r="G2700" s="21"/>
      <c r="H2700" s="21"/>
      <c r="I2700" s="21"/>
      <c r="J2700" s="21"/>
      <c r="K2700" s="21"/>
      <c r="L2700" s="21"/>
      <c r="M2700" s="10"/>
      <c r="O2700" s="11"/>
    </row>
    <row r="2701" spans="1:15" s="4" customFormat="1" x14ac:dyDescent="0.25">
      <c r="A2701" s="6">
        <v>1331</v>
      </c>
      <c r="B2701" s="5" t="s">
        <v>18</v>
      </c>
      <c r="C2701" s="5" t="s">
        <v>17</v>
      </c>
      <c r="D2701" s="5" t="s">
        <v>349</v>
      </c>
      <c r="E2701" s="5" t="s">
        <v>350</v>
      </c>
      <c r="F2701" s="5" t="s">
        <v>19</v>
      </c>
      <c r="G2701" s="22">
        <v>0.53</v>
      </c>
      <c r="H2701" s="22">
        <v>0</v>
      </c>
      <c r="I2701" s="22">
        <v>0</v>
      </c>
      <c r="J2701" s="22">
        <v>0</v>
      </c>
      <c r="K2701" s="22">
        <v>-0.47</v>
      </c>
      <c r="L2701" s="22">
        <v>0.06</v>
      </c>
      <c r="M2701" s="10"/>
      <c r="N2701" s="67"/>
      <c r="O2701" s="11"/>
    </row>
    <row r="2702" spans="1:15" s="4" customFormat="1" x14ac:dyDescent="0.25">
      <c r="A2702" s="6"/>
      <c r="B2702" s="5"/>
      <c r="C2702" s="5"/>
      <c r="D2702" s="5" t="s">
        <v>349</v>
      </c>
      <c r="E2702" s="5" t="s">
        <v>350</v>
      </c>
      <c r="F2702" s="5" t="s">
        <v>19</v>
      </c>
      <c r="G2702" s="14">
        <f t="shared" ref="G2702:L2702" si="682">SUBTOTAL(9,G2701:G2701)</f>
        <v>0.53</v>
      </c>
      <c r="H2702" s="14">
        <f t="shared" si="682"/>
        <v>0</v>
      </c>
      <c r="I2702" s="14">
        <f t="shared" si="682"/>
        <v>0</v>
      </c>
      <c r="J2702" s="14">
        <f t="shared" si="682"/>
        <v>0</v>
      </c>
      <c r="K2702" s="14">
        <f t="shared" si="682"/>
        <v>-0.47</v>
      </c>
      <c r="L2702" s="14">
        <f t="shared" si="682"/>
        <v>0.06</v>
      </c>
      <c r="M2702" s="10">
        <v>2775</v>
      </c>
      <c r="N2702" s="69"/>
      <c r="O2702" s="11">
        <f>O2699+1</f>
        <v>656</v>
      </c>
    </row>
    <row r="2703" spans="1:15" x14ac:dyDescent="0.25">
      <c r="A2703" s="10"/>
      <c r="G2703" s="21"/>
      <c r="H2703" s="21"/>
      <c r="I2703" s="21"/>
      <c r="J2703" s="21"/>
      <c r="K2703" s="21"/>
      <c r="L2703" s="21"/>
      <c r="M2703" s="10"/>
      <c r="O2703" s="11"/>
    </row>
    <row r="2704" spans="1:15" x14ac:dyDescent="0.25">
      <c r="A2704" s="6">
        <v>1332</v>
      </c>
      <c r="B2704" s="5" t="s">
        <v>550</v>
      </c>
      <c r="C2704" s="5" t="s">
        <v>17</v>
      </c>
      <c r="D2704" s="5" t="s">
        <v>349</v>
      </c>
      <c r="E2704" s="5" t="s">
        <v>350</v>
      </c>
      <c r="F2704" s="5" t="s">
        <v>551</v>
      </c>
      <c r="G2704" s="22">
        <v>46626.31</v>
      </c>
      <c r="H2704" s="22">
        <v>0</v>
      </c>
      <c r="I2704" s="22">
        <v>0</v>
      </c>
      <c r="J2704" s="22">
        <v>0</v>
      </c>
      <c r="K2704" s="22">
        <v>-932.53</v>
      </c>
      <c r="L2704" s="22">
        <v>45693.78</v>
      </c>
      <c r="M2704" s="10"/>
      <c r="O2704" s="11"/>
    </row>
    <row r="2705" spans="1:15" s="4" customFormat="1" x14ac:dyDescent="0.25">
      <c r="A2705" s="6">
        <v>1333</v>
      </c>
      <c r="B2705" s="5" t="s">
        <v>550</v>
      </c>
      <c r="C2705" s="5" t="s">
        <v>13</v>
      </c>
      <c r="D2705" s="5" t="s">
        <v>349</v>
      </c>
      <c r="E2705" s="5" t="s">
        <v>350</v>
      </c>
      <c r="F2705" s="5" t="s">
        <v>551</v>
      </c>
      <c r="G2705" s="22">
        <v>0</v>
      </c>
      <c r="H2705" s="22">
        <v>0</v>
      </c>
      <c r="I2705" s="22">
        <v>0</v>
      </c>
      <c r="J2705" s="22">
        <v>5595.16</v>
      </c>
      <c r="K2705" s="22">
        <v>0</v>
      </c>
      <c r="L2705" s="22">
        <v>5595.16</v>
      </c>
      <c r="M2705" s="10"/>
      <c r="N2705" s="67"/>
      <c r="O2705" s="11"/>
    </row>
    <row r="2706" spans="1:15" s="4" customFormat="1" x14ac:dyDescent="0.25">
      <c r="A2706" s="6"/>
      <c r="B2706" s="5"/>
      <c r="C2706" s="5"/>
      <c r="D2706" s="5" t="s">
        <v>349</v>
      </c>
      <c r="E2706" s="5" t="s">
        <v>350</v>
      </c>
      <c r="F2706" s="5" t="s">
        <v>551</v>
      </c>
      <c r="G2706" s="14">
        <f t="shared" ref="G2706:L2706" si="683">SUBTOTAL(9,G2704:G2705)</f>
        <v>46626.31</v>
      </c>
      <c r="H2706" s="14">
        <f t="shared" si="683"/>
        <v>0</v>
      </c>
      <c r="I2706" s="14">
        <f t="shared" si="683"/>
        <v>0</v>
      </c>
      <c r="J2706" s="14">
        <f t="shared" si="683"/>
        <v>5595.16</v>
      </c>
      <c r="K2706" s="14">
        <f t="shared" si="683"/>
        <v>-932.53</v>
      </c>
      <c r="L2706" s="14">
        <f t="shared" si="683"/>
        <v>51288.94</v>
      </c>
      <c r="M2706" s="10">
        <v>2776</v>
      </c>
      <c r="N2706" s="69"/>
      <c r="O2706" s="11">
        <f>O2702+1</f>
        <v>657</v>
      </c>
    </row>
    <row r="2707" spans="1:15" x14ac:dyDescent="0.25">
      <c r="A2707" s="10"/>
      <c r="G2707" s="21"/>
      <c r="H2707" s="21"/>
      <c r="I2707" s="21"/>
      <c r="J2707" s="21"/>
      <c r="K2707" s="21"/>
      <c r="L2707" s="21"/>
      <c r="M2707" s="10"/>
      <c r="O2707" s="11"/>
    </row>
    <row r="2708" spans="1:15" x14ac:dyDescent="0.25">
      <c r="A2708" s="6">
        <v>1334</v>
      </c>
      <c r="B2708" s="5" t="s">
        <v>550</v>
      </c>
      <c r="C2708" s="5" t="s">
        <v>17</v>
      </c>
      <c r="D2708" s="5" t="s">
        <v>349</v>
      </c>
      <c r="E2708" s="5" t="s">
        <v>350</v>
      </c>
      <c r="F2708" s="5" t="s">
        <v>552</v>
      </c>
      <c r="G2708" s="22">
        <v>3.35</v>
      </c>
      <c r="H2708" s="22">
        <v>0</v>
      </c>
      <c r="I2708" s="22">
        <v>0</v>
      </c>
      <c r="J2708" s="22">
        <v>0</v>
      </c>
      <c r="K2708" s="22">
        <v>-7.0000000000000007E-2</v>
      </c>
      <c r="L2708" s="22">
        <v>3.28</v>
      </c>
      <c r="M2708" s="10"/>
      <c r="O2708" s="11"/>
    </row>
    <row r="2709" spans="1:15" s="4" customFormat="1" x14ac:dyDescent="0.25">
      <c r="A2709" s="6">
        <v>1335</v>
      </c>
      <c r="B2709" s="5" t="s">
        <v>550</v>
      </c>
      <c r="C2709" s="5" t="s">
        <v>13</v>
      </c>
      <c r="D2709" s="5" t="s">
        <v>349</v>
      </c>
      <c r="E2709" s="5" t="s">
        <v>350</v>
      </c>
      <c r="F2709" s="5" t="s">
        <v>552</v>
      </c>
      <c r="G2709" s="22">
        <v>0</v>
      </c>
      <c r="H2709" s="22">
        <v>0</v>
      </c>
      <c r="I2709" s="22">
        <v>0</v>
      </c>
      <c r="J2709" s="22">
        <v>0.4</v>
      </c>
      <c r="K2709" s="22">
        <v>0</v>
      </c>
      <c r="L2709" s="22">
        <v>0.4</v>
      </c>
      <c r="M2709" s="10"/>
      <c r="N2709" s="67"/>
      <c r="O2709" s="11"/>
    </row>
    <row r="2710" spans="1:15" x14ac:dyDescent="0.25">
      <c r="A2710" s="6"/>
      <c r="B2710" s="5"/>
      <c r="C2710" s="5"/>
      <c r="D2710" s="5" t="s">
        <v>349</v>
      </c>
      <c r="E2710" s="5" t="s">
        <v>350</v>
      </c>
      <c r="F2710" s="5" t="s">
        <v>552</v>
      </c>
      <c r="G2710" s="14">
        <f t="shared" ref="G2710:L2710" si="684">SUBTOTAL(9,G2708:G2709)</f>
        <v>3.35</v>
      </c>
      <c r="H2710" s="14">
        <f t="shared" si="684"/>
        <v>0</v>
      </c>
      <c r="I2710" s="14">
        <f t="shared" si="684"/>
        <v>0</v>
      </c>
      <c r="J2710" s="14">
        <f t="shared" si="684"/>
        <v>0.4</v>
      </c>
      <c r="K2710" s="14">
        <f t="shared" si="684"/>
        <v>-7.0000000000000007E-2</v>
      </c>
      <c r="L2710" s="14">
        <f t="shared" si="684"/>
        <v>3.6799999999999997</v>
      </c>
      <c r="M2710" s="10">
        <v>2777</v>
      </c>
      <c r="N2710" s="69"/>
      <c r="O2710" s="11">
        <f>O2706+1</f>
        <v>658</v>
      </c>
    </row>
    <row r="2711" spans="1:15" x14ac:dyDescent="0.25">
      <c r="A2711" s="10"/>
      <c r="G2711" s="21"/>
      <c r="H2711" s="21"/>
      <c r="I2711" s="21"/>
      <c r="J2711" s="21"/>
      <c r="K2711" s="21"/>
      <c r="L2711" s="21"/>
      <c r="M2711" s="10"/>
      <c r="O2711" s="11"/>
    </row>
    <row r="2712" spans="1:15" s="4" customFormat="1" x14ac:dyDescent="0.25">
      <c r="A2712" s="6">
        <v>1336</v>
      </c>
      <c r="B2712" s="5" t="s">
        <v>555</v>
      </c>
      <c r="C2712" s="5" t="s">
        <v>17</v>
      </c>
      <c r="D2712" s="5" t="s">
        <v>351</v>
      </c>
      <c r="E2712" s="5" t="s">
        <v>352</v>
      </c>
      <c r="F2712" s="5" t="s">
        <v>556</v>
      </c>
      <c r="G2712" s="22">
        <v>1936.2</v>
      </c>
      <c r="H2712" s="22">
        <v>0</v>
      </c>
      <c r="I2712" s="22">
        <v>0</v>
      </c>
      <c r="J2712" s="22">
        <v>0</v>
      </c>
      <c r="K2712" s="22">
        <v>-38.72</v>
      </c>
      <c r="L2712" s="22">
        <v>1897.48</v>
      </c>
      <c r="M2712" s="10"/>
      <c r="N2712" s="67"/>
      <c r="O2712" s="11"/>
    </row>
    <row r="2713" spans="1:15" x14ac:dyDescent="0.25">
      <c r="A2713" s="6">
        <v>1337</v>
      </c>
      <c r="B2713" s="5" t="s">
        <v>555</v>
      </c>
      <c r="C2713" s="5" t="s">
        <v>13</v>
      </c>
      <c r="D2713" s="5" t="s">
        <v>351</v>
      </c>
      <c r="E2713" s="5" t="s">
        <v>352</v>
      </c>
      <c r="F2713" s="5" t="s">
        <v>556</v>
      </c>
      <c r="G2713" s="22">
        <v>0</v>
      </c>
      <c r="H2713" s="22">
        <v>0</v>
      </c>
      <c r="I2713" s="22">
        <v>0</v>
      </c>
      <c r="J2713" s="22">
        <v>232.34</v>
      </c>
      <c r="K2713" s="22">
        <v>0</v>
      </c>
      <c r="L2713" s="22">
        <v>232.34</v>
      </c>
      <c r="M2713" s="10"/>
      <c r="O2713" s="11"/>
    </row>
    <row r="2714" spans="1:15" x14ac:dyDescent="0.25">
      <c r="A2714" s="6"/>
      <c r="B2714" s="5"/>
      <c r="C2714" s="5"/>
      <c r="D2714" s="5" t="s">
        <v>351</v>
      </c>
      <c r="E2714" s="5" t="s">
        <v>352</v>
      </c>
      <c r="F2714" s="5" t="s">
        <v>556</v>
      </c>
      <c r="G2714" s="14">
        <f t="shared" ref="G2714:L2714" si="685">SUBTOTAL(9,G2712:G2713)</f>
        <v>1936.2</v>
      </c>
      <c r="H2714" s="14">
        <f t="shared" si="685"/>
        <v>0</v>
      </c>
      <c r="I2714" s="14">
        <f t="shared" si="685"/>
        <v>0</v>
      </c>
      <c r="J2714" s="14">
        <f t="shared" si="685"/>
        <v>232.34</v>
      </c>
      <c r="K2714" s="14">
        <f t="shared" si="685"/>
        <v>-38.72</v>
      </c>
      <c r="L2714" s="14">
        <f t="shared" si="685"/>
        <v>2129.8200000000002</v>
      </c>
      <c r="M2714" s="10">
        <v>2778</v>
      </c>
      <c r="N2714" s="69"/>
      <c r="O2714" s="11">
        <f>O2710+1</f>
        <v>659</v>
      </c>
    </row>
    <row r="2715" spans="1:15" s="4" customFormat="1" x14ac:dyDescent="0.25">
      <c r="A2715" s="10"/>
      <c r="B2715"/>
      <c r="C2715"/>
      <c r="D2715"/>
      <c r="E2715"/>
      <c r="F2715"/>
      <c r="G2715" s="21"/>
      <c r="H2715" s="21"/>
      <c r="I2715" s="21"/>
      <c r="J2715" s="21"/>
      <c r="K2715" s="21"/>
      <c r="L2715" s="21"/>
      <c r="M2715" s="10"/>
      <c r="N2715" s="67"/>
      <c r="O2715" s="11"/>
    </row>
    <row r="2716" spans="1:15" s="4" customFormat="1" x14ac:dyDescent="0.25">
      <c r="A2716" s="6">
        <v>1338</v>
      </c>
      <c r="B2716" s="5" t="s">
        <v>557</v>
      </c>
      <c r="C2716" s="5" t="s">
        <v>17</v>
      </c>
      <c r="D2716" s="5" t="s">
        <v>351</v>
      </c>
      <c r="E2716" s="5" t="s">
        <v>352</v>
      </c>
      <c r="F2716" s="5" t="s">
        <v>558</v>
      </c>
      <c r="G2716" s="22">
        <v>1287.9000000000001</v>
      </c>
      <c r="H2716" s="22">
        <v>0</v>
      </c>
      <c r="I2716" s="22">
        <v>0</v>
      </c>
      <c r="J2716" s="22">
        <v>0</v>
      </c>
      <c r="K2716" s="22">
        <v>-25.76</v>
      </c>
      <c r="L2716" s="22">
        <v>1262.1400000000001</v>
      </c>
      <c r="M2716" s="10"/>
      <c r="N2716" s="67"/>
      <c r="O2716" s="11"/>
    </row>
    <row r="2717" spans="1:15" x14ac:dyDescent="0.25">
      <c r="A2717" s="6">
        <v>1339</v>
      </c>
      <c r="B2717" s="5" t="s">
        <v>557</v>
      </c>
      <c r="C2717" s="5" t="s">
        <v>13</v>
      </c>
      <c r="D2717" s="5" t="s">
        <v>351</v>
      </c>
      <c r="E2717" s="5" t="s">
        <v>352</v>
      </c>
      <c r="F2717" s="5" t="s">
        <v>558</v>
      </c>
      <c r="G2717" s="22">
        <v>0</v>
      </c>
      <c r="H2717" s="22">
        <v>0</v>
      </c>
      <c r="I2717" s="22">
        <v>0</v>
      </c>
      <c r="J2717" s="22">
        <v>154.55000000000001</v>
      </c>
      <c r="K2717" s="22">
        <v>0</v>
      </c>
      <c r="L2717" s="22">
        <v>154.55000000000001</v>
      </c>
      <c r="M2717" s="10"/>
      <c r="O2717" s="11"/>
    </row>
    <row r="2718" spans="1:15" x14ac:dyDescent="0.25">
      <c r="A2718" s="6"/>
      <c r="B2718" s="5"/>
      <c r="C2718" s="5"/>
      <c r="D2718" s="5" t="s">
        <v>351</v>
      </c>
      <c r="E2718" s="5" t="s">
        <v>352</v>
      </c>
      <c r="F2718" s="5" t="s">
        <v>558</v>
      </c>
      <c r="G2718" s="14">
        <f t="shared" ref="G2718:L2718" si="686">SUBTOTAL(9,G2716:G2717)</f>
        <v>1287.9000000000001</v>
      </c>
      <c r="H2718" s="14">
        <f t="shared" si="686"/>
        <v>0</v>
      </c>
      <c r="I2718" s="14">
        <f t="shared" si="686"/>
        <v>0</v>
      </c>
      <c r="J2718" s="14">
        <f t="shared" si="686"/>
        <v>154.55000000000001</v>
      </c>
      <c r="K2718" s="14">
        <f t="shared" si="686"/>
        <v>-25.76</v>
      </c>
      <c r="L2718" s="14">
        <f t="shared" si="686"/>
        <v>1416.69</v>
      </c>
      <c r="M2718" s="10">
        <v>2779</v>
      </c>
      <c r="N2718" s="69"/>
      <c r="O2718" s="11">
        <f>O2714+1</f>
        <v>660</v>
      </c>
    </row>
    <row r="2719" spans="1:15" s="4" customFormat="1" x14ac:dyDescent="0.25">
      <c r="A2719" s="10"/>
      <c r="B2719"/>
      <c r="C2719"/>
      <c r="D2719"/>
      <c r="E2719"/>
      <c r="F2719"/>
      <c r="G2719" s="21"/>
      <c r="H2719" s="21"/>
      <c r="I2719" s="21"/>
      <c r="J2719" s="21"/>
      <c r="K2719" s="21"/>
      <c r="L2719" s="21"/>
      <c r="M2719" s="10"/>
      <c r="N2719" s="67"/>
      <c r="O2719" s="11"/>
    </row>
    <row r="2720" spans="1:15" s="4" customFormat="1" x14ac:dyDescent="0.25">
      <c r="A2720" s="6">
        <v>1340</v>
      </c>
      <c r="B2720" s="5" t="s">
        <v>18</v>
      </c>
      <c r="C2720" s="5" t="s">
        <v>17</v>
      </c>
      <c r="D2720" s="5" t="s">
        <v>351</v>
      </c>
      <c r="E2720" s="5" t="s">
        <v>352</v>
      </c>
      <c r="F2720" s="5" t="s">
        <v>19</v>
      </c>
      <c r="G2720" s="22">
        <v>5.75</v>
      </c>
      <c r="H2720" s="22">
        <v>0</v>
      </c>
      <c r="I2720" s="22">
        <v>0</v>
      </c>
      <c r="J2720" s="22">
        <v>0</v>
      </c>
      <c r="K2720" s="22">
        <v>-5.0999999999999996</v>
      </c>
      <c r="L2720" s="22">
        <v>0.65</v>
      </c>
      <c r="M2720" s="10"/>
      <c r="N2720" s="67"/>
      <c r="O2720" s="11"/>
    </row>
    <row r="2721" spans="1:15" x14ac:dyDescent="0.25">
      <c r="A2721" s="6"/>
      <c r="B2721" s="5"/>
      <c r="C2721" s="5"/>
      <c r="D2721" s="5" t="s">
        <v>351</v>
      </c>
      <c r="E2721" s="5" t="s">
        <v>352</v>
      </c>
      <c r="F2721" s="5" t="s">
        <v>19</v>
      </c>
      <c r="G2721" s="14">
        <f t="shared" ref="G2721:L2721" si="687">SUBTOTAL(9,G2720:G2720)</f>
        <v>5.75</v>
      </c>
      <c r="H2721" s="14">
        <f t="shared" si="687"/>
        <v>0</v>
      </c>
      <c r="I2721" s="14">
        <f t="shared" si="687"/>
        <v>0</v>
      </c>
      <c r="J2721" s="14">
        <f t="shared" si="687"/>
        <v>0</v>
      </c>
      <c r="K2721" s="14">
        <f t="shared" si="687"/>
        <v>-5.0999999999999996</v>
      </c>
      <c r="L2721" s="14">
        <f t="shared" si="687"/>
        <v>0.65</v>
      </c>
      <c r="M2721" s="10">
        <v>2780</v>
      </c>
      <c r="N2721" s="69"/>
      <c r="O2721" s="11">
        <f>O2718+1</f>
        <v>661</v>
      </c>
    </row>
    <row r="2722" spans="1:15" x14ac:dyDescent="0.25">
      <c r="A2722" s="10"/>
      <c r="G2722" s="21"/>
      <c r="H2722" s="21"/>
      <c r="I2722" s="21"/>
      <c r="J2722" s="21"/>
      <c r="K2722" s="21"/>
      <c r="L2722" s="21"/>
      <c r="M2722" s="10"/>
      <c r="O2722" s="11"/>
    </row>
    <row r="2723" spans="1:15" s="4" customFormat="1" x14ac:dyDescent="0.25">
      <c r="A2723" s="6">
        <v>1341</v>
      </c>
      <c r="B2723" s="5" t="s">
        <v>550</v>
      </c>
      <c r="C2723" s="5" t="s">
        <v>17</v>
      </c>
      <c r="D2723" s="5" t="s">
        <v>351</v>
      </c>
      <c r="E2723" s="5" t="s">
        <v>352</v>
      </c>
      <c r="F2723" s="5" t="s">
        <v>551</v>
      </c>
      <c r="G2723" s="22">
        <v>123213.71</v>
      </c>
      <c r="H2723" s="22">
        <v>0</v>
      </c>
      <c r="I2723" s="22">
        <v>0</v>
      </c>
      <c r="J2723" s="22">
        <v>0</v>
      </c>
      <c r="K2723" s="22">
        <v>-2464.27</v>
      </c>
      <c r="L2723" s="22">
        <v>120749.44</v>
      </c>
      <c r="M2723" s="10"/>
      <c r="N2723" s="67"/>
      <c r="O2723" s="11"/>
    </row>
    <row r="2724" spans="1:15" s="4" customFormat="1" x14ac:dyDescent="0.25">
      <c r="A2724" s="6">
        <v>1342</v>
      </c>
      <c r="B2724" s="5" t="s">
        <v>550</v>
      </c>
      <c r="C2724" s="5" t="s">
        <v>13</v>
      </c>
      <c r="D2724" s="5" t="s">
        <v>351</v>
      </c>
      <c r="E2724" s="5" t="s">
        <v>352</v>
      </c>
      <c r="F2724" s="5" t="s">
        <v>551</v>
      </c>
      <c r="G2724" s="22">
        <v>0</v>
      </c>
      <c r="H2724" s="22">
        <v>0</v>
      </c>
      <c r="I2724" s="22">
        <v>0</v>
      </c>
      <c r="J2724" s="22">
        <v>14785.65</v>
      </c>
      <c r="K2724" s="22">
        <v>0</v>
      </c>
      <c r="L2724" s="22">
        <v>14785.65</v>
      </c>
      <c r="M2724" s="10"/>
      <c r="N2724" s="67"/>
      <c r="O2724" s="11"/>
    </row>
    <row r="2725" spans="1:15" x14ac:dyDescent="0.25">
      <c r="A2725" s="6"/>
      <c r="B2725" s="5"/>
      <c r="C2725" s="5"/>
      <c r="D2725" s="5" t="s">
        <v>351</v>
      </c>
      <c r="E2725" s="5" t="s">
        <v>352</v>
      </c>
      <c r="F2725" s="5" t="s">
        <v>551</v>
      </c>
      <c r="G2725" s="14">
        <f t="shared" ref="G2725:L2725" si="688">SUBTOTAL(9,G2723:G2724)</f>
        <v>123213.71</v>
      </c>
      <c r="H2725" s="14">
        <f t="shared" si="688"/>
        <v>0</v>
      </c>
      <c r="I2725" s="14">
        <f t="shared" si="688"/>
        <v>0</v>
      </c>
      <c r="J2725" s="14">
        <f t="shared" si="688"/>
        <v>14785.65</v>
      </c>
      <c r="K2725" s="14">
        <f t="shared" si="688"/>
        <v>-2464.27</v>
      </c>
      <c r="L2725" s="14">
        <f t="shared" si="688"/>
        <v>135535.09</v>
      </c>
      <c r="M2725" s="10">
        <v>2781</v>
      </c>
      <c r="N2725" s="69"/>
      <c r="O2725" s="11">
        <f>O2721+1</f>
        <v>662</v>
      </c>
    </row>
    <row r="2726" spans="1:15" x14ac:dyDescent="0.25">
      <c r="A2726" s="10"/>
      <c r="G2726" s="21"/>
      <c r="H2726" s="21"/>
      <c r="I2726" s="21"/>
      <c r="J2726" s="21"/>
      <c r="K2726" s="21"/>
      <c r="L2726" s="21"/>
      <c r="M2726" s="10"/>
      <c r="O2726" s="11"/>
    </row>
    <row r="2727" spans="1:15" s="4" customFormat="1" x14ac:dyDescent="0.25">
      <c r="A2727" s="6">
        <v>1343</v>
      </c>
      <c r="B2727" s="5" t="s">
        <v>550</v>
      </c>
      <c r="C2727" s="5" t="s">
        <v>17</v>
      </c>
      <c r="D2727" s="5" t="s">
        <v>351</v>
      </c>
      <c r="E2727" s="5" t="s">
        <v>352</v>
      </c>
      <c r="F2727" s="5" t="s">
        <v>552</v>
      </c>
      <c r="G2727" s="22">
        <v>8.86</v>
      </c>
      <c r="H2727" s="22">
        <v>0</v>
      </c>
      <c r="I2727" s="22">
        <v>0</v>
      </c>
      <c r="J2727" s="22">
        <v>0</v>
      </c>
      <c r="K2727" s="22">
        <v>-0.18</v>
      </c>
      <c r="L2727" s="22">
        <v>8.68</v>
      </c>
      <c r="M2727" s="10"/>
      <c r="N2727" s="67"/>
      <c r="O2727" s="11"/>
    </row>
    <row r="2728" spans="1:15" s="4" customFormat="1" x14ac:dyDescent="0.25">
      <c r="A2728" s="6">
        <v>1344</v>
      </c>
      <c r="B2728" s="5" t="s">
        <v>550</v>
      </c>
      <c r="C2728" s="5" t="s">
        <v>13</v>
      </c>
      <c r="D2728" s="5" t="s">
        <v>351</v>
      </c>
      <c r="E2728" s="5" t="s">
        <v>352</v>
      </c>
      <c r="F2728" s="5" t="s">
        <v>552</v>
      </c>
      <c r="G2728" s="22">
        <v>0</v>
      </c>
      <c r="H2728" s="22">
        <v>0</v>
      </c>
      <c r="I2728" s="22">
        <v>0</v>
      </c>
      <c r="J2728" s="22">
        <v>1.06</v>
      </c>
      <c r="K2728" s="22">
        <v>0</v>
      </c>
      <c r="L2728" s="22">
        <v>1.06</v>
      </c>
      <c r="M2728" s="10"/>
      <c r="N2728" s="67"/>
      <c r="O2728" s="11"/>
    </row>
    <row r="2729" spans="1:15" s="4" customFormat="1" x14ac:dyDescent="0.25">
      <c r="A2729" s="6"/>
      <c r="B2729" s="5"/>
      <c r="C2729" s="5"/>
      <c r="D2729" s="5" t="s">
        <v>351</v>
      </c>
      <c r="E2729" s="5" t="s">
        <v>352</v>
      </c>
      <c r="F2729" s="5" t="s">
        <v>552</v>
      </c>
      <c r="G2729" s="14">
        <f t="shared" ref="G2729:L2729" si="689">SUBTOTAL(9,G2727:G2728)</f>
        <v>8.86</v>
      </c>
      <c r="H2729" s="14">
        <f t="shared" si="689"/>
        <v>0</v>
      </c>
      <c r="I2729" s="14">
        <f t="shared" si="689"/>
        <v>0</v>
      </c>
      <c r="J2729" s="14">
        <f t="shared" si="689"/>
        <v>1.06</v>
      </c>
      <c r="K2729" s="14">
        <f t="shared" si="689"/>
        <v>-0.18</v>
      </c>
      <c r="L2729" s="14">
        <f t="shared" si="689"/>
        <v>9.74</v>
      </c>
      <c r="M2729" s="10">
        <v>2782</v>
      </c>
      <c r="N2729" s="69"/>
      <c r="O2729" s="11">
        <f>O2725+1</f>
        <v>663</v>
      </c>
    </row>
    <row r="2730" spans="1:15" x14ac:dyDescent="0.25">
      <c r="A2730" s="10"/>
      <c r="G2730" s="21"/>
      <c r="H2730" s="21"/>
      <c r="I2730" s="21"/>
      <c r="J2730" s="21"/>
      <c r="K2730" s="21"/>
      <c r="L2730" s="21"/>
      <c r="M2730" s="10"/>
      <c r="O2730" s="11"/>
    </row>
    <row r="2731" spans="1:15" x14ac:dyDescent="0.25">
      <c r="A2731" s="6">
        <v>1345</v>
      </c>
      <c r="B2731" s="5" t="s">
        <v>555</v>
      </c>
      <c r="C2731" s="5" t="s">
        <v>17</v>
      </c>
      <c r="D2731" s="5" t="s">
        <v>353</v>
      </c>
      <c r="E2731" s="5" t="s">
        <v>354</v>
      </c>
      <c r="F2731" s="5" t="s">
        <v>556</v>
      </c>
      <c r="G2731" s="22">
        <v>725.6</v>
      </c>
      <c r="H2731" s="22">
        <v>0</v>
      </c>
      <c r="I2731" s="22">
        <v>0</v>
      </c>
      <c r="J2731" s="22">
        <v>0</v>
      </c>
      <c r="K2731" s="22">
        <v>-14.51</v>
      </c>
      <c r="L2731" s="22">
        <v>711.09</v>
      </c>
      <c r="M2731" s="10"/>
      <c r="O2731" s="11"/>
    </row>
    <row r="2732" spans="1:15" s="4" customFormat="1" x14ac:dyDescent="0.25">
      <c r="A2732" s="6">
        <v>1346</v>
      </c>
      <c r="B2732" s="5" t="s">
        <v>555</v>
      </c>
      <c r="C2732" s="5" t="s">
        <v>13</v>
      </c>
      <c r="D2732" s="5" t="s">
        <v>353</v>
      </c>
      <c r="E2732" s="5" t="s">
        <v>354</v>
      </c>
      <c r="F2732" s="5" t="s">
        <v>556</v>
      </c>
      <c r="G2732" s="22">
        <v>0</v>
      </c>
      <c r="H2732" s="22">
        <v>0</v>
      </c>
      <c r="I2732" s="22">
        <v>0</v>
      </c>
      <c r="J2732" s="22">
        <v>87.07</v>
      </c>
      <c r="K2732" s="22">
        <v>0</v>
      </c>
      <c r="L2732" s="22">
        <v>87.07</v>
      </c>
      <c r="M2732" s="10"/>
      <c r="N2732" s="67"/>
      <c r="O2732" s="11"/>
    </row>
    <row r="2733" spans="1:15" s="4" customFormat="1" x14ac:dyDescent="0.25">
      <c r="A2733" s="6"/>
      <c r="B2733" s="5"/>
      <c r="C2733" s="5"/>
      <c r="D2733" s="5" t="s">
        <v>353</v>
      </c>
      <c r="E2733" s="5" t="s">
        <v>354</v>
      </c>
      <c r="F2733" s="5" t="s">
        <v>556</v>
      </c>
      <c r="G2733" s="14">
        <f t="shared" ref="G2733:L2733" si="690">SUBTOTAL(9,G2731:G2732)</f>
        <v>725.6</v>
      </c>
      <c r="H2733" s="14">
        <f t="shared" si="690"/>
        <v>0</v>
      </c>
      <c r="I2733" s="14">
        <f t="shared" si="690"/>
        <v>0</v>
      </c>
      <c r="J2733" s="14">
        <f t="shared" si="690"/>
        <v>87.07</v>
      </c>
      <c r="K2733" s="14">
        <f t="shared" si="690"/>
        <v>-14.51</v>
      </c>
      <c r="L2733" s="14">
        <f t="shared" si="690"/>
        <v>798.16000000000008</v>
      </c>
      <c r="M2733" s="10">
        <v>2783</v>
      </c>
      <c r="N2733" s="69"/>
      <c r="O2733" s="11">
        <f>O2729+1</f>
        <v>664</v>
      </c>
    </row>
    <row r="2734" spans="1:15" x14ac:dyDescent="0.25">
      <c r="A2734" s="10"/>
      <c r="G2734" s="21"/>
      <c r="H2734" s="21"/>
      <c r="I2734" s="21"/>
      <c r="J2734" s="21"/>
      <c r="K2734" s="21"/>
      <c r="L2734" s="21"/>
      <c r="M2734" s="10"/>
      <c r="O2734" s="11"/>
    </row>
    <row r="2735" spans="1:15" x14ac:dyDescent="0.25">
      <c r="A2735" s="6">
        <v>1347</v>
      </c>
      <c r="B2735" s="5" t="s">
        <v>557</v>
      </c>
      <c r="C2735" s="5" t="s">
        <v>17</v>
      </c>
      <c r="D2735" s="5" t="s">
        <v>353</v>
      </c>
      <c r="E2735" s="5" t="s">
        <v>354</v>
      </c>
      <c r="F2735" s="5" t="s">
        <v>558</v>
      </c>
      <c r="G2735" s="22">
        <v>481.96</v>
      </c>
      <c r="H2735" s="22">
        <v>0</v>
      </c>
      <c r="I2735" s="22">
        <v>0</v>
      </c>
      <c r="J2735" s="22">
        <v>0</v>
      </c>
      <c r="K2735" s="22">
        <v>-9.64</v>
      </c>
      <c r="L2735" s="22">
        <v>472.32</v>
      </c>
      <c r="M2735" s="10"/>
      <c r="O2735" s="11"/>
    </row>
    <row r="2736" spans="1:15" s="4" customFormat="1" x14ac:dyDescent="0.25">
      <c r="A2736" s="6">
        <v>1348</v>
      </c>
      <c r="B2736" s="5" t="s">
        <v>557</v>
      </c>
      <c r="C2736" s="5" t="s">
        <v>13</v>
      </c>
      <c r="D2736" s="5" t="s">
        <v>353</v>
      </c>
      <c r="E2736" s="5" t="s">
        <v>354</v>
      </c>
      <c r="F2736" s="5" t="s">
        <v>558</v>
      </c>
      <c r="G2736" s="22">
        <v>0</v>
      </c>
      <c r="H2736" s="22">
        <v>0</v>
      </c>
      <c r="I2736" s="22">
        <v>0</v>
      </c>
      <c r="J2736" s="22">
        <v>57.84</v>
      </c>
      <c r="K2736" s="22">
        <v>0</v>
      </c>
      <c r="L2736" s="22">
        <v>57.84</v>
      </c>
      <c r="M2736" s="10"/>
      <c r="N2736" s="67"/>
      <c r="O2736" s="11"/>
    </row>
    <row r="2737" spans="1:15" s="4" customFormat="1" x14ac:dyDescent="0.25">
      <c r="A2737" s="6"/>
      <c r="B2737" s="5"/>
      <c r="C2737" s="5"/>
      <c r="D2737" s="5" t="s">
        <v>353</v>
      </c>
      <c r="E2737" s="5" t="s">
        <v>354</v>
      </c>
      <c r="F2737" s="5" t="s">
        <v>558</v>
      </c>
      <c r="G2737" s="14">
        <f t="shared" ref="G2737:L2737" si="691">SUBTOTAL(9,G2735:G2736)</f>
        <v>481.96</v>
      </c>
      <c r="H2737" s="14">
        <f t="shared" si="691"/>
        <v>0</v>
      </c>
      <c r="I2737" s="14">
        <f t="shared" si="691"/>
        <v>0</v>
      </c>
      <c r="J2737" s="14">
        <f t="shared" si="691"/>
        <v>57.84</v>
      </c>
      <c r="K2737" s="14">
        <f t="shared" si="691"/>
        <v>-9.64</v>
      </c>
      <c r="L2737" s="14">
        <f t="shared" si="691"/>
        <v>530.16</v>
      </c>
      <c r="M2737" s="10">
        <v>2784</v>
      </c>
      <c r="N2737" s="69"/>
      <c r="O2737" s="11">
        <f>O2733+1</f>
        <v>665</v>
      </c>
    </row>
    <row r="2738" spans="1:15" x14ac:dyDescent="0.25">
      <c r="A2738" s="10"/>
      <c r="G2738" s="21"/>
      <c r="H2738" s="21"/>
      <c r="I2738" s="21"/>
      <c r="J2738" s="21"/>
      <c r="K2738" s="21"/>
      <c r="L2738" s="21"/>
      <c r="M2738" s="10"/>
      <c r="O2738" s="11"/>
    </row>
    <row r="2739" spans="1:15" x14ac:dyDescent="0.25">
      <c r="A2739" s="6">
        <v>1349</v>
      </c>
      <c r="B2739" s="5" t="s">
        <v>550</v>
      </c>
      <c r="C2739" s="5" t="s">
        <v>17</v>
      </c>
      <c r="D2739" s="5" t="s">
        <v>353</v>
      </c>
      <c r="E2739" s="5" t="s">
        <v>354</v>
      </c>
      <c r="F2739" s="5" t="s">
        <v>551</v>
      </c>
      <c r="G2739" s="22">
        <v>5387.71</v>
      </c>
      <c r="H2739" s="22">
        <v>0</v>
      </c>
      <c r="I2739" s="22">
        <v>0</v>
      </c>
      <c r="J2739" s="22">
        <v>0</v>
      </c>
      <c r="K2739" s="22">
        <v>-107.75</v>
      </c>
      <c r="L2739" s="22">
        <v>5279.96</v>
      </c>
      <c r="M2739" s="10"/>
      <c r="O2739" s="11"/>
    </row>
    <row r="2740" spans="1:15" s="4" customFormat="1" x14ac:dyDescent="0.25">
      <c r="A2740" s="6">
        <v>1350</v>
      </c>
      <c r="B2740" s="5" t="s">
        <v>550</v>
      </c>
      <c r="C2740" s="5" t="s">
        <v>13</v>
      </c>
      <c r="D2740" s="5" t="s">
        <v>353</v>
      </c>
      <c r="E2740" s="5" t="s">
        <v>354</v>
      </c>
      <c r="F2740" s="5" t="s">
        <v>551</v>
      </c>
      <c r="G2740" s="22">
        <v>0</v>
      </c>
      <c r="H2740" s="22">
        <v>0</v>
      </c>
      <c r="I2740" s="22">
        <v>0</v>
      </c>
      <c r="J2740" s="22">
        <v>428.8</v>
      </c>
      <c r="K2740" s="22">
        <v>0</v>
      </c>
      <c r="L2740" s="22">
        <v>428.8</v>
      </c>
      <c r="M2740" s="10"/>
      <c r="N2740" s="67"/>
      <c r="O2740" s="11"/>
    </row>
    <row r="2741" spans="1:15" x14ac:dyDescent="0.25">
      <c r="A2741" s="6"/>
      <c r="B2741" s="5"/>
      <c r="C2741" s="5"/>
      <c r="D2741" s="5" t="s">
        <v>353</v>
      </c>
      <c r="E2741" s="5" t="s">
        <v>354</v>
      </c>
      <c r="F2741" s="5" t="s">
        <v>551</v>
      </c>
      <c r="G2741" s="14">
        <f t="shared" ref="G2741:L2741" si="692">SUBTOTAL(9,G2739:G2740)</f>
        <v>5387.71</v>
      </c>
      <c r="H2741" s="14">
        <f t="shared" si="692"/>
        <v>0</v>
      </c>
      <c r="I2741" s="14">
        <f t="shared" si="692"/>
        <v>0</v>
      </c>
      <c r="J2741" s="14">
        <f t="shared" si="692"/>
        <v>428.8</v>
      </c>
      <c r="K2741" s="14">
        <f t="shared" si="692"/>
        <v>-107.75</v>
      </c>
      <c r="L2741" s="14">
        <f t="shared" si="692"/>
        <v>5708.76</v>
      </c>
      <c r="M2741" s="10">
        <v>2785</v>
      </c>
      <c r="N2741" s="69"/>
      <c r="O2741" s="11">
        <f>O2737+1</f>
        <v>666</v>
      </c>
    </row>
    <row r="2742" spans="1:15" x14ac:dyDescent="0.25">
      <c r="A2742" s="10"/>
      <c r="F2742" s="48"/>
      <c r="G2742" s="49"/>
      <c r="H2742" s="49"/>
      <c r="I2742" s="49"/>
      <c r="J2742" s="49"/>
      <c r="K2742" s="21"/>
      <c r="L2742" s="21"/>
      <c r="M2742" s="10"/>
      <c r="N2742" s="69"/>
      <c r="O2742" s="11"/>
    </row>
    <row r="2743" spans="1:15" s="4" customFormat="1" x14ac:dyDescent="0.25">
      <c r="A2743" s="6">
        <v>1351</v>
      </c>
      <c r="B2743" s="5" t="s">
        <v>550</v>
      </c>
      <c r="C2743" s="5" t="s">
        <v>17</v>
      </c>
      <c r="D2743" s="5" t="s">
        <v>353</v>
      </c>
      <c r="E2743" s="5" t="s">
        <v>354</v>
      </c>
      <c r="F2743" s="5" t="s">
        <v>552</v>
      </c>
      <c r="G2743" s="22">
        <v>0.39</v>
      </c>
      <c r="H2743" s="22">
        <v>0</v>
      </c>
      <c r="I2743" s="22">
        <v>0</v>
      </c>
      <c r="J2743" s="22">
        <v>0</v>
      </c>
      <c r="K2743" s="22">
        <v>-0.01</v>
      </c>
      <c r="L2743" s="22">
        <v>0.38</v>
      </c>
      <c r="M2743" s="10"/>
      <c r="N2743" s="67"/>
      <c r="O2743" s="11"/>
    </row>
    <row r="2744" spans="1:15" x14ac:dyDescent="0.25">
      <c r="A2744" s="6">
        <v>1352</v>
      </c>
      <c r="B2744" s="5" t="s">
        <v>550</v>
      </c>
      <c r="C2744" s="5" t="s">
        <v>13</v>
      </c>
      <c r="D2744" s="5" t="s">
        <v>353</v>
      </c>
      <c r="E2744" s="5" t="s">
        <v>354</v>
      </c>
      <c r="F2744" s="5" t="s">
        <v>552</v>
      </c>
      <c r="G2744" s="22">
        <v>0</v>
      </c>
      <c r="H2744" s="22">
        <v>0</v>
      </c>
      <c r="I2744" s="22">
        <v>0</v>
      </c>
      <c r="J2744" s="22">
        <v>0.03</v>
      </c>
      <c r="K2744" s="22">
        <v>0</v>
      </c>
      <c r="L2744" s="22">
        <v>0.03</v>
      </c>
      <c r="M2744" s="10"/>
      <c r="O2744" s="11"/>
    </row>
    <row r="2745" spans="1:15" x14ac:dyDescent="0.25">
      <c r="A2745" s="6"/>
      <c r="B2745" s="5"/>
      <c r="C2745" s="5"/>
      <c r="D2745" s="5" t="s">
        <v>353</v>
      </c>
      <c r="E2745" s="5" t="s">
        <v>354</v>
      </c>
      <c r="F2745" s="5" t="s">
        <v>552</v>
      </c>
      <c r="G2745" s="14">
        <f t="shared" ref="G2745:L2745" si="693">SUBTOTAL(9,G2743:G2744)</f>
        <v>0.39</v>
      </c>
      <c r="H2745" s="14">
        <f t="shared" si="693"/>
        <v>0</v>
      </c>
      <c r="I2745" s="14">
        <f t="shared" si="693"/>
        <v>0</v>
      </c>
      <c r="J2745" s="14">
        <f t="shared" si="693"/>
        <v>0.03</v>
      </c>
      <c r="K2745" s="14">
        <f t="shared" si="693"/>
        <v>-0.01</v>
      </c>
      <c r="L2745" s="14">
        <f t="shared" si="693"/>
        <v>0.41000000000000003</v>
      </c>
      <c r="M2745" s="10">
        <v>2786</v>
      </c>
      <c r="N2745" s="69"/>
      <c r="O2745" s="11">
        <f>O2741+1</f>
        <v>667</v>
      </c>
    </row>
    <row r="2746" spans="1:15" s="4" customFormat="1" x14ac:dyDescent="0.25">
      <c r="A2746" s="10"/>
      <c r="B2746"/>
      <c r="C2746"/>
      <c r="D2746"/>
      <c r="E2746"/>
      <c r="F2746"/>
      <c r="G2746" s="21"/>
      <c r="H2746" s="21"/>
      <c r="I2746" s="21"/>
      <c r="J2746" s="21"/>
      <c r="K2746" s="21"/>
      <c r="L2746" s="21"/>
      <c r="M2746" s="10"/>
      <c r="N2746" s="67"/>
      <c r="O2746" s="11"/>
    </row>
    <row r="2747" spans="1:15" s="4" customFormat="1" x14ac:dyDescent="0.25">
      <c r="A2747" s="6">
        <v>1353</v>
      </c>
      <c r="B2747" s="5" t="s">
        <v>18</v>
      </c>
      <c r="C2747" s="5" t="s">
        <v>17</v>
      </c>
      <c r="D2747" s="5" t="s">
        <v>355</v>
      </c>
      <c r="E2747" s="5" t="s">
        <v>356</v>
      </c>
      <c r="F2747" s="5" t="s">
        <v>19</v>
      </c>
      <c r="G2747" s="22">
        <v>0</v>
      </c>
      <c r="H2747" s="22">
        <v>0</v>
      </c>
      <c r="I2747" s="22">
        <v>0.19</v>
      </c>
      <c r="J2747" s="22">
        <v>0</v>
      </c>
      <c r="K2747" s="22">
        <v>-0.02</v>
      </c>
      <c r="L2747" s="22">
        <v>0.17</v>
      </c>
      <c r="M2747" s="10"/>
      <c r="N2747" s="67"/>
      <c r="O2747" s="11"/>
    </row>
    <row r="2748" spans="1:15" x14ac:dyDescent="0.25">
      <c r="A2748" s="6"/>
      <c r="B2748" s="5"/>
      <c r="C2748" s="5"/>
      <c r="D2748" s="5" t="s">
        <v>355</v>
      </c>
      <c r="E2748" s="5" t="s">
        <v>356</v>
      </c>
      <c r="F2748" s="5" t="s">
        <v>19</v>
      </c>
      <c r="G2748" s="14">
        <f t="shared" ref="G2748:L2748" si="694">SUBTOTAL(9,G2747:G2747)</f>
        <v>0</v>
      </c>
      <c r="H2748" s="14">
        <f t="shared" si="694"/>
        <v>0</v>
      </c>
      <c r="I2748" s="14">
        <f t="shared" si="694"/>
        <v>0.19</v>
      </c>
      <c r="J2748" s="14">
        <f t="shared" si="694"/>
        <v>0</v>
      </c>
      <c r="K2748" s="14">
        <f t="shared" si="694"/>
        <v>-0.02</v>
      </c>
      <c r="L2748" s="14">
        <f t="shared" si="694"/>
        <v>0.17</v>
      </c>
      <c r="M2748" s="10">
        <v>2787</v>
      </c>
      <c r="N2748" s="69"/>
      <c r="O2748" s="11">
        <f>O2745+1</f>
        <v>668</v>
      </c>
    </row>
    <row r="2749" spans="1:15" x14ac:dyDescent="0.25">
      <c r="A2749" s="10"/>
      <c r="G2749" s="21"/>
      <c r="H2749" s="21"/>
      <c r="I2749" s="21"/>
      <c r="J2749" s="21"/>
      <c r="K2749" s="21"/>
      <c r="L2749" s="21"/>
      <c r="M2749" s="10"/>
      <c r="O2749" s="11"/>
    </row>
    <row r="2750" spans="1:15" s="4" customFormat="1" x14ac:dyDescent="0.25">
      <c r="A2750" s="6">
        <v>1354</v>
      </c>
      <c r="B2750" s="5" t="s">
        <v>12</v>
      </c>
      <c r="C2750" s="5" t="s">
        <v>17</v>
      </c>
      <c r="D2750" s="5" t="s">
        <v>621</v>
      </c>
      <c r="E2750" s="5" t="s">
        <v>356</v>
      </c>
      <c r="F2750" s="5" t="s">
        <v>16</v>
      </c>
      <c r="G2750" s="22">
        <v>0</v>
      </c>
      <c r="H2750" s="22">
        <v>0</v>
      </c>
      <c r="I2750" s="22">
        <v>0.04</v>
      </c>
      <c r="J2750" s="22">
        <v>0</v>
      </c>
      <c r="K2750" s="22">
        <v>0</v>
      </c>
      <c r="L2750" s="22">
        <v>0.04</v>
      </c>
      <c r="M2750" s="10"/>
      <c r="N2750" s="67"/>
      <c r="O2750" s="11"/>
    </row>
    <row r="2751" spans="1:15" s="4" customFormat="1" x14ac:dyDescent="0.25">
      <c r="A2751" s="6"/>
      <c r="B2751" s="5"/>
      <c r="C2751" s="5"/>
      <c r="D2751" s="5" t="s">
        <v>355</v>
      </c>
      <c r="E2751" s="5" t="s">
        <v>356</v>
      </c>
      <c r="F2751" s="5" t="s">
        <v>16</v>
      </c>
      <c r="G2751" s="14">
        <f t="shared" ref="G2751:L2751" si="695">SUBTOTAL(9,G2750:G2750)</f>
        <v>0</v>
      </c>
      <c r="H2751" s="14">
        <f t="shared" si="695"/>
        <v>0</v>
      </c>
      <c r="I2751" s="14">
        <f t="shared" si="695"/>
        <v>0.04</v>
      </c>
      <c r="J2751" s="14">
        <f t="shared" si="695"/>
        <v>0</v>
      </c>
      <c r="K2751" s="14">
        <f t="shared" si="695"/>
        <v>0</v>
      </c>
      <c r="L2751" s="14">
        <f t="shared" si="695"/>
        <v>0.04</v>
      </c>
      <c r="M2751" s="10">
        <v>2788</v>
      </c>
      <c r="N2751" s="69"/>
      <c r="O2751" s="11">
        <f>O2748+1</f>
        <v>669</v>
      </c>
    </row>
    <row r="2752" spans="1:15" x14ac:dyDescent="0.25">
      <c r="A2752" s="10"/>
      <c r="G2752" s="21"/>
      <c r="H2752" s="21"/>
      <c r="I2752" s="21"/>
      <c r="J2752" s="21"/>
      <c r="K2752" s="21"/>
      <c r="L2752" s="21"/>
      <c r="M2752" s="10"/>
      <c r="O2752" s="11"/>
    </row>
    <row r="2753" spans="1:15" x14ac:dyDescent="0.25">
      <c r="A2753" s="6">
        <v>1355</v>
      </c>
      <c r="B2753" s="5" t="s">
        <v>18</v>
      </c>
      <c r="C2753" s="5" t="s">
        <v>17</v>
      </c>
      <c r="D2753" s="5" t="s">
        <v>621</v>
      </c>
      <c r="E2753" s="5" t="s">
        <v>356</v>
      </c>
      <c r="F2753" s="5" t="s">
        <v>19</v>
      </c>
      <c r="G2753" s="22">
        <v>0</v>
      </c>
      <c r="H2753" s="22">
        <v>0</v>
      </c>
      <c r="I2753" s="22">
        <v>0.06</v>
      </c>
      <c r="J2753" s="22">
        <v>0</v>
      </c>
      <c r="K2753" s="22">
        <v>0</v>
      </c>
      <c r="L2753" s="22">
        <v>0.06</v>
      </c>
      <c r="M2753" s="10"/>
      <c r="O2753" s="11"/>
    </row>
    <row r="2754" spans="1:15" s="4" customFormat="1" x14ac:dyDescent="0.25">
      <c r="A2754" s="6"/>
      <c r="B2754" s="5"/>
      <c r="C2754" s="5"/>
      <c r="D2754" s="5" t="s">
        <v>355</v>
      </c>
      <c r="E2754" s="5" t="s">
        <v>356</v>
      </c>
      <c r="F2754" s="5" t="s">
        <v>19</v>
      </c>
      <c r="G2754" s="14">
        <f t="shared" ref="G2754:L2754" si="696">SUBTOTAL(9,G2753:G2753)</f>
        <v>0</v>
      </c>
      <c r="H2754" s="14">
        <f t="shared" si="696"/>
        <v>0</v>
      </c>
      <c r="I2754" s="14">
        <f t="shared" si="696"/>
        <v>0.06</v>
      </c>
      <c r="J2754" s="14">
        <f t="shared" si="696"/>
        <v>0</v>
      </c>
      <c r="K2754" s="14">
        <f t="shared" si="696"/>
        <v>0</v>
      </c>
      <c r="L2754" s="14">
        <f t="shared" si="696"/>
        <v>0.06</v>
      </c>
      <c r="M2754" s="10">
        <v>2789</v>
      </c>
      <c r="N2754" s="69"/>
      <c r="O2754" s="11">
        <f>O2751+1</f>
        <v>670</v>
      </c>
    </row>
    <row r="2755" spans="1:15" s="4" customFormat="1" x14ac:dyDescent="0.25">
      <c r="A2755" s="10"/>
      <c r="B2755"/>
      <c r="C2755"/>
      <c r="D2755"/>
      <c r="E2755"/>
      <c r="F2755"/>
      <c r="G2755" s="21"/>
      <c r="H2755" s="21"/>
      <c r="I2755" s="21"/>
      <c r="J2755" s="21"/>
      <c r="K2755" s="21"/>
      <c r="L2755" s="21"/>
      <c r="M2755" s="10"/>
      <c r="N2755" s="67"/>
      <c r="O2755" s="11"/>
    </row>
    <row r="2756" spans="1:15" x14ac:dyDescent="0.25">
      <c r="A2756" s="6">
        <v>1356</v>
      </c>
      <c r="B2756" s="5" t="s">
        <v>20</v>
      </c>
      <c r="C2756" s="5" t="s">
        <v>17</v>
      </c>
      <c r="D2756" s="5" t="s">
        <v>621</v>
      </c>
      <c r="E2756" s="5" t="s">
        <v>356</v>
      </c>
      <c r="F2756" s="5" t="s">
        <v>21</v>
      </c>
      <c r="G2756" s="22">
        <v>0</v>
      </c>
      <c r="H2756" s="22">
        <v>0</v>
      </c>
      <c r="I2756" s="22">
        <v>192.67</v>
      </c>
      <c r="J2756" s="22">
        <v>0</v>
      </c>
      <c r="K2756" s="22">
        <v>-3.85</v>
      </c>
      <c r="L2756" s="22">
        <v>188.82</v>
      </c>
      <c r="M2756" s="10"/>
      <c r="O2756" s="11"/>
    </row>
    <row r="2757" spans="1:15" x14ac:dyDescent="0.25">
      <c r="A2757" s="6">
        <v>1357</v>
      </c>
      <c r="B2757" s="5" t="s">
        <v>20</v>
      </c>
      <c r="C2757" s="5" t="s">
        <v>49</v>
      </c>
      <c r="D2757" s="5" t="s">
        <v>621</v>
      </c>
      <c r="E2757" s="5" t="s">
        <v>356</v>
      </c>
      <c r="F2757" s="5" t="s">
        <v>21</v>
      </c>
      <c r="G2757" s="22">
        <v>0</v>
      </c>
      <c r="H2757" s="22">
        <v>0</v>
      </c>
      <c r="I2757" s="22">
        <v>1.1299999999999999</v>
      </c>
      <c r="J2757" s="22">
        <v>0</v>
      </c>
      <c r="K2757" s="22">
        <v>0</v>
      </c>
      <c r="L2757" s="22">
        <v>1.1299999999999999</v>
      </c>
      <c r="M2757" s="10"/>
      <c r="N2757" s="70">
        <v>1.1299999999999999</v>
      </c>
      <c r="O2757" s="11"/>
    </row>
    <row r="2758" spans="1:15" s="4" customFormat="1" x14ac:dyDescent="0.25">
      <c r="A2758" s="6"/>
      <c r="B2758" s="5"/>
      <c r="C2758" s="5"/>
      <c r="D2758" s="5" t="s">
        <v>355</v>
      </c>
      <c r="E2758" s="5" t="s">
        <v>356</v>
      </c>
      <c r="F2758" s="5" t="s">
        <v>21</v>
      </c>
      <c r="G2758" s="14">
        <f t="shared" ref="G2758:L2758" si="697">SUBTOTAL(9,G2756:G2757)</f>
        <v>0</v>
      </c>
      <c r="H2758" s="14">
        <f t="shared" si="697"/>
        <v>0</v>
      </c>
      <c r="I2758" s="14">
        <f t="shared" si="697"/>
        <v>193.79999999999998</v>
      </c>
      <c r="J2758" s="14">
        <f t="shared" si="697"/>
        <v>0</v>
      </c>
      <c r="K2758" s="14">
        <f t="shared" si="697"/>
        <v>-3.85</v>
      </c>
      <c r="L2758" s="14">
        <f t="shared" si="697"/>
        <v>189.95</v>
      </c>
      <c r="M2758" s="10">
        <v>2790</v>
      </c>
      <c r="N2758" s="71">
        <f>SUBTOTAL(9,N2756:N2757)</f>
        <v>1.1299999999999999</v>
      </c>
      <c r="O2758" s="11">
        <f>O2754+1</f>
        <v>671</v>
      </c>
    </row>
    <row r="2759" spans="1:15" s="4" customFormat="1" x14ac:dyDescent="0.25">
      <c r="A2759" s="10"/>
      <c r="B2759"/>
      <c r="C2759"/>
      <c r="D2759"/>
      <c r="E2759"/>
      <c r="F2759"/>
      <c r="G2759" s="21"/>
      <c r="H2759" s="21"/>
      <c r="I2759" s="21"/>
      <c r="J2759" s="21"/>
      <c r="K2759" s="21"/>
      <c r="L2759" s="21"/>
      <c r="M2759" s="10"/>
      <c r="N2759" s="67"/>
      <c r="O2759" s="11"/>
    </row>
    <row r="2760" spans="1:15" x14ac:dyDescent="0.25">
      <c r="A2760" s="6">
        <v>1358</v>
      </c>
      <c r="B2760" s="5" t="s">
        <v>22</v>
      </c>
      <c r="C2760" s="5" t="s">
        <v>17</v>
      </c>
      <c r="D2760" s="5" t="s">
        <v>621</v>
      </c>
      <c r="E2760" s="5" t="s">
        <v>356</v>
      </c>
      <c r="F2760" s="5" t="s">
        <v>23</v>
      </c>
      <c r="G2760" s="22">
        <v>0</v>
      </c>
      <c r="H2760" s="22">
        <v>0</v>
      </c>
      <c r="I2760" s="22">
        <v>3.01</v>
      </c>
      <c r="J2760" s="22">
        <v>0</v>
      </c>
      <c r="K2760" s="22">
        <v>-0.06</v>
      </c>
      <c r="L2760" s="22">
        <v>2.95</v>
      </c>
      <c r="M2760" s="10"/>
      <c r="O2760" s="11"/>
    </row>
    <row r="2761" spans="1:15" x14ac:dyDescent="0.25">
      <c r="A2761" s="6">
        <v>1359</v>
      </c>
      <c r="B2761" s="5" t="s">
        <v>22</v>
      </c>
      <c r="C2761" s="5" t="s">
        <v>17</v>
      </c>
      <c r="D2761" s="5" t="s">
        <v>621</v>
      </c>
      <c r="E2761" s="5" t="s">
        <v>356</v>
      </c>
      <c r="F2761" s="5" t="s">
        <v>23</v>
      </c>
      <c r="G2761" s="22">
        <v>0</v>
      </c>
      <c r="H2761" s="22">
        <v>0</v>
      </c>
      <c r="I2761" s="22">
        <v>207.35</v>
      </c>
      <c r="J2761" s="22">
        <v>0</v>
      </c>
      <c r="K2761" s="22">
        <v>-4.1500000000000004</v>
      </c>
      <c r="L2761" s="22">
        <v>203.2</v>
      </c>
      <c r="M2761" s="10"/>
      <c r="O2761" s="11"/>
    </row>
    <row r="2762" spans="1:15" s="4" customFormat="1" x14ac:dyDescent="0.25">
      <c r="A2762" s="6">
        <v>1360</v>
      </c>
      <c r="B2762" s="5" t="s">
        <v>22</v>
      </c>
      <c r="C2762" s="5" t="s">
        <v>49</v>
      </c>
      <c r="D2762" s="5" t="s">
        <v>621</v>
      </c>
      <c r="E2762" s="5" t="s">
        <v>356</v>
      </c>
      <c r="F2762" s="5" t="s">
        <v>23</v>
      </c>
      <c r="G2762" s="22">
        <v>0</v>
      </c>
      <c r="H2762" s="22">
        <v>0</v>
      </c>
      <c r="I2762" s="22">
        <v>0.25</v>
      </c>
      <c r="J2762" s="22">
        <v>0</v>
      </c>
      <c r="K2762" s="22">
        <v>0</v>
      </c>
      <c r="L2762" s="22">
        <v>0.25</v>
      </c>
      <c r="M2762" s="10"/>
      <c r="N2762" s="70">
        <v>0.25</v>
      </c>
      <c r="O2762" s="11"/>
    </row>
    <row r="2763" spans="1:15" s="4" customFormat="1" x14ac:dyDescent="0.25">
      <c r="A2763" s="6"/>
      <c r="B2763" s="5"/>
      <c r="C2763" s="5"/>
      <c r="D2763" s="5" t="s">
        <v>355</v>
      </c>
      <c r="E2763" s="5" t="s">
        <v>356</v>
      </c>
      <c r="F2763" s="5" t="s">
        <v>23</v>
      </c>
      <c r="G2763" s="14">
        <f t="shared" ref="G2763:L2763" si="698">SUBTOTAL(9,G2760:G2762)</f>
        <v>0</v>
      </c>
      <c r="H2763" s="14">
        <f t="shared" si="698"/>
        <v>0</v>
      </c>
      <c r="I2763" s="14">
        <f t="shared" si="698"/>
        <v>210.60999999999999</v>
      </c>
      <c r="J2763" s="14">
        <f t="shared" si="698"/>
        <v>0</v>
      </c>
      <c r="K2763" s="14">
        <f t="shared" si="698"/>
        <v>-4.21</v>
      </c>
      <c r="L2763" s="14">
        <f t="shared" si="698"/>
        <v>206.39999999999998</v>
      </c>
      <c r="M2763" s="10">
        <v>2791</v>
      </c>
      <c r="N2763" s="71">
        <f>SUBTOTAL(9,N2760:N2762)</f>
        <v>0.25</v>
      </c>
      <c r="O2763" s="11">
        <f>O2758+1</f>
        <v>672</v>
      </c>
    </row>
    <row r="2764" spans="1:15" x14ac:dyDescent="0.25">
      <c r="A2764" s="10"/>
      <c r="G2764" s="21"/>
      <c r="H2764" s="21"/>
      <c r="I2764" s="21"/>
      <c r="J2764" s="21"/>
      <c r="K2764" s="21"/>
      <c r="L2764" s="21"/>
      <c r="M2764" s="10"/>
      <c r="O2764" s="11"/>
    </row>
    <row r="2765" spans="1:15" x14ac:dyDescent="0.25">
      <c r="A2765" s="6">
        <v>1361</v>
      </c>
      <c r="B2765" s="5" t="s">
        <v>22</v>
      </c>
      <c r="C2765" s="5" t="s">
        <v>17</v>
      </c>
      <c r="D2765" s="5" t="s">
        <v>621</v>
      </c>
      <c r="E2765" s="5" t="s">
        <v>356</v>
      </c>
      <c r="F2765" s="5" t="s">
        <v>24</v>
      </c>
      <c r="G2765" s="22">
        <v>0</v>
      </c>
      <c r="H2765" s="22">
        <v>0</v>
      </c>
      <c r="I2765" s="22">
        <v>0.01</v>
      </c>
      <c r="J2765" s="22">
        <v>0</v>
      </c>
      <c r="K2765" s="22">
        <v>0</v>
      </c>
      <c r="L2765" s="22">
        <v>0.01</v>
      </c>
      <c r="M2765" s="10"/>
      <c r="O2765" s="11"/>
    </row>
    <row r="2766" spans="1:15" s="4" customFormat="1" x14ac:dyDescent="0.25">
      <c r="A2766" s="6">
        <v>1362</v>
      </c>
      <c r="B2766" s="5" t="s">
        <v>22</v>
      </c>
      <c r="C2766" s="5" t="s">
        <v>17</v>
      </c>
      <c r="D2766" s="5" t="s">
        <v>621</v>
      </c>
      <c r="E2766" s="5" t="s">
        <v>356</v>
      </c>
      <c r="F2766" s="5" t="s">
        <v>24</v>
      </c>
      <c r="G2766" s="22">
        <v>0</v>
      </c>
      <c r="H2766" s="22">
        <v>0</v>
      </c>
      <c r="I2766" s="22">
        <v>0.4</v>
      </c>
      <c r="J2766" s="22">
        <v>0</v>
      </c>
      <c r="K2766" s="22">
        <v>-0.01</v>
      </c>
      <c r="L2766" s="22">
        <v>0.39</v>
      </c>
      <c r="M2766" s="10"/>
      <c r="N2766" s="67"/>
      <c r="O2766" s="11"/>
    </row>
    <row r="2767" spans="1:15" s="4" customFormat="1" x14ac:dyDescent="0.25">
      <c r="A2767" s="6"/>
      <c r="B2767" s="5"/>
      <c r="C2767" s="5"/>
      <c r="D2767" s="5" t="s">
        <v>621</v>
      </c>
      <c r="E2767" s="5" t="s">
        <v>356</v>
      </c>
      <c r="F2767" s="5" t="s">
        <v>24</v>
      </c>
      <c r="G2767" s="14">
        <f t="shared" ref="G2767:L2767" si="699">SUBTOTAL(9,G2765:G2766)</f>
        <v>0</v>
      </c>
      <c r="H2767" s="14">
        <f t="shared" si="699"/>
        <v>0</v>
      </c>
      <c r="I2767" s="14">
        <f t="shared" si="699"/>
        <v>0.41000000000000003</v>
      </c>
      <c r="J2767" s="14">
        <f t="shared" si="699"/>
        <v>0</v>
      </c>
      <c r="K2767" s="14">
        <f t="shared" si="699"/>
        <v>-0.01</v>
      </c>
      <c r="L2767" s="14">
        <f t="shared" si="699"/>
        <v>0.4</v>
      </c>
      <c r="M2767" s="10">
        <v>2792</v>
      </c>
      <c r="N2767" s="69"/>
      <c r="O2767" s="11">
        <f>O2763+1</f>
        <v>673</v>
      </c>
    </row>
    <row r="2768" spans="1:15" x14ac:dyDescent="0.25">
      <c r="A2768" s="10"/>
      <c r="G2768" s="21"/>
      <c r="H2768" s="21"/>
      <c r="I2768" s="21"/>
      <c r="J2768" s="21"/>
      <c r="K2768" s="21"/>
      <c r="L2768" s="21"/>
      <c r="M2768" s="10"/>
      <c r="O2768" s="11"/>
    </row>
    <row r="2769" spans="1:15" x14ac:dyDescent="0.25">
      <c r="A2769" s="6">
        <v>1363</v>
      </c>
      <c r="B2769" s="5" t="s">
        <v>550</v>
      </c>
      <c r="C2769" s="5" t="s">
        <v>17</v>
      </c>
      <c r="D2769" s="5" t="s">
        <v>621</v>
      </c>
      <c r="E2769" s="5" t="s">
        <v>356</v>
      </c>
      <c r="F2769" s="5" t="s">
        <v>551</v>
      </c>
      <c r="G2769" s="22">
        <v>0</v>
      </c>
      <c r="H2769" s="22">
        <v>0</v>
      </c>
      <c r="I2769" s="22">
        <v>70.66</v>
      </c>
      <c r="J2769" s="22">
        <v>0</v>
      </c>
      <c r="K2769" s="22">
        <v>-1.41</v>
      </c>
      <c r="L2769" s="22">
        <v>69.25</v>
      </c>
      <c r="M2769" s="10"/>
      <c r="O2769" s="11"/>
    </row>
    <row r="2770" spans="1:15" s="4" customFormat="1" x14ac:dyDescent="0.25">
      <c r="A2770" s="6">
        <v>1364</v>
      </c>
      <c r="B2770" s="5" t="s">
        <v>550</v>
      </c>
      <c r="C2770" s="5" t="s">
        <v>17</v>
      </c>
      <c r="D2770" s="5" t="s">
        <v>621</v>
      </c>
      <c r="E2770" s="5" t="s">
        <v>356</v>
      </c>
      <c r="F2770" s="5" t="s">
        <v>551</v>
      </c>
      <c r="G2770" s="22">
        <v>0</v>
      </c>
      <c r="H2770" s="22">
        <v>0</v>
      </c>
      <c r="I2770" s="22">
        <v>539.29999999999995</v>
      </c>
      <c r="J2770" s="22">
        <v>0</v>
      </c>
      <c r="K2770" s="22">
        <v>-10.79</v>
      </c>
      <c r="L2770" s="22">
        <v>528.51</v>
      </c>
      <c r="M2770" s="10"/>
      <c r="N2770" s="67"/>
      <c r="O2770" s="11"/>
    </row>
    <row r="2771" spans="1:15" s="4" customFormat="1" x14ac:dyDescent="0.25">
      <c r="A2771" s="6"/>
      <c r="B2771" s="5"/>
      <c r="C2771" s="5"/>
      <c r="D2771" s="5" t="s">
        <v>355</v>
      </c>
      <c r="E2771" s="5" t="s">
        <v>356</v>
      </c>
      <c r="F2771" s="5" t="s">
        <v>551</v>
      </c>
      <c r="G2771" s="14">
        <f t="shared" ref="G2771:L2771" si="700">SUBTOTAL(9,G2769:G2770)</f>
        <v>0</v>
      </c>
      <c r="H2771" s="14">
        <f t="shared" si="700"/>
        <v>0</v>
      </c>
      <c r="I2771" s="14">
        <f t="shared" si="700"/>
        <v>609.95999999999992</v>
      </c>
      <c r="J2771" s="14">
        <f t="shared" si="700"/>
        <v>0</v>
      </c>
      <c r="K2771" s="14">
        <f t="shared" si="700"/>
        <v>-12.2</v>
      </c>
      <c r="L2771" s="14">
        <f t="shared" si="700"/>
        <v>597.76</v>
      </c>
      <c r="M2771" s="10">
        <v>2793</v>
      </c>
      <c r="N2771" s="69"/>
      <c r="O2771" s="11">
        <f>O2767+1</f>
        <v>674</v>
      </c>
    </row>
    <row r="2772" spans="1:15" x14ac:dyDescent="0.25">
      <c r="A2772" s="10"/>
      <c r="G2772" s="21"/>
      <c r="H2772" s="21"/>
      <c r="I2772" s="21"/>
      <c r="J2772" s="21"/>
      <c r="K2772" s="21"/>
      <c r="L2772" s="21"/>
      <c r="M2772" s="10"/>
      <c r="O2772" s="11"/>
    </row>
    <row r="2773" spans="1:15" x14ac:dyDescent="0.25">
      <c r="A2773" s="6">
        <v>1365</v>
      </c>
      <c r="B2773" s="5" t="s">
        <v>550</v>
      </c>
      <c r="C2773" s="5" t="s">
        <v>17</v>
      </c>
      <c r="D2773" s="5" t="s">
        <v>621</v>
      </c>
      <c r="E2773" s="5" t="s">
        <v>356</v>
      </c>
      <c r="F2773" s="5" t="s">
        <v>552</v>
      </c>
      <c r="G2773" s="22">
        <v>0</v>
      </c>
      <c r="H2773" s="22">
        <v>0</v>
      </c>
      <c r="I2773" s="22">
        <v>0.01</v>
      </c>
      <c r="J2773" s="22">
        <v>0</v>
      </c>
      <c r="K2773" s="22">
        <v>0</v>
      </c>
      <c r="L2773" s="22">
        <v>0.01</v>
      </c>
      <c r="M2773" s="10"/>
      <c r="O2773" s="11"/>
    </row>
    <row r="2774" spans="1:15" s="4" customFormat="1" x14ac:dyDescent="0.25">
      <c r="A2774" s="6">
        <v>1366</v>
      </c>
      <c r="B2774" s="5" t="s">
        <v>550</v>
      </c>
      <c r="C2774" s="5" t="s">
        <v>17</v>
      </c>
      <c r="D2774" s="5" t="s">
        <v>621</v>
      </c>
      <c r="E2774" s="5" t="s">
        <v>356</v>
      </c>
      <c r="F2774" s="5" t="s">
        <v>552</v>
      </c>
      <c r="G2774" s="22">
        <v>0</v>
      </c>
      <c r="H2774" s="22">
        <v>0</v>
      </c>
      <c r="I2774" s="22">
        <v>0.04</v>
      </c>
      <c r="J2774" s="22">
        <v>0</v>
      </c>
      <c r="K2774" s="22">
        <v>0</v>
      </c>
      <c r="L2774" s="22">
        <v>0.04</v>
      </c>
      <c r="M2774" s="10"/>
      <c r="N2774" s="67"/>
      <c r="O2774" s="11"/>
    </row>
    <row r="2775" spans="1:15" s="4" customFormat="1" x14ac:dyDescent="0.25">
      <c r="A2775" s="6"/>
      <c r="B2775" s="5"/>
      <c r="C2775" s="5"/>
      <c r="D2775" s="5" t="s">
        <v>355</v>
      </c>
      <c r="E2775" s="5" t="s">
        <v>356</v>
      </c>
      <c r="F2775" s="5" t="s">
        <v>552</v>
      </c>
      <c r="G2775" s="14">
        <f t="shared" ref="G2775:L2775" si="701">SUBTOTAL(9,G2773:G2774)</f>
        <v>0</v>
      </c>
      <c r="H2775" s="14">
        <f t="shared" si="701"/>
        <v>0</v>
      </c>
      <c r="I2775" s="14">
        <f t="shared" si="701"/>
        <v>0.05</v>
      </c>
      <c r="J2775" s="14">
        <f t="shared" si="701"/>
        <v>0</v>
      </c>
      <c r="K2775" s="14">
        <f t="shared" si="701"/>
        <v>0</v>
      </c>
      <c r="L2775" s="14">
        <f t="shared" si="701"/>
        <v>0.05</v>
      </c>
      <c r="M2775" s="10">
        <v>2794</v>
      </c>
      <c r="N2775" s="69"/>
      <c r="O2775" s="11">
        <f>O2771+1</f>
        <v>675</v>
      </c>
    </row>
    <row r="2776" spans="1:15" x14ac:dyDescent="0.25">
      <c r="A2776" s="10"/>
      <c r="G2776" s="21"/>
      <c r="H2776" s="21"/>
      <c r="I2776" s="21"/>
      <c r="J2776" s="21"/>
      <c r="K2776" s="21"/>
      <c r="L2776" s="21"/>
      <c r="M2776" s="10"/>
      <c r="O2776" s="11"/>
    </row>
    <row r="2777" spans="1:15" x14ac:dyDescent="0.25">
      <c r="A2777" s="6">
        <v>1367</v>
      </c>
      <c r="B2777" s="5" t="s">
        <v>37</v>
      </c>
      <c r="C2777" s="5" t="s">
        <v>17</v>
      </c>
      <c r="D2777" s="5" t="s">
        <v>357</v>
      </c>
      <c r="E2777" s="5" t="s">
        <v>358</v>
      </c>
      <c r="F2777" s="5" t="s">
        <v>38</v>
      </c>
      <c r="G2777" s="22">
        <v>0.01</v>
      </c>
      <c r="H2777" s="22">
        <v>0</v>
      </c>
      <c r="I2777" s="22">
        <v>0</v>
      </c>
      <c r="J2777" s="22">
        <v>0</v>
      </c>
      <c r="K2777" s="22">
        <v>0</v>
      </c>
      <c r="L2777" s="22">
        <v>0.01</v>
      </c>
      <c r="M2777" s="10"/>
      <c r="O2777" s="11"/>
    </row>
    <row r="2778" spans="1:15" s="4" customFormat="1" x14ac:dyDescent="0.25">
      <c r="A2778" s="6">
        <v>1368</v>
      </c>
      <c r="B2778" s="5" t="s">
        <v>37</v>
      </c>
      <c r="C2778" s="5" t="s">
        <v>13</v>
      </c>
      <c r="D2778" s="5" t="s">
        <v>357</v>
      </c>
      <c r="E2778" s="5" t="s">
        <v>358</v>
      </c>
      <c r="F2778" s="5" t="s">
        <v>38</v>
      </c>
      <c r="G2778" s="22">
        <v>0</v>
      </c>
      <c r="H2778" s="22">
        <v>0</v>
      </c>
      <c r="I2778" s="22">
        <v>0</v>
      </c>
      <c r="J2778" s="22">
        <v>0</v>
      </c>
      <c r="K2778" s="22">
        <v>0</v>
      </c>
      <c r="L2778" s="22">
        <v>0</v>
      </c>
      <c r="M2778" s="10"/>
      <c r="N2778" s="67"/>
      <c r="O2778" s="11"/>
    </row>
    <row r="2779" spans="1:15" s="4" customFormat="1" x14ac:dyDescent="0.25">
      <c r="A2779" s="6"/>
      <c r="B2779" s="5"/>
      <c r="C2779" s="5"/>
      <c r="D2779" s="5" t="s">
        <v>357</v>
      </c>
      <c r="E2779" s="5" t="s">
        <v>358</v>
      </c>
      <c r="F2779" s="5" t="s">
        <v>38</v>
      </c>
      <c r="G2779" s="14">
        <f t="shared" ref="G2779:L2779" si="702">SUBTOTAL(9,G2777:G2778)</f>
        <v>0.01</v>
      </c>
      <c r="H2779" s="14">
        <f t="shared" si="702"/>
        <v>0</v>
      </c>
      <c r="I2779" s="14">
        <f t="shared" si="702"/>
        <v>0</v>
      </c>
      <c r="J2779" s="14">
        <f t="shared" si="702"/>
        <v>0</v>
      </c>
      <c r="K2779" s="14">
        <f t="shared" si="702"/>
        <v>0</v>
      </c>
      <c r="L2779" s="14">
        <f t="shared" si="702"/>
        <v>0.01</v>
      </c>
      <c r="M2779" s="10">
        <v>2795</v>
      </c>
      <c r="N2779" s="69"/>
      <c r="O2779" s="11">
        <f>O2775+1</f>
        <v>676</v>
      </c>
    </row>
    <row r="2780" spans="1:15" x14ac:dyDescent="0.25">
      <c r="A2780" s="10"/>
      <c r="G2780" s="21"/>
      <c r="H2780" s="21"/>
      <c r="I2780" s="21"/>
      <c r="J2780" s="21"/>
      <c r="K2780" s="21"/>
      <c r="L2780" s="21"/>
      <c r="M2780" s="10"/>
      <c r="O2780" s="11"/>
    </row>
    <row r="2781" spans="1:15" x14ac:dyDescent="0.25">
      <c r="A2781" s="6">
        <v>1369</v>
      </c>
      <c r="B2781" s="5" t="s">
        <v>18</v>
      </c>
      <c r="C2781" s="5" t="s">
        <v>17</v>
      </c>
      <c r="D2781" s="5" t="s">
        <v>357</v>
      </c>
      <c r="E2781" s="5" t="s">
        <v>358</v>
      </c>
      <c r="F2781" s="5" t="s">
        <v>19</v>
      </c>
      <c r="G2781" s="22">
        <v>0.02</v>
      </c>
      <c r="H2781" s="22">
        <v>0</v>
      </c>
      <c r="I2781" s="22">
        <v>0</v>
      </c>
      <c r="J2781" s="22">
        <v>0</v>
      </c>
      <c r="K2781" s="22">
        <v>0</v>
      </c>
      <c r="L2781" s="22">
        <v>0.02</v>
      </c>
      <c r="M2781" s="10"/>
      <c r="O2781" s="11"/>
    </row>
    <row r="2782" spans="1:15" s="4" customFormat="1" x14ac:dyDescent="0.25">
      <c r="A2782" s="6"/>
      <c r="B2782" s="5"/>
      <c r="C2782" s="5"/>
      <c r="D2782" s="5" t="s">
        <v>357</v>
      </c>
      <c r="E2782" s="5" t="s">
        <v>358</v>
      </c>
      <c r="F2782" s="5" t="s">
        <v>19</v>
      </c>
      <c r="G2782" s="14">
        <f t="shared" ref="G2782:L2782" si="703">SUBTOTAL(9,G2781:G2781)</f>
        <v>0.02</v>
      </c>
      <c r="H2782" s="14">
        <f t="shared" si="703"/>
        <v>0</v>
      </c>
      <c r="I2782" s="14">
        <f t="shared" si="703"/>
        <v>0</v>
      </c>
      <c r="J2782" s="14">
        <f t="shared" si="703"/>
        <v>0</v>
      </c>
      <c r="K2782" s="14">
        <f t="shared" si="703"/>
        <v>0</v>
      </c>
      <c r="L2782" s="14">
        <f t="shared" si="703"/>
        <v>0.02</v>
      </c>
      <c r="M2782" s="10">
        <v>2796</v>
      </c>
      <c r="N2782" s="69"/>
      <c r="O2782" s="11">
        <f>O2779+1</f>
        <v>677</v>
      </c>
    </row>
    <row r="2783" spans="1:15" s="4" customFormat="1" x14ac:dyDescent="0.25">
      <c r="A2783" s="10"/>
      <c r="B2783"/>
      <c r="C2783"/>
      <c r="D2783"/>
      <c r="E2783"/>
      <c r="F2783"/>
      <c r="G2783" s="21"/>
      <c r="H2783" s="21"/>
      <c r="I2783" s="21"/>
      <c r="J2783" s="21"/>
      <c r="K2783" s="21"/>
      <c r="L2783" s="21"/>
      <c r="M2783" s="10"/>
      <c r="N2783" s="67"/>
      <c r="O2783" s="11"/>
    </row>
    <row r="2784" spans="1:15" x14ac:dyDescent="0.25">
      <c r="A2784" s="6">
        <v>1370</v>
      </c>
      <c r="B2784" s="5" t="s">
        <v>550</v>
      </c>
      <c r="C2784" s="5" t="s">
        <v>17</v>
      </c>
      <c r="D2784" s="5" t="s">
        <v>622</v>
      </c>
      <c r="E2784" s="5" t="s">
        <v>623</v>
      </c>
      <c r="F2784" s="5" t="s">
        <v>551</v>
      </c>
      <c r="G2784" s="22">
        <v>41.81</v>
      </c>
      <c r="H2784" s="22">
        <v>0</v>
      </c>
      <c r="I2784" s="22">
        <v>0</v>
      </c>
      <c r="J2784" s="22">
        <v>0</v>
      </c>
      <c r="K2784" s="22">
        <v>0</v>
      </c>
      <c r="L2784" s="22">
        <v>41.81</v>
      </c>
      <c r="M2784" s="10"/>
      <c r="O2784" s="11"/>
    </row>
    <row r="2785" spans="1:15" x14ac:dyDescent="0.25">
      <c r="A2785" s="6">
        <v>1371</v>
      </c>
      <c r="B2785" s="5" t="s">
        <v>550</v>
      </c>
      <c r="C2785" s="5" t="s">
        <v>17</v>
      </c>
      <c r="D2785" s="5" t="s">
        <v>622</v>
      </c>
      <c r="E2785" s="5" t="s">
        <v>623</v>
      </c>
      <c r="F2785" s="5" t="s">
        <v>551</v>
      </c>
      <c r="G2785" s="22">
        <v>648.79</v>
      </c>
      <c r="H2785" s="22">
        <v>0</v>
      </c>
      <c r="I2785" s="22">
        <v>0</v>
      </c>
      <c r="J2785" s="22">
        <v>0</v>
      </c>
      <c r="K2785" s="22">
        <v>0</v>
      </c>
      <c r="L2785" s="22">
        <v>648.79</v>
      </c>
      <c r="M2785" s="10"/>
      <c r="O2785" s="11"/>
    </row>
    <row r="2786" spans="1:15" s="4" customFormat="1" x14ac:dyDescent="0.25">
      <c r="A2786" s="6">
        <v>1372</v>
      </c>
      <c r="B2786" s="5" t="s">
        <v>550</v>
      </c>
      <c r="C2786" s="5" t="s">
        <v>13</v>
      </c>
      <c r="D2786" s="5" t="s">
        <v>622</v>
      </c>
      <c r="E2786" s="5" t="s">
        <v>623</v>
      </c>
      <c r="F2786" s="5" t="s">
        <v>551</v>
      </c>
      <c r="G2786" s="22">
        <v>0</v>
      </c>
      <c r="H2786" s="22">
        <v>0</v>
      </c>
      <c r="I2786" s="22">
        <v>0</v>
      </c>
      <c r="J2786" s="22">
        <v>5.0199999999999996</v>
      </c>
      <c r="K2786" s="22">
        <v>0</v>
      </c>
      <c r="L2786" s="22">
        <v>5.0199999999999996</v>
      </c>
      <c r="M2786" s="10"/>
      <c r="N2786" s="67"/>
      <c r="O2786" s="11"/>
    </row>
    <row r="2787" spans="1:15" x14ac:dyDescent="0.25">
      <c r="A2787" s="6">
        <v>1373</v>
      </c>
      <c r="B2787" s="5" t="s">
        <v>550</v>
      </c>
      <c r="C2787" s="5" t="s">
        <v>13</v>
      </c>
      <c r="D2787" s="5" t="s">
        <v>622</v>
      </c>
      <c r="E2787" s="5" t="s">
        <v>623</v>
      </c>
      <c r="F2787" s="5" t="s">
        <v>551</v>
      </c>
      <c r="G2787" s="22">
        <v>0</v>
      </c>
      <c r="H2787" s="22">
        <v>0</v>
      </c>
      <c r="I2787" s="22">
        <v>0</v>
      </c>
      <c r="J2787" s="22">
        <v>77.849999999999994</v>
      </c>
      <c r="K2787" s="22">
        <v>0</v>
      </c>
      <c r="L2787" s="22">
        <v>77.849999999999994</v>
      </c>
      <c r="M2787" s="10"/>
      <c r="O2787" s="11"/>
    </row>
    <row r="2788" spans="1:15" x14ac:dyDescent="0.25">
      <c r="A2788" s="6"/>
      <c r="B2788" s="5"/>
      <c r="C2788" s="5"/>
      <c r="D2788" s="5" t="s">
        <v>357</v>
      </c>
      <c r="E2788" s="5" t="s">
        <v>623</v>
      </c>
      <c r="F2788" s="5" t="s">
        <v>551</v>
      </c>
      <c r="G2788" s="14">
        <f t="shared" ref="G2788:L2788" si="704">SUBTOTAL(9,G2784:G2787)</f>
        <v>690.59999999999991</v>
      </c>
      <c r="H2788" s="14">
        <f t="shared" si="704"/>
        <v>0</v>
      </c>
      <c r="I2788" s="14">
        <f t="shared" si="704"/>
        <v>0</v>
      </c>
      <c r="J2788" s="14">
        <f t="shared" si="704"/>
        <v>82.86999999999999</v>
      </c>
      <c r="K2788" s="14">
        <f t="shared" si="704"/>
        <v>0</v>
      </c>
      <c r="L2788" s="14">
        <f t="shared" si="704"/>
        <v>773.46999999999991</v>
      </c>
      <c r="M2788" s="10">
        <v>2797</v>
      </c>
      <c r="N2788" s="69"/>
      <c r="O2788" s="11">
        <f>O2782+1</f>
        <v>678</v>
      </c>
    </row>
    <row r="2789" spans="1:15" s="4" customFormat="1" x14ac:dyDescent="0.25">
      <c r="A2789" s="10"/>
      <c r="B2789"/>
      <c r="C2789"/>
      <c r="D2789"/>
      <c r="E2789"/>
      <c r="F2789"/>
      <c r="G2789" s="21"/>
      <c r="H2789" s="21"/>
      <c r="I2789" s="21"/>
      <c r="J2789" s="21"/>
      <c r="K2789" s="21"/>
      <c r="L2789" s="21"/>
      <c r="M2789" s="10"/>
      <c r="N2789" s="67"/>
      <c r="O2789" s="11"/>
    </row>
    <row r="2790" spans="1:15" x14ac:dyDescent="0.25">
      <c r="A2790" s="6">
        <v>1374</v>
      </c>
      <c r="B2790" s="5" t="s">
        <v>550</v>
      </c>
      <c r="C2790" s="5" t="s">
        <v>17</v>
      </c>
      <c r="D2790" s="5" t="s">
        <v>622</v>
      </c>
      <c r="E2790" s="5" t="s">
        <v>623</v>
      </c>
      <c r="F2790" s="5" t="s">
        <v>552</v>
      </c>
      <c r="G2790" s="22">
        <v>0.05</v>
      </c>
      <c r="H2790" s="22">
        <v>0</v>
      </c>
      <c r="I2790" s="22">
        <v>0</v>
      </c>
      <c r="J2790" s="22">
        <v>0</v>
      </c>
      <c r="K2790" s="22">
        <v>0</v>
      </c>
      <c r="L2790" s="22">
        <v>0.05</v>
      </c>
      <c r="M2790" s="10"/>
      <c r="O2790" s="11"/>
    </row>
    <row r="2791" spans="1:15" x14ac:dyDescent="0.25">
      <c r="A2791" s="6">
        <v>1375</v>
      </c>
      <c r="B2791" s="5" t="s">
        <v>550</v>
      </c>
      <c r="C2791" s="5" t="s">
        <v>13</v>
      </c>
      <c r="D2791" s="5" t="s">
        <v>622</v>
      </c>
      <c r="E2791" s="5" t="s">
        <v>623</v>
      </c>
      <c r="F2791" s="5" t="s">
        <v>552</v>
      </c>
      <c r="G2791" s="22">
        <v>0</v>
      </c>
      <c r="H2791" s="22">
        <v>0</v>
      </c>
      <c r="I2791" s="22">
        <v>0</v>
      </c>
      <c r="J2791" s="22">
        <v>0.01</v>
      </c>
      <c r="K2791" s="22">
        <v>0</v>
      </c>
      <c r="L2791" s="22">
        <v>0.01</v>
      </c>
      <c r="M2791" s="10"/>
      <c r="O2791" s="11"/>
    </row>
    <row r="2792" spans="1:15" s="4" customFormat="1" x14ac:dyDescent="0.25">
      <c r="A2792" s="6"/>
      <c r="B2792" s="5"/>
      <c r="C2792" s="5"/>
      <c r="D2792" s="5" t="s">
        <v>357</v>
      </c>
      <c r="E2792" s="5" t="s">
        <v>623</v>
      </c>
      <c r="F2792" s="5" t="s">
        <v>552</v>
      </c>
      <c r="G2792" s="14">
        <f t="shared" ref="G2792:L2792" si="705">SUBTOTAL(9,G2790:G2791)</f>
        <v>0.05</v>
      </c>
      <c r="H2792" s="14">
        <f t="shared" si="705"/>
        <v>0</v>
      </c>
      <c r="I2792" s="14">
        <f t="shared" si="705"/>
        <v>0</v>
      </c>
      <c r="J2792" s="14">
        <f t="shared" si="705"/>
        <v>0.01</v>
      </c>
      <c r="K2792" s="14">
        <f t="shared" si="705"/>
        <v>0</v>
      </c>
      <c r="L2792" s="14">
        <f t="shared" si="705"/>
        <v>6.0000000000000005E-2</v>
      </c>
      <c r="M2792" s="10">
        <v>2798</v>
      </c>
      <c r="N2792" s="69"/>
      <c r="O2792" s="11">
        <f>O2788+1</f>
        <v>679</v>
      </c>
    </row>
    <row r="2793" spans="1:15" x14ac:dyDescent="0.25">
      <c r="A2793" s="10"/>
      <c r="G2793" s="21"/>
      <c r="H2793" s="21"/>
      <c r="I2793" s="21"/>
      <c r="J2793" s="21"/>
      <c r="K2793" s="21"/>
      <c r="L2793" s="21"/>
      <c r="M2793" s="10"/>
      <c r="O2793" s="11"/>
    </row>
    <row r="2794" spans="1:15" x14ac:dyDescent="0.25">
      <c r="A2794" s="6">
        <v>1376</v>
      </c>
      <c r="B2794" s="5" t="s">
        <v>550</v>
      </c>
      <c r="C2794" s="5" t="s">
        <v>17</v>
      </c>
      <c r="D2794" s="5" t="s">
        <v>359</v>
      </c>
      <c r="E2794" s="5" t="s">
        <v>360</v>
      </c>
      <c r="F2794" s="5" t="s">
        <v>551</v>
      </c>
      <c r="G2794" s="22">
        <v>0</v>
      </c>
      <c r="H2794" s="22">
        <v>0</v>
      </c>
      <c r="I2794" s="22">
        <v>2.0699999999999998</v>
      </c>
      <c r="J2794" s="22">
        <v>0</v>
      </c>
      <c r="K2794" s="22">
        <v>-0.04</v>
      </c>
      <c r="L2794" s="22">
        <v>2.0299999999999998</v>
      </c>
      <c r="M2794" s="10"/>
      <c r="O2794" s="11"/>
    </row>
    <row r="2795" spans="1:15" s="4" customFormat="1" x14ac:dyDescent="0.25">
      <c r="A2795" s="6"/>
      <c r="B2795" s="5"/>
      <c r="C2795" s="5"/>
      <c r="D2795" s="5" t="s">
        <v>359</v>
      </c>
      <c r="E2795" s="5" t="s">
        <v>360</v>
      </c>
      <c r="F2795" s="5" t="s">
        <v>551</v>
      </c>
      <c r="G2795" s="14">
        <f>SUM(G2794)</f>
        <v>0</v>
      </c>
      <c r="H2795" s="14">
        <f t="shared" ref="H2795:L2795" si="706">SUM(H2794)</f>
        <v>0</v>
      </c>
      <c r="I2795" s="14">
        <f t="shared" si="706"/>
        <v>2.0699999999999998</v>
      </c>
      <c r="J2795" s="14">
        <f t="shared" si="706"/>
        <v>0</v>
      </c>
      <c r="K2795" s="14">
        <f t="shared" si="706"/>
        <v>-0.04</v>
      </c>
      <c r="L2795" s="14">
        <f t="shared" si="706"/>
        <v>2.0299999999999998</v>
      </c>
      <c r="M2795" s="10">
        <v>2799</v>
      </c>
      <c r="N2795" s="69"/>
      <c r="O2795" s="11">
        <f>O2792+1</f>
        <v>680</v>
      </c>
    </row>
    <row r="2796" spans="1:15" s="4" customFormat="1" x14ac:dyDescent="0.25">
      <c r="A2796" s="6"/>
      <c r="B2796" s="5"/>
      <c r="C2796" s="5"/>
      <c r="D2796" s="5"/>
      <c r="E2796" s="5"/>
      <c r="F2796" s="5"/>
      <c r="G2796" s="22"/>
      <c r="H2796" s="22"/>
      <c r="I2796" s="22"/>
      <c r="J2796" s="22"/>
      <c r="K2796" s="22"/>
      <c r="L2796" s="22"/>
      <c r="M2796" s="10"/>
      <c r="N2796" s="67"/>
      <c r="O2796" s="11"/>
    </row>
    <row r="2797" spans="1:15" x14ac:dyDescent="0.25">
      <c r="A2797" s="6">
        <v>1377</v>
      </c>
      <c r="B2797" s="5" t="s">
        <v>550</v>
      </c>
      <c r="C2797" s="5" t="s">
        <v>17</v>
      </c>
      <c r="D2797" s="5" t="s">
        <v>361</v>
      </c>
      <c r="E2797" s="5" t="s">
        <v>362</v>
      </c>
      <c r="F2797" s="5" t="s">
        <v>551</v>
      </c>
      <c r="G2797" s="22">
        <v>0</v>
      </c>
      <c r="H2797" s="22">
        <v>0</v>
      </c>
      <c r="I2797" s="22">
        <v>2.96</v>
      </c>
      <c r="J2797" s="22">
        <v>0</v>
      </c>
      <c r="K2797" s="22">
        <v>-0.06</v>
      </c>
      <c r="L2797" s="22">
        <v>2.9</v>
      </c>
      <c r="M2797" s="10"/>
      <c r="O2797" s="11"/>
    </row>
    <row r="2798" spans="1:15" x14ac:dyDescent="0.25">
      <c r="A2798" s="6"/>
      <c r="B2798" s="5"/>
      <c r="C2798" s="5"/>
      <c r="D2798" s="5" t="s">
        <v>361</v>
      </c>
      <c r="E2798" s="5" t="s">
        <v>362</v>
      </c>
      <c r="F2798" s="5" t="s">
        <v>551</v>
      </c>
      <c r="G2798" s="14">
        <f>SUM(G2797)</f>
        <v>0</v>
      </c>
      <c r="H2798" s="14">
        <f t="shared" ref="H2798:L2798" si="707">SUM(H2797)</f>
        <v>0</v>
      </c>
      <c r="I2798" s="14">
        <f t="shared" si="707"/>
        <v>2.96</v>
      </c>
      <c r="J2798" s="14">
        <f t="shared" si="707"/>
        <v>0</v>
      </c>
      <c r="K2798" s="14">
        <f t="shared" si="707"/>
        <v>-0.06</v>
      </c>
      <c r="L2798" s="14">
        <f t="shared" si="707"/>
        <v>2.9</v>
      </c>
      <c r="M2798" s="10">
        <v>2800</v>
      </c>
      <c r="N2798" s="69"/>
      <c r="O2798" s="11">
        <f>O2795+1</f>
        <v>681</v>
      </c>
    </row>
    <row r="2799" spans="1:15" s="4" customFormat="1" x14ac:dyDescent="0.25">
      <c r="A2799" s="10"/>
      <c r="B2799"/>
      <c r="C2799"/>
      <c r="D2799"/>
      <c r="E2799"/>
      <c r="F2799"/>
      <c r="G2799" s="21"/>
      <c r="H2799" s="21"/>
      <c r="I2799" s="21"/>
      <c r="J2799" s="21"/>
      <c r="K2799" s="21"/>
      <c r="L2799" s="21"/>
      <c r="M2799" s="10"/>
      <c r="N2799" s="67"/>
      <c r="O2799" s="11"/>
    </row>
    <row r="2800" spans="1:15" s="4" customFormat="1" x14ac:dyDescent="0.25">
      <c r="A2800" s="6">
        <v>1378</v>
      </c>
      <c r="B2800" s="5" t="s">
        <v>18</v>
      </c>
      <c r="C2800" s="5" t="s">
        <v>17</v>
      </c>
      <c r="D2800" s="5" t="s">
        <v>363</v>
      </c>
      <c r="E2800" s="5" t="s">
        <v>356</v>
      </c>
      <c r="F2800" s="5" t="s">
        <v>19</v>
      </c>
      <c r="G2800" s="22">
        <v>0</v>
      </c>
      <c r="H2800" s="22">
        <v>0</v>
      </c>
      <c r="I2800" s="22">
        <v>0.11</v>
      </c>
      <c r="J2800" s="22">
        <v>0</v>
      </c>
      <c r="K2800" s="22">
        <v>-0.01</v>
      </c>
      <c r="L2800" s="22">
        <v>0.1</v>
      </c>
      <c r="M2800" s="10"/>
      <c r="N2800" s="67"/>
      <c r="O2800" s="11"/>
    </row>
    <row r="2801" spans="1:15" x14ac:dyDescent="0.25">
      <c r="A2801" s="6">
        <v>1379</v>
      </c>
      <c r="B2801" s="5" t="s">
        <v>18</v>
      </c>
      <c r="C2801" s="5" t="s">
        <v>17</v>
      </c>
      <c r="D2801" s="5" t="s">
        <v>624</v>
      </c>
      <c r="E2801" s="5" t="s">
        <v>356</v>
      </c>
      <c r="F2801" s="5" t="s">
        <v>19</v>
      </c>
      <c r="G2801" s="22">
        <v>0</v>
      </c>
      <c r="H2801" s="22">
        <v>0</v>
      </c>
      <c r="I2801" s="22">
        <v>0.04</v>
      </c>
      <c r="J2801" s="22">
        <v>0</v>
      </c>
      <c r="K2801" s="22">
        <v>0</v>
      </c>
      <c r="L2801" s="22">
        <v>0.04</v>
      </c>
      <c r="M2801" s="10"/>
      <c r="O2801" s="11"/>
    </row>
    <row r="2802" spans="1:15" x14ac:dyDescent="0.25">
      <c r="A2802" s="6"/>
      <c r="B2802" s="5"/>
      <c r="C2802" s="5"/>
      <c r="D2802" s="5" t="s">
        <v>363</v>
      </c>
      <c r="E2802" s="5" t="s">
        <v>356</v>
      </c>
      <c r="F2802" s="5" t="s">
        <v>19</v>
      </c>
      <c r="G2802" s="14">
        <f t="shared" ref="G2802:L2802" si="708">SUBTOTAL(9,G2800:G2801)</f>
        <v>0</v>
      </c>
      <c r="H2802" s="14">
        <f t="shared" si="708"/>
        <v>0</v>
      </c>
      <c r="I2802" s="14">
        <f t="shared" si="708"/>
        <v>0.15</v>
      </c>
      <c r="J2802" s="14">
        <f t="shared" si="708"/>
        <v>0</v>
      </c>
      <c r="K2802" s="14">
        <f t="shared" si="708"/>
        <v>-0.01</v>
      </c>
      <c r="L2802" s="14">
        <f t="shared" si="708"/>
        <v>0.14000000000000001</v>
      </c>
      <c r="M2802" s="10">
        <v>2801</v>
      </c>
      <c r="N2802" s="69"/>
      <c r="O2802" s="11">
        <f>O2798+1</f>
        <v>682</v>
      </c>
    </row>
    <row r="2803" spans="1:15" s="4" customFormat="1" x14ac:dyDescent="0.25">
      <c r="A2803" s="10"/>
      <c r="B2803"/>
      <c r="C2803"/>
      <c r="D2803"/>
      <c r="E2803"/>
      <c r="F2803"/>
      <c r="G2803" s="21"/>
      <c r="H2803" s="21"/>
      <c r="I2803" s="21"/>
      <c r="J2803" s="21"/>
      <c r="K2803" s="21"/>
      <c r="L2803" s="21"/>
      <c r="M2803" s="10"/>
      <c r="N2803" s="67"/>
      <c r="O2803" s="11"/>
    </row>
    <row r="2804" spans="1:15" x14ac:dyDescent="0.25">
      <c r="A2804" s="6">
        <v>1380</v>
      </c>
      <c r="B2804" s="5" t="s">
        <v>20</v>
      </c>
      <c r="C2804" s="5" t="s">
        <v>17</v>
      </c>
      <c r="D2804" s="5" t="s">
        <v>624</v>
      </c>
      <c r="E2804" s="5" t="s">
        <v>356</v>
      </c>
      <c r="F2804" s="5" t="s">
        <v>21</v>
      </c>
      <c r="G2804" s="22">
        <v>0</v>
      </c>
      <c r="H2804" s="22">
        <v>0</v>
      </c>
      <c r="I2804" s="22">
        <v>121.01</v>
      </c>
      <c r="J2804" s="22">
        <v>0</v>
      </c>
      <c r="K2804" s="22">
        <v>-2.42</v>
      </c>
      <c r="L2804" s="22">
        <v>118.59</v>
      </c>
      <c r="M2804" s="10"/>
      <c r="O2804" s="11"/>
    </row>
    <row r="2805" spans="1:15" x14ac:dyDescent="0.25">
      <c r="A2805" s="6">
        <v>1381</v>
      </c>
      <c r="B2805" s="5" t="s">
        <v>20</v>
      </c>
      <c r="C2805" s="5" t="s">
        <v>49</v>
      </c>
      <c r="D2805" s="5" t="s">
        <v>624</v>
      </c>
      <c r="E2805" s="5" t="s">
        <v>356</v>
      </c>
      <c r="F2805" s="5" t="s">
        <v>21</v>
      </c>
      <c r="G2805" s="22">
        <v>0</v>
      </c>
      <c r="H2805" s="22">
        <v>0</v>
      </c>
      <c r="I2805" s="22">
        <v>0.71</v>
      </c>
      <c r="J2805" s="22">
        <v>0</v>
      </c>
      <c r="K2805" s="22">
        <v>0</v>
      </c>
      <c r="L2805" s="22">
        <v>0.71</v>
      </c>
      <c r="M2805" s="10"/>
      <c r="N2805" s="70">
        <v>0.71</v>
      </c>
      <c r="O2805" s="11"/>
    </row>
    <row r="2806" spans="1:15" s="4" customFormat="1" x14ac:dyDescent="0.25">
      <c r="A2806" s="6"/>
      <c r="B2806" s="5"/>
      <c r="C2806" s="5"/>
      <c r="D2806" s="5" t="s">
        <v>363</v>
      </c>
      <c r="E2806" s="5" t="s">
        <v>356</v>
      </c>
      <c r="F2806" s="5" t="s">
        <v>21</v>
      </c>
      <c r="G2806" s="14">
        <f t="shared" ref="G2806:L2806" si="709">SUBTOTAL(9,G2804:G2805)</f>
        <v>0</v>
      </c>
      <c r="H2806" s="14">
        <f t="shared" si="709"/>
        <v>0</v>
      </c>
      <c r="I2806" s="14">
        <f t="shared" si="709"/>
        <v>121.72</v>
      </c>
      <c r="J2806" s="14">
        <f t="shared" si="709"/>
        <v>0</v>
      </c>
      <c r="K2806" s="14">
        <f t="shared" si="709"/>
        <v>-2.42</v>
      </c>
      <c r="L2806" s="14">
        <f t="shared" si="709"/>
        <v>119.3</v>
      </c>
      <c r="M2806" s="10">
        <v>2802</v>
      </c>
      <c r="N2806" s="71">
        <f>SUBTOTAL(9,N2804:N2805)</f>
        <v>0.71</v>
      </c>
      <c r="O2806" s="11">
        <f>O2802+1</f>
        <v>683</v>
      </c>
    </row>
    <row r="2807" spans="1:15" s="4" customFormat="1" x14ac:dyDescent="0.25">
      <c r="A2807" s="10"/>
      <c r="B2807"/>
      <c r="C2807"/>
      <c r="D2807"/>
      <c r="E2807"/>
      <c r="F2807"/>
      <c r="G2807" s="21"/>
      <c r="H2807" s="21"/>
      <c r="I2807" s="21"/>
      <c r="J2807" s="21"/>
      <c r="K2807" s="21"/>
      <c r="L2807" s="21"/>
      <c r="M2807" s="10"/>
      <c r="N2807" s="67"/>
      <c r="O2807" s="11"/>
    </row>
    <row r="2808" spans="1:15" x14ac:dyDescent="0.25">
      <c r="A2808" s="6">
        <v>1382</v>
      </c>
      <c r="B2808" s="5" t="s">
        <v>22</v>
      </c>
      <c r="C2808" s="5" t="s">
        <v>17</v>
      </c>
      <c r="D2808" s="5" t="s">
        <v>624</v>
      </c>
      <c r="E2808" s="5" t="s">
        <v>356</v>
      </c>
      <c r="F2808" s="5" t="s">
        <v>23</v>
      </c>
      <c r="G2808" s="22">
        <v>0</v>
      </c>
      <c r="H2808" s="22">
        <v>0</v>
      </c>
      <c r="I2808" s="22">
        <v>1.74</v>
      </c>
      <c r="J2808" s="22">
        <v>0</v>
      </c>
      <c r="K2808" s="22">
        <v>-0.03</v>
      </c>
      <c r="L2808" s="22">
        <v>1.71</v>
      </c>
      <c r="M2808" s="10"/>
      <c r="O2808" s="11"/>
    </row>
    <row r="2809" spans="1:15" x14ac:dyDescent="0.25">
      <c r="A2809" s="6">
        <v>1383</v>
      </c>
      <c r="B2809" s="5" t="s">
        <v>22</v>
      </c>
      <c r="C2809" s="5" t="s">
        <v>17</v>
      </c>
      <c r="D2809" s="5" t="s">
        <v>624</v>
      </c>
      <c r="E2809" s="5" t="s">
        <v>356</v>
      </c>
      <c r="F2809" s="5" t="s">
        <v>23</v>
      </c>
      <c r="G2809" s="22">
        <v>0</v>
      </c>
      <c r="H2809" s="22">
        <v>0</v>
      </c>
      <c r="I2809" s="22">
        <v>132.54</v>
      </c>
      <c r="J2809" s="22">
        <v>0</v>
      </c>
      <c r="K2809" s="22">
        <v>-2.65</v>
      </c>
      <c r="L2809" s="22">
        <v>129.88999999999999</v>
      </c>
      <c r="M2809" s="10"/>
      <c r="O2809" s="11"/>
    </row>
    <row r="2810" spans="1:15" s="4" customFormat="1" x14ac:dyDescent="0.25">
      <c r="A2810" s="6">
        <v>1384</v>
      </c>
      <c r="B2810" s="5" t="s">
        <v>22</v>
      </c>
      <c r="C2810" s="5" t="s">
        <v>49</v>
      </c>
      <c r="D2810" s="5" t="s">
        <v>624</v>
      </c>
      <c r="E2810" s="5" t="s">
        <v>356</v>
      </c>
      <c r="F2810" s="5" t="s">
        <v>23</v>
      </c>
      <c r="G2810" s="22">
        <v>0</v>
      </c>
      <c r="H2810" s="22">
        <v>0</v>
      </c>
      <c r="I2810" s="22">
        <v>0.16</v>
      </c>
      <c r="J2810" s="22">
        <v>0</v>
      </c>
      <c r="K2810" s="22">
        <v>0</v>
      </c>
      <c r="L2810" s="22">
        <v>0.16</v>
      </c>
      <c r="M2810" s="10"/>
      <c r="N2810" s="70">
        <v>0.16</v>
      </c>
      <c r="O2810" s="11"/>
    </row>
    <row r="2811" spans="1:15" s="4" customFormat="1" x14ac:dyDescent="0.25">
      <c r="A2811" s="6"/>
      <c r="B2811" s="5"/>
      <c r="C2811" s="5"/>
      <c r="D2811" s="5" t="s">
        <v>624</v>
      </c>
      <c r="E2811" s="5" t="s">
        <v>356</v>
      </c>
      <c r="F2811" s="5" t="s">
        <v>23</v>
      </c>
      <c r="G2811" s="14">
        <f t="shared" ref="G2811:L2811" si="710">SUBTOTAL(9,G2808:G2810)</f>
        <v>0</v>
      </c>
      <c r="H2811" s="14">
        <f t="shared" si="710"/>
        <v>0</v>
      </c>
      <c r="I2811" s="14">
        <f t="shared" si="710"/>
        <v>134.44</v>
      </c>
      <c r="J2811" s="14">
        <f t="shared" si="710"/>
        <v>0</v>
      </c>
      <c r="K2811" s="14">
        <f t="shared" si="710"/>
        <v>-2.6799999999999997</v>
      </c>
      <c r="L2811" s="14">
        <f t="shared" si="710"/>
        <v>131.76</v>
      </c>
      <c r="M2811" s="10">
        <v>2803</v>
      </c>
      <c r="N2811" s="71">
        <f>SUBTOTAL(9,N2808:N2810)</f>
        <v>0.16</v>
      </c>
      <c r="O2811" s="11">
        <f>O2806+1</f>
        <v>684</v>
      </c>
    </row>
    <row r="2812" spans="1:15" x14ac:dyDescent="0.25">
      <c r="A2812" s="10"/>
      <c r="G2812" s="21"/>
      <c r="H2812" s="21"/>
      <c r="I2812" s="21"/>
      <c r="J2812" s="21"/>
      <c r="K2812" s="21"/>
      <c r="L2812" s="21"/>
      <c r="M2812" s="10"/>
      <c r="O2812" s="11"/>
    </row>
    <row r="2813" spans="1:15" x14ac:dyDescent="0.25">
      <c r="A2813" s="6">
        <v>1385</v>
      </c>
      <c r="B2813" s="5" t="s">
        <v>22</v>
      </c>
      <c r="C2813" s="5" t="s">
        <v>17</v>
      </c>
      <c r="D2813" s="5" t="s">
        <v>624</v>
      </c>
      <c r="E2813" s="5" t="s">
        <v>356</v>
      </c>
      <c r="F2813" s="5" t="s">
        <v>24</v>
      </c>
      <c r="G2813" s="22">
        <v>0</v>
      </c>
      <c r="H2813" s="22">
        <v>0</v>
      </c>
      <c r="I2813" s="22">
        <v>0.26</v>
      </c>
      <c r="J2813" s="22">
        <v>0</v>
      </c>
      <c r="K2813" s="22">
        <v>-0.01</v>
      </c>
      <c r="L2813" s="22">
        <v>0.25</v>
      </c>
      <c r="M2813" s="10"/>
      <c r="O2813" s="11"/>
    </row>
    <row r="2814" spans="1:15" s="4" customFormat="1" x14ac:dyDescent="0.25">
      <c r="A2814" s="6"/>
      <c r="B2814" s="5"/>
      <c r="C2814" s="5"/>
      <c r="D2814" s="5" t="s">
        <v>363</v>
      </c>
      <c r="E2814" s="5" t="s">
        <v>356</v>
      </c>
      <c r="F2814" s="5" t="s">
        <v>24</v>
      </c>
      <c r="G2814" s="14">
        <f t="shared" ref="G2814:L2814" si="711">SUBTOTAL(9,G2813:G2813)</f>
        <v>0</v>
      </c>
      <c r="H2814" s="14">
        <f t="shared" si="711"/>
        <v>0</v>
      </c>
      <c r="I2814" s="14">
        <f t="shared" si="711"/>
        <v>0.26</v>
      </c>
      <c r="J2814" s="14">
        <f t="shared" si="711"/>
        <v>0</v>
      </c>
      <c r="K2814" s="14">
        <f t="shared" si="711"/>
        <v>-0.01</v>
      </c>
      <c r="L2814" s="14">
        <f t="shared" si="711"/>
        <v>0.25</v>
      </c>
      <c r="M2814" s="10">
        <v>2804</v>
      </c>
      <c r="N2814" s="69"/>
      <c r="O2814" s="11">
        <f>O2811+1</f>
        <v>685</v>
      </c>
    </row>
    <row r="2815" spans="1:15" s="4" customFormat="1" x14ac:dyDescent="0.25">
      <c r="A2815" s="10"/>
      <c r="B2815"/>
      <c r="C2815"/>
      <c r="D2815"/>
      <c r="E2815"/>
      <c r="F2815"/>
      <c r="G2815" s="21"/>
      <c r="H2815" s="21"/>
      <c r="I2815" s="21"/>
      <c r="J2815" s="21"/>
      <c r="K2815" s="21"/>
      <c r="L2815" s="21"/>
      <c r="M2815" s="10"/>
      <c r="N2815" s="67"/>
      <c r="O2815" s="11"/>
    </row>
    <row r="2816" spans="1:15" x14ac:dyDescent="0.25">
      <c r="A2816" s="6">
        <v>1386</v>
      </c>
      <c r="B2816" s="5" t="s">
        <v>550</v>
      </c>
      <c r="C2816" s="5" t="s">
        <v>17</v>
      </c>
      <c r="D2816" s="5" t="s">
        <v>624</v>
      </c>
      <c r="E2816" s="5" t="s">
        <v>356</v>
      </c>
      <c r="F2816" s="5" t="s">
        <v>551</v>
      </c>
      <c r="G2816" s="22">
        <v>0</v>
      </c>
      <c r="H2816" s="22">
        <v>0</v>
      </c>
      <c r="I2816" s="22">
        <v>46.4</v>
      </c>
      <c r="J2816" s="22">
        <v>0</v>
      </c>
      <c r="K2816" s="22">
        <v>-0.93</v>
      </c>
      <c r="L2816" s="22">
        <v>45.47</v>
      </c>
      <c r="M2816" s="10"/>
      <c r="O2816" s="11"/>
    </row>
    <row r="2817" spans="1:15" x14ac:dyDescent="0.25">
      <c r="A2817" s="6">
        <v>1387</v>
      </c>
      <c r="B2817" s="5" t="s">
        <v>550</v>
      </c>
      <c r="C2817" s="5" t="s">
        <v>17</v>
      </c>
      <c r="D2817" s="5" t="s">
        <v>624</v>
      </c>
      <c r="E2817" s="5" t="s">
        <v>356</v>
      </c>
      <c r="F2817" s="5" t="s">
        <v>551</v>
      </c>
      <c r="G2817" s="22">
        <v>0</v>
      </c>
      <c r="H2817" s="22">
        <v>0</v>
      </c>
      <c r="I2817" s="22">
        <v>356.84</v>
      </c>
      <c r="J2817" s="22">
        <v>0</v>
      </c>
      <c r="K2817" s="22">
        <v>-7.14</v>
      </c>
      <c r="L2817" s="22">
        <v>349.7</v>
      </c>
      <c r="M2817" s="10"/>
      <c r="O2817" s="11"/>
    </row>
    <row r="2818" spans="1:15" s="4" customFormat="1" x14ac:dyDescent="0.25">
      <c r="A2818" s="6"/>
      <c r="B2818" s="5"/>
      <c r="C2818" s="5"/>
      <c r="D2818" s="5" t="s">
        <v>363</v>
      </c>
      <c r="E2818" s="5" t="s">
        <v>356</v>
      </c>
      <c r="F2818" s="5" t="s">
        <v>551</v>
      </c>
      <c r="G2818" s="14">
        <f t="shared" ref="G2818:L2818" si="712">SUBTOTAL(9,G2816:G2817)</f>
        <v>0</v>
      </c>
      <c r="H2818" s="14">
        <f t="shared" si="712"/>
        <v>0</v>
      </c>
      <c r="I2818" s="14">
        <f t="shared" si="712"/>
        <v>403.23999999999995</v>
      </c>
      <c r="J2818" s="14">
        <f t="shared" si="712"/>
        <v>0</v>
      </c>
      <c r="K2818" s="14">
        <f t="shared" si="712"/>
        <v>-8.07</v>
      </c>
      <c r="L2818" s="14">
        <f t="shared" si="712"/>
        <v>395.16999999999996</v>
      </c>
      <c r="M2818" s="10">
        <v>2805</v>
      </c>
      <c r="N2818" s="69"/>
      <c r="O2818" s="11">
        <f>O2814+1</f>
        <v>686</v>
      </c>
    </row>
    <row r="2819" spans="1:15" s="4" customFormat="1" x14ac:dyDescent="0.25">
      <c r="A2819" s="10"/>
      <c r="B2819"/>
      <c r="C2819"/>
      <c r="D2819"/>
      <c r="E2819"/>
      <c r="F2819"/>
      <c r="G2819" s="21"/>
      <c r="H2819" s="21"/>
      <c r="I2819" s="21"/>
      <c r="J2819" s="21"/>
      <c r="K2819" s="21"/>
      <c r="L2819" s="21"/>
      <c r="M2819" s="10"/>
      <c r="N2819" s="67"/>
      <c r="O2819" s="11"/>
    </row>
    <row r="2820" spans="1:15" x14ac:dyDescent="0.25">
      <c r="A2820" s="6">
        <v>1388</v>
      </c>
      <c r="B2820" s="5" t="s">
        <v>550</v>
      </c>
      <c r="C2820" s="5" t="s">
        <v>17</v>
      </c>
      <c r="D2820" s="5" t="s">
        <v>624</v>
      </c>
      <c r="E2820" s="5" t="s">
        <v>356</v>
      </c>
      <c r="F2820" s="5" t="s">
        <v>552</v>
      </c>
      <c r="G2820" s="22">
        <v>0</v>
      </c>
      <c r="H2820" s="22">
        <v>0</v>
      </c>
      <c r="I2820" s="22">
        <v>0.03</v>
      </c>
      <c r="J2820" s="22">
        <v>0</v>
      </c>
      <c r="K2820" s="22">
        <v>0</v>
      </c>
      <c r="L2820" s="22">
        <v>0.03</v>
      </c>
      <c r="M2820" s="10"/>
      <c r="O2820" s="11"/>
    </row>
    <row r="2821" spans="1:15" x14ac:dyDescent="0.25">
      <c r="A2821" s="6"/>
      <c r="B2821" s="5"/>
      <c r="C2821" s="5"/>
      <c r="D2821" s="5" t="s">
        <v>363</v>
      </c>
      <c r="E2821" s="5" t="s">
        <v>356</v>
      </c>
      <c r="F2821" s="5" t="s">
        <v>552</v>
      </c>
      <c r="G2821" s="14">
        <f t="shared" ref="G2821:L2821" si="713">SUBTOTAL(9,G2820:G2820)</f>
        <v>0</v>
      </c>
      <c r="H2821" s="14">
        <f t="shared" si="713"/>
        <v>0</v>
      </c>
      <c r="I2821" s="14">
        <f t="shared" si="713"/>
        <v>0.03</v>
      </c>
      <c r="J2821" s="14">
        <f t="shared" si="713"/>
        <v>0</v>
      </c>
      <c r="K2821" s="14">
        <f t="shared" si="713"/>
        <v>0</v>
      </c>
      <c r="L2821" s="14">
        <f t="shared" si="713"/>
        <v>0.03</v>
      </c>
      <c r="M2821" s="10">
        <v>2806</v>
      </c>
      <c r="N2821" s="69"/>
      <c r="O2821" s="11">
        <f>O2818+1</f>
        <v>687</v>
      </c>
    </row>
    <row r="2822" spans="1:15" s="4" customFormat="1" x14ac:dyDescent="0.25">
      <c r="A2822" s="10"/>
      <c r="B2822"/>
      <c r="C2822"/>
      <c r="D2822"/>
      <c r="E2822"/>
      <c r="F2822"/>
      <c r="G2822" s="21"/>
      <c r="H2822" s="21"/>
      <c r="I2822" s="21"/>
      <c r="J2822" s="21"/>
      <c r="K2822" s="21"/>
      <c r="L2822" s="21"/>
      <c r="M2822" s="10"/>
      <c r="N2822" s="67"/>
      <c r="O2822" s="11"/>
    </row>
    <row r="2823" spans="1:15" x14ac:dyDescent="0.25">
      <c r="A2823" s="6">
        <v>1389</v>
      </c>
      <c r="B2823" s="5" t="s">
        <v>559</v>
      </c>
      <c r="C2823" s="5" t="s">
        <v>17</v>
      </c>
      <c r="D2823" s="5" t="s">
        <v>364</v>
      </c>
      <c r="E2823" s="5" t="s">
        <v>365</v>
      </c>
      <c r="F2823" s="5" t="s">
        <v>560</v>
      </c>
      <c r="G2823" s="22">
        <v>1.1200000000000001</v>
      </c>
      <c r="H2823" s="22">
        <v>0</v>
      </c>
      <c r="I2823" s="22">
        <v>0</v>
      </c>
      <c r="J2823" s="22">
        <v>0</v>
      </c>
      <c r="K2823" s="22">
        <v>-0.02</v>
      </c>
      <c r="L2823" s="22">
        <v>1.1000000000000001</v>
      </c>
      <c r="M2823" s="10"/>
      <c r="O2823" s="11"/>
    </row>
    <row r="2824" spans="1:15" x14ac:dyDescent="0.25">
      <c r="A2824" s="6">
        <v>1390</v>
      </c>
      <c r="B2824" s="5" t="s">
        <v>559</v>
      </c>
      <c r="C2824" s="5" t="s">
        <v>13</v>
      </c>
      <c r="D2824" s="5" t="s">
        <v>364</v>
      </c>
      <c r="E2824" s="5" t="s">
        <v>365</v>
      </c>
      <c r="F2824" s="5" t="s">
        <v>560</v>
      </c>
      <c r="G2824" s="22">
        <v>0</v>
      </c>
      <c r="H2824" s="22">
        <v>0</v>
      </c>
      <c r="I2824" s="22">
        <v>0</v>
      </c>
      <c r="J2824" s="22">
        <v>0.13</v>
      </c>
      <c r="K2824" s="22">
        <v>0</v>
      </c>
      <c r="L2824" s="22">
        <v>0.13</v>
      </c>
      <c r="M2824" s="10"/>
      <c r="O2824" s="11"/>
    </row>
    <row r="2825" spans="1:15" s="4" customFormat="1" x14ac:dyDescent="0.25">
      <c r="A2825" s="6"/>
      <c r="B2825" s="5"/>
      <c r="C2825" s="5"/>
      <c r="D2825" s="5" t="s">
        <v>364</v>
      </c>
      <c r="E2825" s="5" t="s">
        <v>365</v>
      </c>
      <c r="F2825" s="5" t="s">
        <v>560</v>
      </c>
      <c r="G2825" s="14">
        <f t="shared" ref="G2825:L2825" si="714">SUBTOTAL(9,G2823:G2824)</f>
        <v>1.1200000000000001</v>
      </c>
      <c r="H2825" s="14">
        <f t="shared" si="714"/>
        <v>0</v>
      </c>
      <c r="I2825" s="14">
        <f t="shared" si="714"/>
        <v>0</v>
      </c>
      <c r="J2825" s="14">
        <f t="shared" si="714"/>
        <v>0.13</v>
      </c>
      <c r="K2825" s="14">
        <f t="shared" si="714"/>
        <v>-0.02</v>
      </c>
      <c r="L2825" s="14">
        <f t="shared" si="714"/>
        <v>1.23</v>
      </c>
      <c r="M2825" s="10">
        <v>2807</v>
      </c>
      <c r="N2825" s="69"/>
      <c r="O2825" s="11">
        <f>O2821+1</f>
        <v>688</v>
      </c>
    </row>
    <row r="2826" spans="1:15" x14ac:dyDescent="0.25">
      <c r="A2826" s="10"/>
      <c r="G2826" s="21"/>
      <c r="H2826" s="21"/>
      <c r="I2826" s="21"/>
      <c r="J2826" s="21"/>
      <c r="K2826" s="21"/>
      <c r="L2826" s="21"/>
      <c r="M2826" s="10"/>
      <c r="O2826" s="11"/>
    </row>
    <row r="2827" spans="1:15" x14ac:dyDescent="0.25">
      <c r="A2827" s="6">
        <v>1391</v>
      </c>
      <c r="B2827" s="5" t="s">
        <v>18</v>
      </c>
      <c r="C2827" s="5" t="s">
        <v>17</v>
      </c>
      <c r="D2827" s="5" t="s">
        <v>364</v>
      </c>
      <c r="E2827" s="5" t="s">
        <v>365</v>
      </c>
      <c r="F2827" s="5" t="s">
        <v>19</v>
      </c>
      <c r="G2827" s="22">
        <v>6.78</v>
      </c>
      <c r="H2827" s="22">
        <v>0</v>
      </c>
      <c r="I2827" s="22">
        <v>0</v>
      </c>
      <c r="J2827" s="22">
        <v>0</v>
      </c>
      <c r="K2827" s="22">
        <v>-6.01</v>
      </c>
      <c r="L2827" s="22">
        <v>0.77</v>
      </c>
      <c r="M2827" s="10"/>
      <c r="O2827" s="11"/>
    </row>
    <row r="2828" spans="1:15" s="4" customFormat="1" x14ac:dyDescent="0.25">
      <c r="A2828" s="6"/>
      <c r="B2828" s="5"/>
      <c r="C2828" s="5"/>
      <c r="D2828" s="5" t="s">
        <v>364</v>
      </c>
      <c r="E2828" s="5" t="s">
        <v>365</v>
      </c>
      <c r="F2828" s="5" t="s">
        <v>19</v>
      </c>
      <c r="G2828" s="14">
        <f t="shared" ref="G2828:L2828" si="715">SUBTOTAL(9,G2827:G2827)</f>
        <v>6.78</v>
      </c>
      <c r="H2828" s="14">
        <f t="shared" si="715"/>
        <v>0</v>
      </c>
      <c r="I2828" s="14">
        <f t="shared" si="715"/>
        <v>0</v>
      </c>
      <c r="J2828" s="14">
        <f t="shared" si="715"/>
        <v>0</v>
      </c>
      <c r="K2828" s="14">
        <f t="shared" si="715"/>
        <v>-6.01</v>
      </c>
      <c r="L2828" s="14">
        <f t="shared" si="715"/>
        <v>0.77</v>
      </c>
      <c r="M2828" s="10">
        <v>2808</v>
      </c>
      <c r="N2828" s="69"/>
      <c r="O2828" s="11">
        <f>O2825+1</f>
        <v>689</v>
      </c>
    </row>
    <row r="2829" spans="1:15" s="4" customFormat="1" x14ac:dyDescent="0.25">
      <c r="A2829" s="10"/>
      <c r="B2829"/>
      <c r="C2829"/>
      <c r="D2829"/>
      <c r="E2829"/>
      <c r="F2829"/>
      <c r="G2829" s="21"/>
      <c r="H2829" s="21"/>
      <c r="I2829" s="21"/>
      <c r="J2829" s="21"/>
      <c r="K2829" s="21"/>
      <c r="L2829" s="21"/>
      <c r="M2829" s="10"/>
      <c r="N2829" s="67"/>
      <c r="O2829" s="11"/>
    </row>
    <row r="2830" spans="1:15" x14ac:dyDescent="0.25">
      <c r="A2830" s="6">
        <v>1392</v>
      </c>
      <c r="B2830" s="5" t="s">
        <v>550</v>
      </c>
      <c r="C2830" s="5" t="s">
        <v>17</v>
      </c>
      <c r="D2830" s="5" t="s">
        <v>364</v>
      </c>
      <c r="E2830" s="5" t="s">
        <v>365</v>
      </c>
      <c r="F2830" s="5" t="s">
        <v>551</v>
      </c>
      <c r="G2830" s="22">
        <v>36743.480000000003</v>
      </c>
      <c r="H2830" s="22">
        <v>0</v>
      </c>
      <c r="I2830" s="22">
        <v>0</v>
      </c>
      <c r="J2830" s="22">
        <v>0</v>
      </c>
      <c r="K2830" s="22">
        <v>-734.87</v>
      </c>
      <c r="L2830" s="22">
        <v>36008.61</v>
      </c>
      <c r="M2830" s="10"/>
      <c r="O2830" s="11"/>
    </row>
    <row r="2831" spans="1:15" x14ac:dyDescent="0.25">
      <c r="A2831" s="6">
        <v>1393</v>
      </c>
      <c r="B2831" s="5" t="s">
        <v>550</v>
      </c>
      <c r="C2831" s="5" t="s">
        <v>13</v>
      </c>
      <c r="D2831" s="5" t="s">
        <v>364</v>
      </c>
      <c r="E2831" s="5" t="s">
        <v>365</v>
      </c>
      <c r="F2831" s="5" t="s">
        <v>551</v>
      </c>
      <c r="G2831" s="22">
        <v>0</v>
      </c>
      <c r="H2831" s="22">
        <v>0</v>
      </c>
      <c r="I2831" s="22">
        <v>0</v>
      </c>
      <c r="J2831" s="22">
        <v>4409.22</v>
      </c>
      <c r="K2831" s="22">
        <v>0</v>
      </c>
      <c r="L2831" s="22">
        <v>4409.22</v>
      </c>
      <c r="M2831" s="10"/>
      <c r="O2831" s="11"/>
    </row>
    <row r="2832" spans="1:15" s="4" customFormat="1" x14ac:dyDescent="0.25">
      <c r="A2832" s="6"/>
      <c r="B2832" s="5"/>
      <c r="C2832" s="5"/>
      <c r="D2832" s="5" t="s">
        <v>364</v>
      </c>
      <c r="E2832" s="5" t="s">
        <v>365</v>
      </c>
      <c r="F2832" s="5" t="s">
        <v>551</v>
      </c>
      <c r="G2832" s="14">
        <f t="shared" ref="G2832:L2832" si="716">SUBTOTAL(9,G2830:G2831)</f>
        <v>36743.480000000003</v>
      </c>
      <c r="H2832" s="14">
        <f t="shared" si="716"/>
        <v>0</v>
      </c>
      <c r="I2832" s="14">
        <f t="shared" si="716"/>
        <v>0</v>
      </c>
      <c r="J2832" s="14">
        <f t="shared" si="716"/>
        <v>4409.22</v>
      </c>
      <c r="K2832" s="14">
        <f t="shared" si="716"/>
        <v>-734.87</v>
      </c>
      <c r="L2832" s="14">
        <f t="shared" si="716"/>
        <v>40417.83</v>
      </c>
      <c r="M2832" s="10">
        <v>2809</v>
      </c>
      <c r="N2832" s="69"/>
      <c r="O2832" s="11">
        <f>O2828+1</f>
        <v>690</v>
      </c>
    </row>
    <row r="2833" spans="1:15" s="4" customFormat="1" x14ac:dyDescent="0.25">
      <c r="A2833" s="10"/>
      <c r="B2833"/>
      <c r="C2833"/>
      <c r="D2833"/>
      <c r="E2833"/>
      <c r="F2833"/>
      <c r="G2833" s="21"/>
      <c r="H2833" s="21"/>
      <c r="I2833" s="21"/>
      <c r="J2833" s="21"/>
      <c r="K2833" s="21"/>
      <c r="L2833" s="21"/>
      <c r="M2833" s="10"/>
      <c r="N2833" s="67"/>
      <c r="O2833" s="11"/>
    </row>
    <row r="2834" spans="1:15" x14ac:dyDescent="0.25">
      <c r="A2834" s="6">
        <v>1394</v>
      </c>
      <c r="B2834" s="5" t="s">
        <v>550</v>
      </c>
      <c r="C2834" s="5" t="s">
        <v>13</v>
      </c>
      <c r="D2834" s="5" t="s">
        <v>364</v>
      </c>
      <c r="E2834" s="5" t="s">
        <v>365</v>
      </c>
      <c r="F2834" s="5" t="s">
        <v>552</v>
      </c>
      <c r="G2834" s="22">
        <v>0</v>
      </c>
      <c r="H2834" s="22">
        <v>0</v>
      </c>
      <c r="I2834" s="22">
        <v>0</v>
      </c>
      <c r="J2834" s="22">
        <v>0.32</v>
      </c>
      <c r="K2834" s="22">
        <v>0</v>
      </c>
      <c r="L2834" s="22">
        <v>0.32</v>
      </c>
      <c r="M2834" s="10"/>
      <c r="O2834" s="11"/>
    </row>
    <row r="2835" spans="1:15" x14ac:dyDescent="0.25">
      <c r="A2835" s="6">
        <v>1395</v>
      </c>
      <c r="B2835" s="5" t="s">
        <v>550</v>
      </c>
      <c r="C2835" s="5" t="s">
        <v>17</v>
      </c>
      <c r="D2835" s="5" t="s">
        <v>364</v>
      </c>
      <c r="E2835" s="5" t="s">
        <v>365</v>
      </c>
      <c r="F2835" s="5" t="s">
        <v>552</v>
      </c>
      <c r="G2835" s="22">
        <v>2.64</v>
      </c>
      <c r="H2835" s="22">
        <v>0</v>
      </c>
      <c r="I2835" s="22">
        <v>0</v>
      </c>
      <c r="J2835" s="22">
        <v>0</v>
      </c>
      <c r="K2835" s="22">
        <v>-0.05</v>
      </c>
      <c r="L2835" s="22">
        <v>2.59</v>
      </c>
      <c r="M2835" s="10"/>
      <c r="O2835" s="11"/>
    </row>
    <row r="2836" spans="1:15" s="4" customFormat="1" x14ac:dyDescent="0.25">
      <c r="A2836" s="6"/>
      <c r="B2836" s="5"/>
      <c r="C2836" s="5"/>
      <c r="D2836" s="5" t="s">
        <v>364</v>
      </c>
      <c r="E2836" s="5" t="s">
        <v>365</v>
      </c>
      <c r="F2836" s="5" t="s">
        <v>552</v>
      </c>
      <c r="G2836" s="14">
        <f t="shared" ref="G2836:L2836" si="717">SUBTOTAL(9,G2834:G2835)</f>
        <v>2.64</v>
      </c>
      <c r="H2836" s="14">
        <f t="shared" si="717"/>
        <v>0</v>
      </c>
      <c r="I2836" s="14">
        <f t="shared" si="717"/>
        <v>0</v>
      </c>
      <c r="J2836" s="14">
        <f t="shared" si="717"/>
        <v>0.32</v>
      </c>
      <c r="K2836" s="14">
        <f t="shared" si="717"/>
        <v>-0.05</v>
      </c>
      <c r="L2836" s="14">
        <f t="shared" si="717"/>
        <v>2.9099999999999997</v>
      </c>
      <c r="M2836" s="10">
        <v>2810</v>
      </c>
      <c r="N2836" s="69"/>
      <c r="O2836" s="11">
        <f>O2832+1</f>
        <v>691</v>
      </c>
    </row>
    <row r="2837" spans="1:15" s="4" customFormat="1" x14ac:dyDescent="0.25">
      <c r="A2837" s="10"/>
      <c r="B2837"/>
      <c r="C2837"/>
      <c r="D2837"/>
      <c r="E2837"/>
      <c r="F2837"/>
      <c r="G2837" s="21"/>
      <c r="H2837" s="21"/>
      <c r="I2837" s="21"/>
      <c r="J2837" s="21"/>
      <c r="K2837" s="21"/>
      <c r="L2837" s="21"/>
      <c r="M2837" s="10"/>
      <c r="N2837" s="67"/>
      <c r="O2837" s="11"/>
    </row>
    <row r="2838" spans="1:15" x14ac:dyDescent="0.25">
      <c r="A2838" s="6">
        <v>1396</v>
      </c>
      <c r="B2838" s="5" t="s">
        <v>18</v>
      </c>
      <c r="C2838" s="5" t="s">
        <v>17</v>
      </c>
      <c r="D2838" s="5" t="s">
        <v>366</v>
      </c>
      <c r="E2838" s="5" t="s">
        <v>367</v>
      </c>
      <c r="F2838" s="5" t="s">
        <v>19</v>
      </c>
      <c r="G2838" s="22">
        <v>0.17</v>
      </c>
      <c r="H2838" s="22">
        <v>0</v>
      </c>
      <c r="I2838" s="22">
        <v>0</v>
      </c>
      <c r="J2838" s="22">
        <v>0</v>
      </c>
      <c r="K2838" s="22">
        <v>-0.15</v>
      </c>
      <c r="L2838" s="22">
        <v>0.02</v>
      </c>
      <c r="M2838" s="10"/>
      <c r="O2838" s="11"/>
    </row>
    <row r="2839" spans="1:15" x14ac:dyDescent="0.25">
      <c r="A2839" s="6"/>
      <c r="B2839" s="5"/>
      <c r="C2839" s="5"/>
      <c r="D2839" s="5" t="s">
        <v>366</v>
      </c>
      <c r="E2839" s="5" t="s">
        <v>367</v>
      </c>
      <c r="F2839" s="5" t="s">
        <v>19</v>
      </c>
      <c r="G2839" s="14">
        <f t="shared" ref="G2839:L2839" si="718">SUBTOTAL(9,G2838:G2838)</f>
        <v>0.17</v>
      </c>
      <c r="H2839" s="14">
        <f t="shared" si="718"/>
        <v>0</v>
      </c>
      <c r="I2839" s="14">
        <f t="shared" si="718"/>
        <v>0</v>
      </c>
      <c r="J2839" s="14">
        <f t="shared" si="718"/>
        <v>0</v>
      </c>
      <c r="K2839" s="14">
        <f t="shared" si="718"/>
        <v>-0.15</v>
      </c>
      <c r="L2839" s="14">
        <f t="shared" si="718"/>
        <v>0.02</v>
      </c>
      <c r="M2839" s="10">
        <v>2811</v>
      </c>
      <c r="N2839" s="69"/>
      <c r="O2839" s="11">
        <f>O2836+1</f>
        <v>692</v>
      </c>
    </row>
    <row r="2840" spans="1:15" s="4" customFormat="1" x14ac:dyDescent="0.25">
      <c r="A2840" s="10"/>
      <c r="B2840"/>
      <c r="C2840"/>
      <c r="D2840"/>
      <c r="E2840"/>
      <c r="F2840"/>
      <c r="G2840" s="21"/>
      <c r="H2840" s="21"/>
      <c r="I2840" s="21"/>
      <c r="J2840" s="21"/>
      <c r="K2840" s="21"/>
      <c r="L2840" s="21"/>
      <c r="M2840" s="10"/>
      <c r="N2840" s="67"/>
      <c r="O2840" s="11"/>
    </row>
    <row r="2841" spans="1:15" x14ac:dyDescent="0.25">
      <c r="A2841" s="6">
        <v>1397</v>
      </c>
      <c r="B2841" s="5" t="s">
        <v>550</v>
      </c>
      <c r="C2841" s="5" t="s">
        <v>13</v>
      </c>
      <c r="D2841" s="5" t="s">
        <v>366</v>
      </c>
      <c r="E2841" s="5" t="s">
        <v>367</v>
      </c>
      <c r="F2841" s="5" t="s">
        <v>551</v>
      </c>
      <c r="G2841" s="22">
        <v>0</v>
      </c>
      <c r="H2841" s="22">
        <v>0</v>
      </c>
      <c r="I2841" s="22">
        <v>0</v>
      </c>
      <c r="J2841" s="22">
        <v>705.46</v>
      </c>
      <c r="K2841" s="22">
        <v>0</v>
      </c>
      <c r="L2841" s="22">
        <v>705.46</v>
      </c>
      <c r="M2841" s="10"/>
      <c r="O2841" s="11"/>
    </row>
    <row r="2842" spans="1:15" x14ac:dyDescent="0.25">
      <c r="A2842" s="6">
        <v>1398</v>
      </c>
      <c r="B2842" s="5" t="s">
        <v>550</v>
      </c>
      <c r="C2842" s="5" t="s">
        <v>13</v>
      </c>
      <c r="D2842" s="5" t="s">
        <v>366</v>
      </c>
      <c r="E2842" s="5" t="s">
        <v>367</v>
      </c>
      <c r="F2842" s="5" t="s">
        <v>551</v>
      </c>
      <c r="G2842" s="22">
        <v>0</v>
      </c>
      <c r="H2842" s="22">
        <v>0</v>
      </c>
      <c r="I2842" s="22">
        <v>0</v>
      </c>
      <c r="J2842" s="22">
        <v>397.16</v>
      </c>
      <c r="K2842" s="22">
        <v>0</v>
      </c>
      <c r="L2842" s="22">
        <v>397.16</v>
      </c>
      <c r="M2842" s="10"/>
      <c r="O2842" s="11"/>
    </row>
    <row r="2843" spans="1:15" s="4" customFormat="1" x14ac:dyDescent="0.25">
      <c r="A2843" s="6">
        <v>1399</v>
      </c>
      <c r="B2843" s="5" t="s">
        <v>550</v>
      </c>
      <c r="C2843" s="5" t="s">
        <v>17</v>
      </c>
      <c r="D2843" s="5" t="s">
        <v>366</v>
      </c>
      <c r="E2843" s="5" t="s">
        <v>367</v>
      </c>
      <c r="F2843" s="5" t="s">
        <v>551</v>
      </c>
      <c r="G2843" s="22">
        <v>5878.8</v>
      </c>
      <c r="H2843" s="22">
        <v>0</v>
      </c>
      <c r="I2843" s="22">
        <v>0</v>
      </c>
      <c r="J2843" s="22">
        <v>0</v>
      </c>
      <c r="K2843" s="22">
        <v>-117.58</v>
      </c>
      <c r="L2843" s="22">
        <v>5761.22</v>
      </c>
      <c r="M2843" s="10"/>
      <c r="N2843" s="67"/>
      <c r="O2843" s="11"/>
    </row>
    <row r="2844" spans="1:15" x14ac:dyDescent="0.25">
      <c r="A2844" s="6">
        <v>1400</v>
      </c>
      <c r="B2844" s="5" t="s">
        <v>550</v>
      </c>
      <c r="C2844" s="5" t="s">
        <v>17</v>
      </c>
      <c r="D2844" s="5" t="s">
        <v>366</v>
      </c>
      <c r="E2844" s="5" t="s">
        <v>367</v>
      </c>
      <c r="F2844" s="36" t="s">
        <v>551</v>
      </c>
      <c r="G2844" s="37">
        <v>3309.69</v>
      </c>
      <c r="H2844" s="37">
        <v>0</v>
      </c>
      <c r="I2844" s="37">
        <v>0</v>
      </c>
      <c r="J2844" s="37">
        <v>0</v>
      </c>
      <c r="K2844" s="37">
        <v>-66.19</v>
      </c>
      <c r="L2844" s="37">
        <v>3243.5</v>
      </c>
      <c r="M2844" s="10"/>
      <c r="N2844" s="68"/>
      <c r="O2844" s="11"/>
    </row>
    <row r="2845" spans="1:15" x14ac:dyDescent="0.25">
      <c r="A2845" s="6"/>
      <c r="B2845" s="5"/>
      <c r="C2845" s="5"/>
      <c r="D2845" s="5" t="s">
        <v>366</v>
      </c>
      <c r="E2845" s="5" t="s">
        <v>367</v>
      </c>
      <c r="F2845" s="36" t="s">
        <v>551</v>
      </c>
      <c r="G2845" s="14">
        <f t="shared" ref="G2845:L2845" si="719">SUBTOTAL(9,G2841:G2844)</f>
        <v>9188.49</v>
      </c>
      <c r="H2845" s="14">
        <f t="shared" si="719"/>
        <v>0</v>
      </c>
      <c r="I2845" s="14">
        <f t="shared" si="719"/>
        <v>0</v>
      </c>
      <c r="J2845" s="14">
        <f t="shared" si="719"/>
        <v>1102.6200000000001</v>
      </c>
      <c r="K2845" s="14">
        <f t="shared" si="719"/>
        <v>-183.76999999999998</v>
      </c>
      <c r="L2845" s="14">
        <f t="shared" si="719"/>
        <v>10107.34</v>
      </c>
      <c r="M2845" s="10">
        <v>2812</v>
      </c>
      <c r="N2845" s="69"/>
      <c r="O2845" s="11">
        <f>O2839+1</f>
        <v>693</v>
      </c>
    </row>
    <row r="2846" spans="1:15" s="4" customFormat="1" x14ac:dyDescent="0.25">
      <c r="A2846" s="10"/>
      <c r="B2846"/>
      <c r="C2846"/>
      <c r="D2846"/>
      <c r="E2846"/>
      <c r="F2846"/>
      <c r="G2846" s="21"/>
      <c r="H2846" s="21"/>
      <c r="I2846" s="21"/>
      <c r="J2846" s="21"/>
      <c r="K2846" s="21"/>
      <c r="L2846" s="21"/>
      <c r="M2846" s="10"/>
      <c r="N2846" s="67"/>
      <c r="O2846" s="11"/>
    </row>
    <row r="2847" spans="1:15" s="4" customFormat="1" x14ac:dyDescent="0.25">
      <c r="A2847" s="6">
        <v>1401</v>
      </c>
      <c r="B2847" s="5" t="s">
        <v>550</v>
      </c>
      <c r="C2847" s="5" t="s">
        <v>13</v>
      </c>
      <c r="D2847" s="5" t="s">
        <v>366</v>
      </c>
      <c r="E2847" s="5" t="s">
        <v>367</v>
      </c>
      <c r="F2847" s="5" t="s">
        <v>552</v>
      </c>
      <c r="G2847" s="22">
        <v>0</v>
      </c>
      <c r="H2847" s="22">
        <v>0</v>
      </c>
      <c r="I2847" s="22">
        <v>0</v>
      </c>
      <c r="J2847" s="22">
        <v>0.05</v>
      </c>
      <c r="K2847" s="22">
        <v>0</v>
      </c>
      <c r="L2847" s="22">
        <v>0.05</v>
      </c>
      <c r="M2847" s="10"/>
      <c r="N2847" s="67"/>
      <c r="O2847" s="11"/>
    </row>
    <row r="2848" spans="1:15" x14ac:dyDescent="0.25">
      <c r="A2848" s="6">
        <v>1402</v>
      </c>
      <c r="B2848" s="5" t="s">
        <v>550</v>
      </c>
      <c r="C2848" s="5" t="s">
        <v>13</v>
      </c>
      <c r="D2848" s="5" t="s">
        <v>366</v>
      </c>
      <c r="E2848" s="5" t="s">
        <v>367</v>
      </c>
      <c r="F2848" s="5" t="s">
        <v>552</v>
      </c>
      <c r="G2848" s="22">
        <v>0</v>
      </c>
      <c r="H2848" s="22">
        <v>0</v>
      </c>
      <c r="I2848" s="22">
        <v>0</v>
      </c>
      <c r="J2848" s="22">
        <v>0.03</v>
      </c>
      <c r="K2848" s="22">
        <v>0</v>
      </c>
      <c r="L2848" s="22">
        <v>0.03</v>
      </c>
      <c r="M2848" s="10"/>
      <c r="O2848" s="11"/>
    </row>
    <row r="2849" spans="1:15" x14ac:dyDescent="0.25">
      <c r="A2849" s="6">
        <v>1403</v>
      </c>
      <c r="B2849" s="5" t="s">
        <v>550</v>
      </c>
      <c r="C2849" s="5" t="s">
        <v>17</v>
      </c>
      <c r="D2849" s="5" t="s">
        <v>366</v>
      </c>
      <c r="E2849" s="5" t="s">
        <v>367</v>
      </c>
      <c r="F2849" s="5" t="s">
        <v>552</v>
      </c>
      <c r="G2849" s="22">
        <v>0.42</v>
      </c>
      <c r="H2849" s="22">
        <v>0</v>
      </c>
      <c r="I2849" s="22">
        <v>0</v>
      </c>
      <c r="J2849" s="22">
        <v>0</v>
      </c>
      <c r="K2849" s="22">
        <v>-0.01</v>
      </c>
      <c r="L2849" s="22">
        <v>0.41</v>
      </c>
      <c r="M2849" s="10"/>
      <c r="O2849" s="11"/>
    </row>
    <row r="2850" spans="1:15" s="4" customFormat="1" x14ac:dyDescent="0.25">
      <c r="A2850" s="6">
        <v>1404</v>
      </c>
      <c r="B2850" s="5" t="s">
        <v>550</v>
      </c>
      <c r="C2850" s="5" t="s">
        <v>17</v>
      </c>
      <c r="D2850" s="5" t="s">
        <v>366</v>
      </c>
      <c r="E2850" s="5" t="s">
        <v>367</v>
      </c>
      <c r="F2850" s="5" t="s">
        <v>552</v>
      </c>
      <c r="G2850" s="22">
        <v>0.24</v>
      </c>
      <c r="H2850" s="22">
        <v>0</v>
      </c>
      <c r="I2850" s="22">
        <v>0</v>
      </c>
      <c r="J2850" s="22">
        <v>0</v>
      </c>
      <c r="K2850" s="22">
        <v>0</v>
      </c>
      <c r="L2850" s="22">
        <v>0.24</v>
      </c>
      <c r="M2850" s="10"/>
      <c r="N2850" s="67"/>
      <c r="O2850" s="11"/>
    </row>
    <row r="2851" spans="1:15" s="4" customFormat="1" x14ac:dyDescent="0.25">
      <c r="A2851" s="6"/>
      <c r="B2851" s="5"/>
      <c r="C2851" s="5"/>
      <c r="D2851" s="5" t="s">
        <v>366</v>
      </c>
      <c r="E2851" s="5" t="s">
        <v>367</v>
      </c>
      <c r="F2851" s="5" t="s">
        <v>552</v>
      </c>
      <c r="G2851" s="14">
        <f t="shared" ref="G2851:L2851" si="720">SUBTOTAL(9,G2847:G2850)</f>
        <v>0.65999999999999992</v>
      </c>
      <c r="H2851" s="14">
        <f t="shared" si="720"/>
        <v>0</v>
      </c>
      <c r="I2851" s="14">
        <f t="shared" si="720"/>
        <v>0</v>
      </c>
      <c r="J2851" s="14">
        <f t="shared" si="720"/>
        <v>0.08</v>
      </c>
      <c r="K2851" s="14">
        <f t="shared" si="720"/>
        <v>-0.01</v>
      </c>
      <c r="L2851" s="14">
        <f t="shared" si="720"/>
        <v>0.73</v>
      </c>
      <c r="M2851" s="10">
        <v>2813</v>
      </c>
      <c r="N2851" s="69"/>
      <c r="O2851" s="11">
        <f>O2845+1</f>
        <v>694</v>
      </c>
    </row>
    <row r="2852" spans="1:15" x14ac:dyDescent="0.25">
      <c r="A2852" s="10"/>
      <c r="G2852" s="21"/>
      <c r="H2852" s="21"/>
      <c r="I2852" s="21"/>
      <c r="J2852" s="21"/>
      <c r="K2852" s="21"/>
      <c r="L2852" s="21"/>
      <c r="M2852" s="10"/>
      <c r="O2852" s="11"/>
    </row>
    <row r="2853" spans="1:15" x14ac:dyDescent="0.25">
      <c r="A2853" s="6">
        <v>1405</v>
      </c>
      <c r="B2853" s="5" t="s">
        <v>18</v>
      </c>
      <c r="C2853" s="5" t="s">
        <v>17</v>
      </c>
      <c r="D2853" s="5" t="s">
        <v>368</v>
      </c>
      <c r="E2853" s="5" t="s">
        <v>369</v>
      </c>
      <c r="F2853" s="5" t="s">
        <v>19</v>
      </c>
      <c r="G2853" s="22">
        <v>0.43</v>
      </c>
      <c r="H2853" s="22">
        <v>0</v>
      </c>
      <c r="I2853" s="22">
        <v>0</v>
      </c>
      <c r="J2853" s="22">
        <v>0</v>
      </c>
      <c r="K2853" s="22">
        <v>-0.38</v>
      </c>
      <c r="L2853" s="22">
        <v>0.05</v>
      </c>
      <c r="M2853" s="10"/>
      <c r="O2853" s="11"/>
    </row>
    <row r="2854" spans="1:15" s="4" customFormat="1" x14ac:dyDescent="0.25">
      <c r="A2854" s="6"/>
      <c r="B2854" s="5"/>
      <c r="C2854" s="5"/>
      <c r="D2854" s="5" t="s">
        <v>368</v>
      </c>
      <c r="E2854" s="5" t="s">
        <v>369</v>
      </c>
      <c r="F2854" s="5" t="s">
        <v>19</v>
      </c>
      <c r="G2854" s="14">
        <f t="shared" ref="G2854:L2854" si="721">SUBTOTAL(9,G2853:G2853)</f>
        <v>0.43</v>
      </c>
      <c r="H2854" s="14">
        <f t="shared" si="721"/>
        <v>0</v>
      </c>
      <c r="I2854" s="14">
        <f t="shared" si="721"/>
        <v>0</v>
      </c>
      <c r="J2854" s="14">
        <f t="shared" si="721"/>
        <v>0</v>
      </c>
      <c r="K2854" s="14">
        <f t="shared" si="721"/>
        <v>-0.38</v>
      </c>
      <c r="L2854" s="14">
        <f t="shared" si="721"/>
        <v>0.05</v>
      </c>
      <c r="M2854" s="10">
        <v>2814</v>
      </c>
      <c r="N2854" s="69"/>
      <c r="O2854" s="11">
        <f>O2851+1</f>
        <v>695</v>
      </c>
    </row>
    <row r="2855" spans="1:15" s="4" customFormat="1" x14ac:dyDescent="0.25">
      <c r="A2855" s="10"/>
      <c r="B2855"/>
      <c r="C2855"/>
      <c r="D2855"/>
      <c r="E2855"/>
      <c r="F2855"/>
      <c r="G2855" s="21"/>
      <c r="H2855" s="21"/>
      <c r="I2855" s="21"/>
      <c r="J2855" s="21"/>
      <c r="K2855" s="21"/>
      <c r="L2855" s="21"/>
      <c r="M2855" s="10"/>
      <c r="N2855" s="67"/>
      <c r="O2855" s="11"/>
    </row>
    <row r="2856" spans="1:15" x14ac:dyDescent="0.25">
      <c r="A2856" s="6">
        <v>1406</v>
      </c>
      <c r="B2856" s="5" t="s">
        <v>22</v>
      </c>
      <c r="C2856" s="5" t="s">
        <v>13</v>
      </c>
      <c r="D2856" s="5" t="s">
        <v>368</v>
      </c>
      <c r="E2856" s="5" t="s">
        <v>369</v>
      </c>
      <c r="F2856" s="5" t="s">
        <v>23</v>
      </c>
      <c r="G2856" s="22">
        <v>0</v>
      </c>
      <c r="H2856" s="22">
        <v>0</v>
      </c>
      <c r="I2856" s="22">
        <v>0</v>
      </c>
      <c r="J2856" s="22">
        <v>0</v>
      </c>
      <c r="K2856" s="22">
        <v>0</v>
      </c>
      <c r="L2856" s="22">
        <v>0</v>
      </c>
      <c r="M2856" s="10"/>
      <c r="O2856" s="11"/>
    </row>
    <row r="2857" spans="1:15" x14ac:dyDescent="0.25">
      <c r="A2857" s="28"/>
      <c r="B2857" s="29"/>
      <c r="C2857" s="29"/>
      <c r="D2857" s="29"/>
      <c r="E2857" s="29"/>
      <c r="F2857" s="29" t="s">
        <v>666</v>
      </c>
      <c r="G2857" s="31">
        <f t="shared" ref="G2857:L2857" si="722">SUBTOTAL(9,G2856:G2856)</f>
        <v>0</v>
      </c>
      <c r="H2857" s="31">
        <f t="shared" si="722"/>
        <v>0</v>
      </c>
      <c r="I2857" s="31">
        <f t="shared" si="722"/>
        <v>0</v>
      </c>
      <c r="J2857" s="31">
        <f t="shared" si="722"/>
        <v>0</v>
      </c>
      <c r="K2857" s="31">
        <f t="shared" si="722"/>
        <v>0</v>
      </c>
      <c r="L2857" s="31">
        <f t="shared" si="722"/>
        <v>0</v>
      </c>
      <c r="M2857" s="42"/>
      <c r="O2857" s="50"/>
    </row>
    <row r="2858" spans="1:15" s="4" customFormat="1" x14ac:dyDescent="0.25">
      <c r="A2858" s="10"/>
      <c r="B2858"/>
      <c r="C2858"/>
      <c r="D2858"/>
      <c r="E2858"/>
      <c r="F2858"/>
      <c r="G2858" s="21"/>
      <c r="H2858" s="21"/>
      <c r="I2858" s="21"/>
      <c r="J2858" s="21"/>
      <c r="K2858" s="21"/>
      <c r="L2858" s="21"/>
      <c r="M2858" s="10"/>
      <c r="N2858" s="67"/>
      <c r="O2858" s="11"/>
    </row>
    <row r="2859" spans="1:15" x14ac:dyDescent="0.25">
      <c r="A2859" s="6">
        <v>1407</v>
      </c>
      <c r="B2859" s="5" t="s">
        <v>22</v>
      </c>
      <c r="C2859" s="5" t="s">
        <v>13</v>
      </c>
      <c r="D2859" s="5" t="s">
        <v>368</v>
      </c>
      <c r="E2859" s="5" t="s">
        <v>369</v>
      </c>
      <c r="F2859" s="5" t="s">
        <v>24</v>
      </c>
      <c r="G2859" s="22">
        <v>0</v>
      </c>
      <c r="H2859" s="22">
        <v>0</v>
      </c>
      <c r="I2859" s="22">
        <v>0</v>
      </c>
      <c r="J2859" s="22">
        <v>0</v>
      </c>
      <c r="K2859" s="22">
        <v>0</v>
      </c>
      <c r="L2859" s="22">
        <v>0</v>
      </c>
      <c r="M2859" s="10"/>
      <c r="O2859" s="11"/>
    </row>
    <row r="2860" spans="1:15" x14ac:dyDescent="0.25">
      <c r="A2860" s="28"/>
      <c r="B2860" s="29"/>
      <c r="C2860" s="29"/>
      <c r="D2860" s="29"/>
      <c r="E2860" s="29"/>
      <c r="F2860" s="29" t="s">
        <v>660</v>
      </c>
      <c r="G2860" s="31">
        <f t="shared" ref="G2860:L2860" si="723">SUBTOTAL(9,G2859:G2859)</f>
        <v>0</v>
      </c>
      <c r="H2860" s="31">
        <f t="shared" si="723"/>
        <v>0</v>
      </c>
      <c r="I2860" s="31">
        <f t="shared" si="723"/>
        <v>0</v>
      </c>
      <c r="J2860" s="31">
        <f t="shared" si="723"/>
        <v>0</v>
      </c>
      <c r="K2860" s="31">
        <f t="shared" si="723"/>
        <v>0</v>
      </c>
      <c r="L2860" s="31">
        <f t="shared" si="723"/>
        <v>0</v>
      </c>
      <c r="M2860" s="42"/>
      <c r="O2860" s="50"/>
    </row>
    <row r="2861" spans="1:15" s="4" customFormat="1" x14ac:dyDescent="0.25">
      <c r="A2861" s="10"/>
      <c r="B2861"/>
      <c r="C2861"/>
      <c r="D2861"/>
      <c r="E2861"/>
      <c r="F2861"/>
      <c r="G2861" s="21"/>
      <c r="H2861" s="21"/>
      <c r="I2861" s="21"/>
      <c r="J2861" s="21"/>
      <c r="K2861" s="21"/>
      <c r="L2861" s="21"/>
      <c r="M2861" s="10"/>
      <c r="N2861" s="67"/>
      <c r="O2861" s="11"/>
    </row>
    <row r="2862" spans="1:15" x14ac:dyDescent="0.25">
      <c r="A2862" s="6">
        <v>1408</v>
      </c>
      <c r="B2862" s="5" t="s">
        <v>550</v>
      </c>
      <c r="C2862" s="5" t="s">
        <v>13</v>
      </c>
      <c r="D2862" s="5" t="s">
        <v>368</v>
      </c>
      <c r="E2862" s="5" t="s">
        <v>369</v>
      </c>
      <c r="F2862" s="5" t="s">
        <v>551</v>
      </c>
      <c r="G2862" s="22">
        <v>0</v>
      </c>
      <c r="H2862" s="22">
        <v>0</v>
      </c>
      <c r="I2862" s="22">
        <v>0</v>
      </c>
      <c r="J2862" s="22">
        <v>148.51</v>
      </c>
      <c r="K2862" s="22">
        <v>0</v>
      </c>
      <c r="L2862" s="22">
        <v>148.51</v>
      </c>
      <c r="M2862" s="10"/>
      <c r="O2862" s="11"/>
    </row>
    <row r="2863" spans="1:15" x14ac:dyDescent="0.25">
      <c r="A2863" s="6">
        <v>1409</v>
      </c>
      <c r="B2863" s="5" t="s">
        <v>550</v>
      </c>
      <c r="C2863" s="5" t="s">
        <v>13</v>
      </c>
      <c r="D2863" s="5" t="s">
        <v>368</v>
      </c>
      <c r="E2863" s="5" t="s">
        <v>369</v>
      </c>
      <c r="F2863" s="5" t="s">
        <v>551</v>
      </c>
      <c r="G2863" s="22">
        <v>0</v>
      </c>
      <c r="H2863" s="22">
        <v>0</v>
      </c>
      <c r="I2863" s="22">
        <v>0</v>
      </c>
      <c r="J2863" s="22">
        <v>886.25</v>
      </c>
      <c r="K2863" s="22">
        <v>0</v>
      </c>
      <c r="L2863" s="22">
        <v>886.25</v>
      </c>
      <c r="M2863" s="10"/>
      <c r="O2863" s="11"/>
    </row>
    <row r="2864" spans="1:15" s="4" customFormat="1" x14ac:dyDescent="0.25">
      <c r="A2864" s="6">
        <v>1410</v>
      </c>
      <c r="B2864" s="5" t="s">
        <v>550</v>
      </c>
      <c r="C2864" s="5" t="s">
        <v>17</v>
      </c>
      <c r="D2864" s="5" t="s">
        <v>368</v>
      </c>
      <c r="E2864" s="5" t="s">
        <v>369</v>
      </c>
      <c r="F2864" s="5" t="s">
        <v>551</v>
      </c>
      <c r="G2864" s="22">
        <v>1237.6199999999999</v>
      </c>
      <c r="H2864" s="22">
        <v>0</v>
      </c>
      <c r="I2864" s="22">
        <v>0</v>
      </c>
      <c r="J2864" s="22">
        <v>0</v>
      </c>
      <c r="K2864" s="22">
        <v>-24.75</v>
      </c>
      <c r="L2864" s="22">
        <v>1212.8699999999999</v>
      </c>
      <c r="M2864" s="10"/>
      <c r="N2864" s="67"/>
      <c r="O2864" s="11"/>
    </row>
    <row r="2865" spans="1:15" x14ac:dyDescent="0.25">
      <c r="A2865" s="6">
        <v>1411</v>
      </c>
      <c r="B2865" s="5" t="s">
        <v>550</v>
      </c>
      <c r="C2865" s="5" t="s">
        <v>17</v>
      </c>
      <c r="D2865" s="5" t="s">
        <v>368</v>
      </c>
      <c r="E2865" s="5" t="s">
        <v>369</v>
      </c>
      <c r="F2865" s="5" t="s">
        <v>551</v>
      </c>
      <c r="G2865" s="22">
        <v>7385.44</v>
      </c>
      <c r="H2865" s="22">
        <v>0</v>
      </c>
      <c r="I2865" s="22">
        <v>0</v>
      </c>
      <c r="J2865" s="22">
        <v>0</v>
      </c>
      <c r="K2865" s="22">
        <v>-147.71</v>
      </c>
      <c r="L2865" s="22">
        <v>7237.73</v>
      </c>
      <c r="M2865" s="10"/>
      <c r="O2865" s="11"/>
    </row>
    <row r="2866" spans="1:15" x14ac:dyDescent="0.25">
      <c r="A2866" s="6"/>
      <c r="B2866" s="5"/>
      <c r="C2866" s="5"/>
      <c r="D2866" s="5" t="s">
        <v>368</v>
      </c>
      <c r="E2866" s="5" t="s">
        <v>369</v>
      </c>
      <c r="F2866" s="5" t="s">
        <v>551</v>
      </c>
      <c r="G2866" s="14">
        <f t="shared" ref="G2866:L2866" si="724">SUBTOTAL(9,G2862:G2865)</f>
        <v>8623.06</v>
      </c>
      <c r="H2866" s="14">
        <f t="shared" si="724"/>
        <v>0</v>
      </c>
      <c r="I2866" s="14">
        <f t="shared" si="724"/>
        <v>0</v>
      </c>
      <c r="J2866" s="14">
        <f t="shared" si="724"/>
        <v>1034.76</v>
      </c>
      <c r="K2866" s="14">
        <f t="shared" si="724"/>
        <v>-172.46</v>
      </c>
      <c r="L2866" s="14">
        <f t="shared" si="724"/>
        <v>9485.36</v>
      </c>
      <c r="M2866" s="10">
        <v>2815</v>
      </c>
      <c r="N2866" s="69"/>
      <c r="O2866" s="11">
        <f>O2854+1</f>
        <v>696</v>
      </c>
    </row>
    <row r="2867" spans="1:15" s="4" customFormat="1" x14ac:dyDescent="0.25">
      <c r="A2867" s="10"/>
      <c r="B2867"/>
      <c r="C2867"/>
      <c r="D2867"/>
      <c r="E2867"/>
      <c r="F2867"/>
      <c r="G2867" s="21"/>
      <c r="H2867" s="21"/>
      <c r="I2867" s="21"/>
      <c r="J2867" s="21"/>
      <c r="K2867" s="21"/>
      <c r="L2867" s="21"/>
      <c r="M2867" s="10"/>
      <c r="N2867" s="67"/>
      <c r="O2867" s="11"/>
    </row>
    <row r="2868" spans="1:15" s="4" customFormat="1" x14ac:dyDescent="0.25">
      <c r="A2868" s="6">
        <v>1412</v>
      </c>
      <c r="B2868" s="5" t="s">
        <v>550</v>
      </c>
      <c r="C2868" s="5" t="s">
        <v>13</v>
      </c>
      <c r="D2868" s="5" t="s">
        <v>368</v>
      </c>
      <c r="E2868" s="5" t="s">
        <v>369</v>
      </c>
      <c r="F2868" s="5" t="s">
        <v>552</v>
      </c>
      <c r="G2868" s="22">
        <v>0</v>
      </c>
      <c r="H2868" s="22">
        <v>0</v>
      </c>
      <c r="I2868" s="22">
        <v>0</v>
      </c>
      <c r="J2868" s="22">
        <v>0.01</v>
      </c>
      <c r="K2868" s="22">
        <v>0</v>
      </c>
      <c r="L2868" s="22">
        <v>0.01</v>
      </c>
      <c r="M2868" s="10"/>
      <c r="N2868" s="67"/>
      <c r="O2868" s="11"/>
    </row>
    <row r="2869" spans="1:15" x14ac:dyDescent="0.25">
      <c r="A2869" s="6">
        <v>1413</v>
      </c>
      <c r="B2869" s="5" t="s">
        <v>550</v>
      </c>
      <c r="C2869" s="5" t="s">
        <v>13</v>
      </c>
      <c r="D2869" s="5" t="s">
        <v>368</v>
      </c>
      <c r="E2869" s="5" t="s">
        <v>369</v>
      </c>
      <c r="F2869" s="5" t="s">
        <v>552</v>
      </c>
      <c r="G2869" s="22">
        <v>0</v>
      </c>
      <c r="H2869" s="22">
        <v>0</v>
      </c>
      <c r="I2869" s="22">
        <v>0</v>
      </c>
      <c r="J2869" s="22">
        <v>0.06</v>
      </c>
      <c r="K2869" s="22">
        <v>0</v>
      </c>
      <c r="L2869" s="22">
        <v>0.06</v>
      </c>
      <c r="M2869" s="10"/>
      <c r="O2869" s="11"/>
    </row>
    <row r="2870" spans="1:15" x14ac:dyDescent="0.25">
      <c r="A2870" s="6">
        <v>1414</v>
      </c>
      <c r="B2870" s="5" t="s">
        <v>550</v>
      </c>
      <c r="C2870" s="5" t="s">
        <v>17</v>
      </c>
      <c r="D2870" s="5" t="s">
        <v>368</v>
      </c>
      <c r="E2870" s="5" t="s">
        <v>369</v>
      </c>
      <c r="F2870" s="5" t="s">
        <v>552</v>
      </c>
      <c r="G2870" s="22">
        <v>0.09</v>
      </c>
      <c r="H2870" s="22">
        <v>0</v>
      </c>
      <c r="I2870" s="22">
        <v>0</v>
      </c>
      <c r="J2870" s="22">
        <v>0</v>
      </c>
      <c r="K2870" s="22">
        <v>0</v>
      </c>
      <c r="L2870" s="22">
        <v>0.09</v>
      </c>
      <c r="M2870" s="10"/>
      <c r="O2870" s="11"/>
    </row>
    <row r="2871" spans="1:15" s="4" customFormat="1" x14ac:dyDescent="0.25">
      <c r="A2871" s="6">
        <v>1415</v>
      </c>
      <c r="B2871" s="5" t="s">
        <v>550</v>
      </c>
      <c r="C2871" s="5" t="s">
        <v>17</v>
      </c>
      <c r="D2871" s="5" t="s">
        <v>368</v>
      </c>
      <c r="E2871" s="5" t="s">
        <v>369</v>
      </c>
      <c r="F2871" s="5" t="s">
        <v>552</v>
      </c>
      <c r="G2871" s="22">
        <v>0.53</v>
      </c>
      <c r="H2871" s="22">
        <v>0</v>
      </c>
      <c r="I2871" s="22">
        <v>0</v>
      </c>
      <c r="J2871" s="22">
        <v>0</v>
      </c>
      <c r="K2871" s="22">
        <v>-0.01</v>
      </c>
      <c r="L2871" s="22">
        <v>0.52</v>
      </c>
      <c r="M2871" s="10"/>
      <c r="N2871" s="67"/>
      <c r="O2871" s="11"/>
    </row>
    <row r="2872" spans="1:15" s="4" customFormat="1" x14ac:dyDescent="0.25">
      <c r="A2872" s="6"/>
      <c r="B2872" s="5"/>
      <c r="C2872" s="5"/>
      <c r="D2872" s="5" t="s">
        <v>368</v>
      </c>
      <c r="E2872" s="5" t="s">
        <v>369</v>
      </c>
      <c r="F2872" s="5" t="s">
        <v>552</v>
      </c>
      <c r="G2872" s="14">
        <f t="shared" ref="G2872:L2872" si="725">SUBTOTAL(9,G2868:G2871)</f>
        <v>0.62</v>
      </c>
      <c r="H2872" s="14">
        <f t="shared" si="725"/>
        <v>0</v>
      </c>
      <c r="I2872" s="14">
        <f t="shared" si="725"/>
        <v>0</v>
      </c>
      <c r="J2872" s="14">
        <f t="shared" si="725"/>
        <v>6.9999999999999993E-2</v>
      </c>
      <c r="K2872" s="14">
        <f t="shared" si="725"/>
        <v>-0.01</v>
      </c>
      <c r="L2872" s="14">
        <f t="shared" si="725"/>
        <v>0.67999999999999994</v>
      </c>
      <c r="M2872" s="10">
        <v>2816</v>
      </c>
      <c r="N2872" s="69"/>
      <c r="O2872" s="11">
        <f>O2866+1</f>
        <v>697</v>
      </c>
    </row>
    <row r="2873" spans="1:15" x14ac:dyDescent="0.25">
      <c r="A2873" s="10"/>
      <c r="G2873" s="21"/>
      <c r="H2873" s="21"/>
      <c r="I2873" s="21"/>
      <c r="J2873" s="21"/>
      <c r="K2873" s="21"/>
      <c r="L2873" s="21"/>
      <c r="M2873" s="10"/>
      <c r="O2873" s="11"/>
    </row>
    <row r="2874" spans="1:15" x14ac:dyDescent="0.25">
      <c r="A2874" s="6">
        <v>1416</v>
      </c>
      <c r="B2874" s="5" t="s">
        <v>18</v>
      </c>
      <c r="C2874" s="5" t="s">
        <v>17</v>
      </c>
      <c r="D2874" s="5" t="s">
        <v>370</v>
      </c>
      <c r="E2874" s="5" t="s">
        <v>371</v>
      </c>
      <c r="F2874" s="5" t="s">
        <v>19</v>
      </c>
      <c r="G2874" s="22">
        <v>5.36</v>
      </c>
      <c r="H2874" s="22">
        <v>0</v>
      </c>
      <c r="I2874" s="22">
        <v>0</v>
      </c>
      <c r="J2874" s="22">
        <v>0</v>
      </c>
      <c r="K2874" s="22">
        <v>-4.75</v>
      </c>
      <c r="L2874" s="22">
        <v>0.61</v>
      </c>
      <c r="M2874" s="10"/>
      <c r="O2874" s="11"/>
    </row>
    <row r="2875" spans="1:15" s="4" customFormat="1" x14ac:dyDescent="0.25">
      <c r="A2875" s="6"/>
      <c r="B2875" s="5"/>
      <c r="C2875" s="5"/>
      <c r="D2875" s="5" t="s">
        <v>370</v>
      </c>
      <c r="E2875" s="5" t="s">
        <v>371</v>
      </c>
      <c r="F2875" s="5" t="s">
        <v>19</v>
      </c>
      <c r="G2875" s="14">
        <f t="shared" ref="G2875:L2875" si="726">SUBTOTAL(9,G2874:G2874)</f>
        <v>5.36</v>
      </c>
      <c r="H2875" s="14">
        <f t="shared" si="726"/>
        <v>0</v>
      </c>
      <c r="I2875" s="14">
        <f t="shared" si="726"/>
        <v>0</v>
      </c>
      <c r="J2875" s="14">
        <f t="shared" si="726"/>
        <v>0</v>
      </c>
      <c r="K2875" s="14">
        <f t="shared" si="726"/>
        <v>-4.75</v>
      </c>
      <c r="L2875" s="14">
        <f t="shared" si="726"/>
        <v>0.61</v>
      </c>
      <c r="M2875" s="10">
        <v>2817</v>
      </c>
      <c r="N2875" s="69"/>
      <c r="O2875" s="11">
        <f>O2872+1</f>
        <v>698</v>
      </c>
    </row>
    <row r="2876" spans="1:15" x14ac:dyDescent="0.25">
      <c r="A2876" s="10"/>
      <c r="G2876" s="21"/>
      <c r="H2876" s="21"/>
      <c r="I2876" s="21"/>
      <c r="J2876" s="21"/>
      <c r="K2876" s="21"/>
      <c r="L2876" s="21"/>
      <c r="M2876" s="10"/>
      <c r="O2876" s="11"/>
    </row>
    <row r="2877" spans="1:15" x14ac:dyDescent="0.25">
      <c r="A2877" s="6">
        <v>1417</v>
      </c>
      <c r="B2877" s="5" t="s">
        <v>550</v>
      </c>
      <c r="C2877" s="5" t="s">
        <v>13</v>
      </c>
      <c r="D2877" s="5" t="s">
        <v>370</v>
      </c>
      <c r="E2877" s="5" t="s">
        <v>371</v>
      </c>
      <c r="F2877" s="5" t="s">
        <v>551</v>
      </c>
      <c r="G2877" s="22">
        <v>0</v>
      </c>
      <c r="H2877" s="22">
        <v>0</v>
      </c>
      <c r="I2877" s="22">
        <v>0</v>
      </c>
      <c r="J2877" s="22">
        <v>6493.39</v>
      </c>
      <c r="K2877" s="22">
        <v>0</v>
      </c>
      <c r="L2877" s="22">
        <v>6493.39</v>
      </c>
      <c r="M2877" s="10"/>
      <c r="O2877" s="11"/>
    </row>
    <row r="2878" spans="1:15" s="4" customFormat="1" x14ac:dyDescent="0.25">
      <c r="A2878" s="6">
        <v>1418</v>
      </c>
      <c r="B2878" s="5" t="s">
        <v>550</v>
      </c>
      <c r="C2878" s="5" t="s">
        <v>17</v>
      </c>
      <c r="D2878" s="5" t="s">
        <v>370</v>
      </c>
      <c r="E2878" s="5" t="s">
        <v>371</v>
      </c>
      <c r="F2878" s="5" t="s">
        <v>551</v>
      </c>
      <c r="G2878" s="22">
        <v>55678.16</v>
      </c>
      <c r="H2878" s="22">
        <v>0</v>
      </c>
      <c r="I2878" s="22">
        <v>0</v>
      </c>
      <c r="J2878" s="22">
        <v>0</v>
      </c>
      <c r="K2878" s="22">
        <v>-1113.56</v>
      </c>
      <c r="L2878" s="22">
        <v>54564.6</v>
      </c>
      <c r="M2878" s="10"/>
      <c r="N2878" s="67"/>
      <c r="O2878" s="11"/>
    </row>
    <row r="2879" spans="1:15" x14ac:dyDescent="0.25">
      <c r="A2879" s="6"/>
      <c r="B2879" s="5"/>
      <c r="C2879" s="5"/>
      <c r="D2879" s="5" t="s">
        <v>370</v>
      </c>
      <c r="E2879" s="5" t="s">
        <v>371</v>
      </c>
      <c r="F2879" s="5" t="s">
        <v>551</v>
      </c>
      <c r="G2879" s="14">
        <f t="shared" ref="G2879:L2879" si="727">SUBTOTAL(9,G2877:G2878)</f>
        <v>55678.16</v>
      </c>
      <c r="H2879" s="14">
        <f t="shared" si="727"/>
        <v>0</v>
      </c>
      <c r="I2879" s="14">
        <f t="shared" si="727"/>
        <v>0</v>
      </c>
      <c r="J2879" s="14">
        <f t="shared" si="727"/>
        <v>6493.39</v>
      </c>
      <c r="K2879" s="14">
        <f t="shared" si="727"/>
        <v>-1113.56</v>
      </c>
      <c r="L2879" s="14">
        <f t="shared" si="727"/>
        <v>61057.99</v>
      </c>
      <c r="M2879" s="10">
        <v>2818</v>
      </c>
      <c r="N2879" s="69"/>
      <c r="O2879" s="11">
        <f>O2875+1</f>
        <v>699</v>
      </c>
    </row>
    <row r="2880" spans="1:15" x14ac:dyDescent="0.25">
      <c r="A2880" s="10"/>
      <c r="G2880" s="21"/>
      <c r="H2880" s="21"/>
      <c r="I2880" s="21"/>
      <c r="J2880" s="21"/>
      <c r="K2880" s="21"/>
      <c r="L2880" s="21"/>
      <c r="M2880" s="10"/>
      <c r="O2880" s="11"/>
    </row>
    <row r="2881" spans="1:15" s="4" customFormat="1" x14ac:dyDescent="0.25">
      <c r="A2881" s="6">
        <v>1419</v>
      </c>
      <c r="B2881" s="5" t="s">
        <v>550</v>
      </c>
      <c r="C2881" s="5" t="s">
        <v>13</v>
      </c>
      <c r="D2881" s="5" t="s">
        <v>370</v>
      </c>
      <c r="E2881" s="5" t="s">
        <v>371</v>
      </c>
      <c r="F2881" s="5" t="s">
        <v>552</v>
      </c>
      <c r="G2881" s="22">
        <v>0</v>
      </c>
      <c r="H2881" s="22">
        <v>0</v>
      </c>
      <c r="I2881" s="22">
        <v>0</v>
      </c>
      <c r="J2881" s="22">
        <v>0.47</v>
      </c>
      <c r="K2881" s="22">
        <v>0</v>
      </c>
      <c r="L2881" s="22">
        <v>0.47</v>
      </c>
      <c r="M2881" s="10"/>
      <c r="N2881" s="67"/>
      <c r="O2881" s="11"/>
    </row>
    <row r="2882" spans="1:15" x14ac:dyDescent="0.25">
      <c r="A2882" s="6">
        <v>1420</v>
      </c>
      <c r="B2882" s="5" t="s">
        <v>550</v>
      </c>
      <c r="C2882" s="5" t="s">
        <v>17</v>
      </c>
      <c r="D2882" s="5" t="s">
        <v>370</v>
      </c>
      <c r="E2882" s="5" t="s">
        <v>371</v>
      </c>
      <c r="F2882" s="5" t="s">
        <v>552</v>
      </c>
      <c r="G2882" s="22">
        <v>4</v>
      </c>
      <c r="H2882" s="22">
        <v>0</v>
      </c>
      <c r="I2882" s="22">
        <v>0</v>
      </c>
      <c r="J2882" s="22">
        <v>0</v>
      </c>
      <c r="K2882" s="22">
        <v>-0.08</v>
      </c>
      <c r="L2882" s="22">
        <v>3.92</v>
      </c>
      <c r="M2882" s="10"/>
      <c r="O2882" s="11"/>
    </row>
    <row r="2883" spans="1:15" x14ac:dyDescent="0.25">
      <c r="A2883" s="6"/>
      <c r="B2883" s="5"/>
      <c r="C2883" s="5"/>
      <c r="D2883" s="5" t="s">
        <v>370</v>
      </c>
      <c r="E2883" s="5" t="s">
        <v>371</v>
      </c>
      <c r="F2883" s="5" t="s">
        <v>552</v>
      </c>
      <c r="G2883" s="14">
        <f t="shared" ref="G2883:L2883" si="728">SUBTOTAL(9,G2881:G2882)</f>
        <v>4</v>
      </c>
      <c r="H2883" s="14">
        <f t="shared" si="728"/>
        <v>0</v>
      </c>
      <c r="I2883" s="14">
        <f t="shared" si="728"/>
        <v>0</v>
      </c>
      <c r="J2883" s="14">
        <f t="shared" si="728"/>
        <v>0.47</v>
      </c>
      <c r="K2883" s="14">
        <f t="shared" si="728"/>
        <v>-0.08</v>
      </c>
      <c r="L2883" s="14">
        <f t="shared" si="728"/>
        <v>4.3899999999999997</v>
      </c>
      <c r="M2883" s="10">
        <v>2819</v>
      </c>
      <c r="N2883" s="69"/>
      <c r="O2883" s="11">
        <f>O2879+1</f>
        <v>700</v>
      </c>
    </row>
    <row r="2884" spans="1:15" s="4" customFormat="1" x14ac:dyDescent="0.25">
      <c r="A2884" s="10"/>
      <c r="B2884"/>
      <c r="C2884"/>
      <c r="D2884"/>
      <c r="E2884"/>
      <c r="F2884"/>
      <c r="G2884" s="21"/>
      <c r="H2884" s="21"/>
      <c r="I2884" s="21"/>
      <c r="J2884" s="21"/>
      <c r="K2884" s="21"/>
      <c r="L2884" s="21"/>
      <c r="M2884" s="10"/>
      <c r="N2884" s="67"/>
      <c r="O2884" s="11"/>
    </row>
    <row r="2885" spans="1:15" x14ac:dyDescent="0.25">
      <c r="A2885" s="6">
        <v>1421</v>
      </c>
      <c r="B2885" s="5" t="s">
        <v>555</v>
      </c>
      <c r="C2885" s="5" t="s">
        <v>17</v>
      </c>
      <c r="D2885" s="5" t="s">
        <v>372</v>
      </c>
      <c r="E2885" s="5" t="s">
        <v>373</v>
      </c>
      <c r="F2885" s="5" t="s">
        <v>556</v>
      </c>
      <c r="G2885" s="22">
        <v>0</v>
      </c>
      <c r="H2885" s="22">
        <v>0</v>
      </c>
      <c r="I2885" s="22">
        <v>1283.8499999999999</v>
      </c>
      <c r="J2885" s="22">
        <v>0</v>
      </c>
      <c r="K2885" s="22">
        <v>-25.68</v>
      </c>
      <c r="L2885" s="22">
        <v>1258.17</v>
      </c>
      <c r="M2885" s="10"/>
      <c r="O2885" s="11"/>
    </row>
    <row r="2886" spans="1:15" x14ac:dyDescent="0.25">
      <c r="A2886" s="6"/>
      <c r="B2886" s="5"/>
      <c r="C2886" s="5"/>
      <c r="D2886" s="5" t="s">
        <v>372</v>
      </c>
      <c r="E2886" s="5" t="s">
        <v>373</v>
      </c>
      <c r="F2886" s="5" t="s">
        <v>556</v>
      </c>
      <c r="G2886" s="14">
        <f t="shared" ref="G2886:L2886" si="729">SUBTOTAL(9,G2885:G2885)</f>
        <v>0</v>
      </c>
      <c r="H2886" s="14">
        <f t="shared" si="729"/>
        <v>0</v>
      </c>
      <c r="I2886" s="14">
        <f t="shared" si="729"/>
        <v>1283.8499999999999</v>
      </c>
      <c r="J2886" s="14">
        <f t="shared" si="729"/>
        <v>0</v>
      </c>
      <c r="K2886" s="14">
        <f t="shared" si="729"/>
        <v>-25.68</v>
      </c>
      <c r="L2886" s="14">
        <f t="shared" si="729"/>
        <v>1258.17</v>
      </c>
      <c r="M2886" s="10">
        <v>2820</v>
      </c>
      <c r="N2886" s="69"/>
      <c r="O2886" s="11">
        <f>O2883+1</f>
        <v>701</v>
      </c>
    </row>
    <row r="2887" spans="1:15" s="4" customFormat="1" x14ac:dyDescent="0.25">
      <c r="A2887" s="10"/>
      <c r="B2887"/>
      <c r="C2887"/>
      <c r="D2887"/>
      <c r="E2887"/>
      <c r="F2887"/>
      <c r="G2887" s="21"/>
      <c r="H2887" s="21"/>
      <c r="I2887" s="21"/>
      <c r="J2887" s="21"/>
      <c r="K2887" s="21"/>
      <c r="L2887" s="21"/>
      <c r="M2887" s="10"/>
      <c r="N2887" s="67"/>
      <c r="O2887" s="11"/>
    </row>
    <row r="2888" spans="1:15" x14ac:dyDescent="0.25">
      <c r="A2888" s="6">
        <v>1422</v>
      </c>
      <c r="B2888" s="5" t="s">
        <v>557</v>
      </c>
      <c r="C2888" s="5" t="s">
        <v>17</v>
      </c>
      <c r="D2888" s="5" t="s">
        <v>372</v>
      </c>
      <c r="E2888" s="5" t="s">
        <v>373</v>
      </c>
      <c r="F2888" s="5" t="s">
        <v>558</v>
      </c>
      <c r="G2888" s="22">
        <v>0</v>
      </c>
      <c r="H2888" s="22">
        <v>0</v>
      </c>
      <c r="I2888" s="22">
        <v>1196.1300000000001</v>
      </c>
      <c r="J2888" s="22">
        <v>0</v>
      </c>
      <c r="K2888" s="22">
        <v>-23.92</v>
      </c>
      <c r="L2888" s="22">
        <v>1172.21</v>
      </c>
      <c r="M2888" s="10"/>
      <c r="O2888" s="11"/>
    </row>
    <row r="2889" spans="1:15" x14ac:dyDescent="0.25">
      <c r="A2889" s="6"/>
      <c r="B2889" s="5"/>
      <c r="C2889" s="5"/>
      <c r="D2889" s="5" t="s">
        <v>372</v>
      </c>
      <c r="E2889" s="5" t="s">
        <v>373</v>
      </c>
      <c r="F2889" s="5" t="s">
        <v>558</v>
      </c>
      <c r="G2889" s="14">
        <f t="shared" ref="G2889:L2889" si="730">SUBTOTAL(9,G2888:G2888)</f>
        <v>0</v>
      </c>
      <c r="H2889" s="14">
        <f t="shared" si="730"/>
        <v>0</v>
      </c>
      <c r="I2889" s="14">
        <f t="shared" si="730"/>
        <v>1196.1300000000001</v>
      </c>
      <c r="J2889" s="14">
        <f t="shared" si="730"/>
        <v>0</v>
      </c>
      <c r="K2889" s="14">
        <f t="shared" si="730"/>
        <v>-23.92</v>
      </c>
      <c r="L2889" s="14">
        <f t="shared" si="730"/>
        <v>1172.21</v>
      </c>
      <c r="M2889" s="10">
        <v>2821</v>
      </c>
      <c r="N2889" s="69"/>
      <c r="O2889" s="11">
        <f>O2886+1</f>
        <v>702</v>
      </c>
    </row>
    <row r="2890" spans="1:15" s="4" customFormat="1" x14ac:dyDescent="0.25">
      <c r="A2890" s="10"/>
      <c r="B2890"/>
      <c r="C2890"/>
      <c r="D2890"/>
      <c r="E2890"/>
      <c r="F2890"/>
      <c r="G2890" s="21"/>
      <c r="H2890" s="21"/>
      <c r="I2890" s="21"/>
      <c r="J2890" s="21"/>
      <c r="K2890" s="21"/>
      <c r="L2890" s="21"/>
      <c r="M2890" s="10"/>
      <c r="N2890" s="67"/>
      <c r="O2890" s="11"/>
    </row>
    <row r="2891" spans="1:15" x14ac:dyDescent="0.25">
      <c r="A2891" s="6">
        <v>1423</v>
      </c>
      <c r="B2891" s="5" t="s">
        <v>18</v>
      </c>
      <c r="C2891" s="5" t="s">
        <v>17</v>
      </c>
      <c r="D2891" s="5" t="s">
        <v>372</v>
      </c>
      <c r="E2891" s="5" t="s">
        <v>373</v>
      </c>
      <c r="F2891" s="5" t="s">
        <v>19</v>
      </c>
      <c r="G2891" s="22">
        <v>0</v>
      </c>
      <c r="H2891" s="22">
        <v>0</v>
      </c>
      <c r="I2891" s="22">
        <v>24.89</v>
      </c>
      <c r="J2891" s="22">
        <v>0</v>
      </c>
      <c r="K2891" s="22">
        <v>-2.93</v>
      </c>
      <c r="L2891" s="22">
        <v>21.96</v>
      </c>
      <c r="M2891" s="10"/>
      <c r="O2891" s="11"/>
    </row>
    <row r="2892" spans="1:15" x14ac:dyDescent="0.25">
      <c r="A2892" s="6"/>
      <c r="B2892" s="5"/>
      <c r="C2892" s="5"/>
      <c r="D2892" s="5" t="s">
        <v>372</v>
      </c>
      <c r="E2892" s="5" t="s">
        <v>373</v>
      </c>
      <c r="F2892" s="5" t="s">
        <v>19</v>
      </c>
      <c r="G2892" s="14">
        <f t="shared" ref="G2892:L2892" si="731">SUBTOTAL(9,G2891:G2891)</f>
        <v>0</v>
      </c>
      <c r="H2892" s="14">
        <f t="shared" si="731"/>
        <v>0</v>
      </c>
      <c r="I2892" s="14">
        <f t="shared" si="731"/>
        <v>24.89</v>
      </c>
      <c r="J2892" s="14">
        <f t="shared" si="731"/>
        <v>0</v>
      </c>
      <c r="K2892" s="14">
        <f t="shared" si="731"/>
        <v>-2.93</v>
      </c>
      <c r="L2892" s="14">
        <f t="shared" si="731"/>
        <v>21.96</v>
      </c>
      <c r="M2892" s="10">
        <v>2822</v>
      </c>
      <c r="N2892" s="69"/>
      <c r="O2892" s="11">
        <f>O2889+1</f>
        <v>703</v>
      </c>
    </row>
    <row r="2893" spans="1:15" s="4" customFormat="1" x14ac:dyDescent="0.25">
      <c r="A2893" s="10"/>
      <c r="B2893"/>
      <c r="C2893"/>
      <c r="D2893"/>
      <c r="E2893"/>
      <c r="F2893"/>
      <c r="G2893" s="21"/>
      <c r="H2893" s="21"/>
      <c r="I2893" s="21"/>
      <c r="J2893" s="21"/>
      <c r="K2893" s="21"/>
      <c r="L2893" s="21"/>
      <c r="M2893" s="10"/>
      <c r="N2893" s="67"/>
      <c r="O2893" s="11"/>
    </row>
    <row r="2894" spans="1:15" s="4" customFormat="1" x14ac:dyDescent="0.25">
      <c r="A2894" s="6">
        <v>1424</v>
      </c>
      <c r="B2894" s="5" t="s">
        <v>550</v>
      </c>
      <c r="C2894" s="5" t="s">
        <v>17</v>
      </c>
      <c r="D2894" s="5" t="s">
        <v>372</v>
      </c>
      <c r="E2894" s="5" t="s">
        <v>373</v>
      </c>
      <c r="F2894" s="5" t="s">
        <v>551</v>
      </c>
      <c r="G2894" s="22">
        <v>0</v>
      </c>
      <c r="H2894" s="22">
        <v>0</v>
      </c>
      <c r="I2894" s="22">
        <v>158959.09</v>
      </c>
      <c r="J2894" s="22">
        <v>0</v>
      </c>
      <c r="K2894" s="22">
        <v>-3179.18</v>
      </c>
      <c r="L2894" s="22">
        <v>155779.91</v>
      </c>
      <c r="M2894" s="10"/>
      <c r="N2894" s="67"/>
      <c r="O2894" s="11"/>
    </row>
    <row r="2895" spans="1:15" x14ac:dyDescent="0.25">
      <c r="A2895" s="6"/>
      <c r="B2895" s="5"/>
      <c r="C2895" s="5"/>
      <c r="D2895" s="5" t="s">
        <v>372</v>
      </c>
      <c r="E2895" s="5" t="s">
        <v>373</v>
      </c>
      <c r="F2895" s="5" t="s">
        <v>551</v>
      </c>
      <c r="G2895" s="14">
        <f t="shared" ref="G2895:L2895" si="732">SUBTOTAL(9,G2894:G2894)</f>
        <v>0</v>
      </c>
      <c r="H2895" s="14">
        <f t="shared" si="732"/>
        <v>0</v>
      </c>
      <c r="I2895" s="14">
        <f t="shared" si="732"/>
        <v>158959.09</v>
      </c>
      <c r="J2895" s="14">
        <f t="shared" si="732"/>
        <v>0</v>
      </c>
      <c r="K2895" s="14">
        <f t="shared" si="732"/>
        <v>-3179.18</v>
      </c>
      <c r="L2895" s="14">
        <f t="shared" si="732"/>
        <v>155779.91</v>
      </c>
      <c r="M2895" s="10">
        <v>2823</v>
      </c>
      <c r="N2895" s="69"/>
      <c r="O2895" s="11">
        <f>O2892+1</f>
        <v>704</v>
      </c>
    </row>
    <row r="2896" spans="1:15" x14ac:dyDescent="0.25">
      <c r="A2896" s="10"/>
      <c r="G2896" s="21"/>
      <c r="H2896" s="21"/>
      <c r="I2896" s="21"/>
      <c r="J2896" s="21"/>
      <c r="K2896" s="21"/>
      <c r="L2896" s="21"/>
      <c r="M2896" s="10"/>
      <c r="O2896" s="11"/>
    </row>
    <row r="2897" spans="1:15" s="4" customFormat="1" x14ac:dyDescent="0.25">
      <c r="A2897" s="6">
        <v>1425</v>
      </c>
      <c r="B2897" s="5" t="s">
        <v>550</v>
      </c>
      <c r="C2897" s="5" t="s">
        <v>17</v>
      </c>
      <c r="D2897" s="5" t="s">
        <v>372</v>
      </c>
      <c r="E2897" s="5" t="s">
        <v>373</v>
      </c>
      <c r="F2897" s="5" t="s">
        <v>552</v>
      </c>
      <c r="G2897" s="22">
        <v>0</v>
      </c>
      <c r="H2897" s="22">
        <v>0</v>
      </c>
      <c r="I2897" s="22">
        <v>11.43</v>
      </c>
      <c r="J2897" s="22">
        <v>0</v>
      </c>
      <c r="K2897" s="22">
        <v>-0.23</v>
      </c>
      <c r="L2897" s="22">
        <v>11.2</v>
      </c>
      <c r="M2897" s="10"/>
      <c r="N2897" s="67"/>
      <c r="O2897" s="11"/>
    </row>
    <row r="2898" spans="1:15" s="4" customFormat="1" x14ac:dyDescent="0.25">
      <c r="A2898" s="6"/>
      <c r="B2898" s="5"/>
      <c r="C2898" s="5"/>
      <c r="D2898" s="5" t="s">
        <v>372</v>
      </c>
      <c r="E2898" s="5" t="s">
        <v>373</v>
      </c>
      <c r="F2898" s="5" t="s">
        <v>552</v>
      </c>
      <c r="G2898" s="14">
        <f t="shared" ref="G2898:L2898" si="733">SUBTOTAL(9,G2897:G2897)</f>
        <v>0</v>
      </c>
      <c r="H2898" s="14">
        <f t="shared" si="733"/>
        <v>0</v>
      </c>
      <c r="I2898" s="14">
        <f t="shared" si="733"/>
        <v>11.43</v>
      </c>
      <c r="J2898" s="14">
        <f t="shared" si="733"/>
        <v>0</v>
      </c>
      <c r="K2898" s="14">
        <f t="shared" si="733"/>
        <v>-0.23</v>
      </c>
      <c r="L2898" s="14">
        <f t="shared" si="733"/>
        <v>11.2</v>
      </c>
      <c r="M2898" s="10">
        <v>2824</v>
      </c>
      <c r="N2898" s="69"/>
      <c r="O2898" s="11">
        <f>O2895+1</f>
        <v>705</v>
      </c>
    </row>
    <row r="2899" spans="1:15" x14ac:dyDescent="0.25">
      <c r="A2899" s="10"/>
      <c r="G2899" s="21"/>
      <c r="H2899" s="21"/>
      <c r="I2899" s="21"/>
      <c r="J2899" s="21"/>
      <c r="K2899" s="21"/>
      <c r="L2899" s="21"/>
      <c r="M2899" s="10"/>
      <c r="O2899" s="11"/>
    </row>
    <row r="2900" spans="1:15" x14ac:dyDescent="0.25">
      <c r="A2900" s="6">
        <v>1426</v>
      </c>
      <c r="B2900" s="5" t="s">
        <v>550</v>
      </c>
      <c r="C2900" s="5" t="s">
        <v>13</v>
      </c>
      <c r="D2900" s="5" t="s">
        <v>374</v>
      </c>
      <c r="E2900" s="5" t="s">
        <v>375</v>
      </c>
      <c r="F2900" s="5" t="s">
        <v>551</v>
      </c>
      <c r="G2900" s="22">
        <v>0</v>
      </c>
      <c r="H2900" s="22">
        <v>0</v>
      </c>
      <c r="I2900" s="22">
        <v>0</v>
      </c>
      <c r="J2900" s="22">
        <v>17658.07</v>
      </c>
      <c r="K2900" s="22">
        <v>0</v>
      </c>
      <c r="L2900" s="22">
        <v>17658.07</v>
      </c>
      <c r="M2900" s="10"/>
      <c r="O2900" s="11"/>
    </row>
    <row r="2901" spans="1:15" s="4" customFormat="1" x14ac:dyDescent="0.25">
      <c r="A2901" s="6">
        <v>1427</v>
      </c>
      <c r="B2901" s="5" t="s">
        <v>550</v>
      </c>
      <c r="C2901" s="5" t="s">
        <v>13</v>
      </c>
      <c r="D2901" s="5" t="s">
        <v>374</v>
      </c>
      <c r="E2901" s="5" t="s">
        <v>375</v>
      </c>
      <c r="F2901" s="5" t="s">
        <v>551</v>
      </c>
      <c r="G2901" s="22">
        <v>0</v>
      </c>
      <c r="H2901" s="22">
        <v>0</v>
      </c>
      <c r="I2901" s="22">
        <v>0</v>
      </c>
      <c r="J2901" s="22">
        <v>1672</v>
      </c>
      <c r="K2901" s="22">
        <v>0</v>
      </c>
      <c r="L2901" s="22">
        <v>1672</v>
      </c>
      <c r="M2901" s="10"/>
      <c r="N2901" s="67"/>
      <c r="O2901" s="11"/>
    </row>
    <row r="2902" spans="1:15" x14ac:dyDescent="0.25">
      <c r="A2902" s="6">
        <v>1428</v>
      </c>
      <c r="B2902" s="5" t="s">
        <v>550</v>
      </c>
      <c r="C2902" s="5" t="s">
        <v>17</v>
      </c>
      <c r="D2902" s="5" t="s">
        <v>374</v>
      </c>
      <c r="E2902" s="5" t="s">
        <v>375</v>
      </c>
      <c r="F2902" s="5" t="s">
        <v>551</v>
      </c>
      <c r="G2902" s="22">
        <v>147150.57999999999</v>
      </c>
      <c r="H2902" s="22">
        <v>0</v>
      </c>
      <c r="I2902" s="22">
        <v>0</v>
      </c>
      <c r="J2902" s="22">
        <v>0</v>
      </c>
      <c r="K2902" s="22">
        <v>-2943.01</v>
      </c>
      <c r="L2902" s="22">
        <v>144207.57</v>
      </c>
      <c r="M2902" s="10"/>
      <c r="O2902" s="11"/>
    </row>
    <row r="2903" spans="1:15" x14ac:dyDescent="0.25">
      <c r="A2903" s="6">
        <v>1429</v>
      </c>
      <c r="B2903" s="5" t="s">
        <v>550</v>
      </c>
      <c r="C2903" s="5" t="s">
        <v>17</v>
      </c>
      <c r="D2903" s="5" t="s">
        <v>374</v>
      </c>
      <c r="E2903" s="5" t="s">
        <v>375</v>
      </c>
      <c r="F2903" s="5" t="s">
        <v>551</v>
      </c>
      <c r="G2903" s="22">
        <v>13933.33</v>
      </c>
      <c r="H2903" s="22">
        <v>0</v>
      </c>
      <c r="I2903" s="22">
        <v>0</v>
      </c>
      <c r="J2903" s="22">
        <v>0</v>
      </c>
      <c r="K2903" s="22">
        <v>-278.67</v>
      </c>
      <c r="L2903" s="22">
        <v>13654.66</v>
      </c>
      <c r="M2903" s="10"/>
      <c r="O2903" s="11"/>
    </row>
    <row r="2904" spans="1:15" s="4" customFormat="1" x14ac:dyDescent="0.25">
      <c r="A2904" s="6"/>
      <c r="B2904" s="5"/>
      <c r="C2904" s="5"/>
      <c r="D2904" s="5" t="s">
        <v>374</v>
      </c>
      <c r="E2904" s="5" t="s">
        <v>375</v>
      </c>
      <c r="F2904" s="5" t="s">
        <v>551</v>
      </c>
      <c r="G2904" s="14">
        <f t="shared" ref="G2904:L2904" si="734">SUBTOTAL(9,G2900:G2903)</f>
        <v>161083.90999999997</v>
      </c>
      <c r="H2904" s="14">
        <f t="shared" si="734"/>
        <v>0</v>
      </c>
      <c r="I2904" s="14">
        <f t="shared" si="734"/>
        <v>0</v>
      </c>
      <c r="J2904" s="14">
        <f t="shared" si="734"/>
        <v>19330.07</v>
      </c>
      <c r="K2904" s="14">
        <f t="shared" si="734"/>
        <v>-3221.6800000000003</v>
      </c>
      <c r="L2904" s="14">
        <f t="shared" si="734"/>
        <v>177192.30000000002</v>
      </c>
      <c r="M2904" s="10">
        <v>2825</v>
      </c>
      <c r="N2904" s="69"/>
      <c r="O2904" s="11">
        <f>O2898+1</f>
        <v>706</v>
      </c>
    </row>
    <row r="2905" spans="1:15" s="4" customFormat="1" x14ac:dyDescent="0.25">
      <c r="A2905" s="10"/>
      <c r="B2905"/>
      <c r="C2905"/>
      <c r="D2905"/>
      <c r="E2905"/>
      <c r="F2905"/>
      <c r="G2905" s="21"/>
      <c r="H2905" s="21"/>
      <c r="I2905" s="21"/>
      <c r="J2905" s="21"/>
      <c r="K2905" s="21"/>
      <c r="L2905" s="21"/>
      <c r="M2905" s="10"/>
      <c r="N2905" s="67"/>
      <c r="O2905" s="11"/>
    </row>
    <row r="2906" spans="1:15" x14ac:dyDescent="0.25">
      <c r="A2906" s="6">
        <v>1430</v>
      </c>
      <c r="B2906" s="5" t="s">
        <v>550</v>
      </c>
      <c r="C2906" s="5" t="s">
        <v>13</v>
      </c>
      <c r="D2906" s="5" t="s">
        <v>374</v>
      </c>
      <c r="E2906" s="5" t="s">
        <v>375</v>
      </c>
      <c r="F2906" s="5" t="s">
        <v>552</v>
      </c>
      <c r="G2906" s="22">
        <v>0</v>
      </c>
      <c r="H2906" s="22">
        <v>0</v>
      </c>
      <c r="I2906" s="22">
        <v>0</v>
      </c>
      <c r="J2906" s="22">
        <v>1.27</v>
      </c>
      <c r="K2906" s="22">
        <v>0</v>
      </c>
      <c r="L2906" s="22">
        <v>1.27</v>
      </c>
      <c r="M2906" s="10"/>
      <c r="O2906" s="11"/>
    </row>
    <row r="2907" spans="1:15" x14ac:dyDescent="0.25">
      <c r="A2907" s="6">
        <v>1431</v>
      </c>
      <c r="B2907" s="5" t="s">
        <v>550</v>
      </c>
      <c r="C2907" s="5" t="s">
        <v>13</v>
      </c>
      <c r="D2907" s="5" t="s">
        <v>374</v>
      </c>
      <c r="E2907" s="5" t="s">
        <v>375</v>
      </c>
      <c r="F2907" s="5" t="s">
        <v>552</v>
      </c>
      <c r="G2907" s="22">
        <v>0</v>
      </c>
      <c r="H2907" s="22">
        <v>0</v>
      </c>
      <c r="I2907" s="22">
        <v>0</v>
      </c>
      <c r="J2907" s="22">
        <v>0.12</v>
      </c>
      <c r="K2907" s="22">
        <v>0</v>
      </c>
      <c r="L2907" s="22">
        <v>0.12</v>
      </c>
      <c r="M2907" s="10"/>
      <c r="O2907" s="11"/>
    </row>
    <row r="2908" spans="1:15" s="4" customFormat="1" x14ac:dyDescent="0.25">
      <c r="A2908" s="6">
        <v>1432</v>
      </c>
      <c r="B2908" s="5" t="s">
        <v>550</v>
      </c>
      <c r="C2908" s="5" t="s">
        <v>17</v>
      </c>
      <c r="D2908" s="5" t="s">
        <v>374</v>
      </c>
      <c r="E2908" s="5" t="s">
        <v>375</v>
      </c>
      <c r="F2908" s="5" t="s">
        <v>552</v>
      </c>
      <c r="G2908" s="22">
        <v>10.58</v>
      </c>
      <c r="H2908" s="22">
        <v>0</v>
      </c>
      <c r="I2908" s="22">
        <v>0</v>
      </c>
      <c r="J2908" s="22">
        <v>0</v>
      </c>
      <c r="K2908" s="22">
        <v>-0.21</v>
      </c>
      <c r="L2908" s="22">
        <v>10.37</v>
      </c>
      <c r="M2908" s="10"/>
      <c r="N2908" s="67"/>
      <c r="O2908" s="11"/>
    </row>
    <row r="2909" spans="1:15" x14ac:dyDescent="0.25">
      <c r="A2909" s="6">
        <v>1433</v>
      </c>
      <c r="B2909" s="5" t="s">
        <v>550</v>
      </c>
      <c r="C2909" s="5" t="s">
        <v>17</v>
      </c>
      <c r="D2909" s="5" t="s">
        <v>374</v>
      </c>
      <c r="E2909" s="5" t="s">
        <v>375</v>
      </c>
      <c r="F2909" s="5" t="s">
        <v>552</v>
      </c>
      <c r="G2909" s="22">
        <v>1</v>
      </c>
      <c r="H2909" s="22">
        <v>0</v>
      </c>
      <c r="I2909" s="22">
        <v>0</v>
      </c>
      <c r="J2909" s="22">
        <v>0</v>
      </c>
      <c r="K2909" s="22">
        <v>-0.02</v>
      </c>
      <c r="L2909" s="22">
        <v>0.98</v>
      </c>
      <c r="M2909" s="10"/>
      <c r="O2909" s="11"/>
    </row>
    <row r="2910" spans="1:15" x14ac:dyDescent="0.25">
      <c r="A2910" s="6"/>
      <c r="B2910" s="5"/>
      <c r="C2910" s="5"/>
      <c r="D2910" s="5" t="s">
        <v>374</v>
      </c>
      <c r="E2910" s="5" t="s">
        <v>375</v>
      </c>
      <c r="F2910" s="5" t="s">
        <v>552</v>
      </c>
      <c r="G2910" s="14">
        <f t="shared" ref="G2910:L2910" si="735">SUBTOTAL(9,G2906:G2909)</f>
        <v>11.58</v>
      </c>
      <c r="H2910" s="14">
        <f t="shared" si="735"/>
        <v>0</v>
      </c>
      <c r="I2910" s="14">
        <f t="shared" si="735"/>
        <v>0</v>
      </c>
      <c r="J2910" s="14">
        <f t="shared" si="735"/>
        <v>1.3900000000000001</v>
      </c>
      <c r="K2910" s="14">
        <f t="shared" si="735"/>
        <v>-0.22999999999999998</v>
      </c>
      <c r="L2910" s="14">
        <f t="shared" si="735"/>
        <v>12.74</v>
      </c>
      <c r="M2910" s="10">
        <v>2826</v>
      </c>
      <c r="N2910" s="69"/>
      <c r="O2910" s="11">
        <f>O2904+1</f>
        <v>707</v>
      </c>
    </row>
    <row r="2911" spans="1:15" s="4" customFormat="1" x14ac:dyDescent="0.25">
      <c r="A2911" s="10"/>
      <c r="B2911"/>
      <c r="C2911"/>
      <c r="D2911"/>
      <c r="E2911"/>
      <c r="F2911"/>
      <c r="G2911" s="21"/>
      <c r="H2911" s="21"/>
      <c r="I2911" s="21"/>
      <c r="J2911" s="21"/>
      <c r="K2911" s="21"/>
      <c r="L2911" s="21"/>
      <c r="M2911" s="10"/>
      <c r="N2911" s="67"/>
      <c r="O2911" s="11"/>
    </row>
    <row r="2912" spans="1:15" x14ac:dyDescent="0.25">
      <c r="A2912" s="6">
        <v>1434</v>
      </c>
      <c r="B2912" s="5" t="s">
        <v>18</v>
      </c>
      <c r="C2912" s="5" t="s">
        <v>17</v>
      </c>
      <c r="D2912" s="5" t="s">
        <v>376</v>
      </c>
      <c r="E2912" s="5" t="s">
        <v>377</v>
      </c>
      <c r="F2912" s="5" t="s">
        <v>19</v>
      </c>
      <c r="G2912" s="22">
        <v>1.07</v>
      </c>
      <c r="H2912" s="22">
        <v>0</v>
      </c>
      <c r="I2912" s="22">
        <v>0</v>
      </c>
      <c r="J2912" s="22">
        <v>0</v>
      </c>
      <c r="K2912" s="22">
        <v>-0.95</v>
      </c>
      <c r="L2912" s="22">
        <v>0.12</v>
      </c>
      <c r="M2912" s="10"/>
      <c r="O2912" s="11"/>
    </row>
    <row r="2913" spans="1:15" x14ac:dyDescent="0.25">
      <c r="A2913" s="6">
        <v>1435</v>
      </c>
      <c r="B2913" s="5" t="s">
        <v>18</v>
      </c>
      <c r="C2913" s="5" t="s">
        <v>17</v>
      </c>
      <c r="D2913" s="5" t="s">
        <v>376</v>
      </c>
      <c r="E2913" s="5" t="s">
        <v>377</v>
      </c>
      <c r="F2913" s="5" t="s">
        <v>19</v>
      </c>
      <c r="G2913" s="22">
        <v>0.83</v>
      </c>
      <c r="H2913" s="22">
        <v>0</v>
      </c>
      <c r="I2913" s="22">
        <v>0</v>
      </c>
      <c r="J2913" s="22">
        <v>0</v>
      </c>
      <c r="K2913" s="22">
        <v>-0.73</v>
      </c>
      <c r="L2913" s="22">
        <v>0.1</v>
      </c>
      <c r="M2913" s="10"/>
      <c r="O2913" s="11"/>
    </row>
    <row r="2914" spans="1:15" s="4" customFormat="1" x14ac:dyDescent="0.25">
      <c r="A2914" s="6"/>
      <c r="B2914" s="5"/>
      <c r="C2914" s="5"/>
      <c r="D2914" s="5" t="s">
        <v>376</v>
      </c>
      <c r="E2914" s="5" t="s">
        <v>377</v>
      </c>
      <c r="F2914" s="5" t="s">
        <v>19</v>
      </c>
      <c r="G2914" s="14">
        <f t="shared" ref="G2914:L2914" si="736">SUBTOTAL(9,G2912:G2913)</f>
        <v>1.9</v>
      </c>
      <c r="H2914" s="14">
        <f t="shared" si="736"/>
        <v>0</v>
      </c>
      <c r="I2914" s="14">
        <f t="shared" si="736"/>
        <v>0</v>
      </c>
      <c r="J2914" s="14">
        <f t="shared" si="736"/>
        <v>0</v>
      </c>
      <c r="K2914" s="14">
        <f t="shared" si="736"/>
        <v>-1.68</v>
      </c>
      <c r="L2914" s="14">
        <f t="shared" si="736"/>
        <v>0.22</v>
      </c>
      <c r="M2914" s="10">
        <v>2827</v>
      </c>
      <c r="N2914" s="69"/>
      <c r="O2914" s="11">
        <f>O2910+1</f>
        <v>708</v>
      </c>
    </row>
    <row r="2915" spans="1:15" x14ac:dyDescent="0.25">
      <c r="A2915" s="10"/>
      <c r="G2915" s="21"/>
      <c r="H2915" s="21"/>
      <c r="I2915" s="21"/>
      <c r="J2915" s="21"/>
      <c r="K2915" s="21"/>
      <c r="L2915" s="21"/>
      <c r="M2915" s="10"/>
      <c r="O2915" s="11"/>
    </row>
    <row r="2916" spans="1:15" x14ac:dyDescent="0.25">
      <c r="A2916" s="6">
        <v>1436</v>
      </c>
      <c r="B2916" s="5" t="s">
        <v>550</v>
      </c>
      <c r="C2916" s="5" t="s">
        <v>13</v>
      </c>
      <c r="D2916" s="5" t="s">
        <v>376</v>
      </c>
      <c r="E2916" s="5" t="s">
        <v>377</v>
      </c>
      <c r="F2916" s="5" t="s">
        <v>551</v>
      </c>
      <c r="G2916" s="22">
        <v>0</v>
      </c>
      <c r="H2916" s="22">
        <v>0</v>
      </c>
      <c r="I2916" s="22">
        <v>0</v>
      </c>
      <c r="J2916" s="22">
        <v>75.75</v>
      </c>
      <c r="K2916" s="22">
        <v>0</v>
      </c>
      <c r="L2916" s="22">
        <v>75.75</v>
      </c>
      <c r="M2916" s="10"/>
      <c r="O2916" s="11"/>
    </row>
    <row r="2917" spans="1:15" s="4" customFormat="1" x14ac:dyDescent="0.25">
      <c r="A2917" s="6">
        <v>1437</v>
      </c>
      <c r="B2917" s="5" t="s">
        <v>550</v>
      </c>
      <c r="C2917" s="5" t="s">
        <v>17</v>
      </c>
      <c r="D2917" s="5" t="s">
        <v>376</v>
      </c>
      <c r="E2917" s="5" t="s">
        <v>377</v>
      </c>
      <c r="F2917" s="5" t="s">
        <v>551</v>
      </c>
      <c r="G2917" s="22">
        <v>631.28</v>
      </c>
      <c r="H2917" s="22">
        <v>0</v>
      </c>
      <c r="I2917" s="22">
        <v>0</v>
      </c>
      <c r="J2917" s="22">
        <v>0</v>
      </c>
      <c r="K2917" s="22">
        <v>-12.63</v>
      </c>
      <c r="L2917" s="22">
        <v>618.65</v>
      </c>
      <c r="M2917" s="10"/>
      <c r="N2917" s="67"/>
      <c r="O2917" s="11"/>
    </row>
    <row r="2918" spans="1:15" s="4" customFormat="1" x14ac:dyDescent="0.25">
      <c r="A2918" s="6"/>
      <c r="B2918" s="5"/>
      <c r="C2918" s="5"/>
      <c r="D2918" s="5" t="s">
        <v>376</v>
      </c>
      <c r="E2918" s="5" t="s">
        <v>377</v>
      </c>
      <c r="F2918" s="5" t="s">
        <v>551</v>
      </c>
      <c r="G2918" s="14">
        <f t="shared" ref="G2918:L2918" si="737">SUBTOTAL(9,G2916:G2917)</f>
        <v>631.28</v>
      </c>
      <c r="H2918" s="14">
        <f t="shared" si="737"/>
        <v>0</v>
      </c>
      <c r="I2918" s="14">
        <f t="shared" si="737"/>
        <v>0</v>
      </c>
      <c r="J2918" s="14">
        <f t="shared" si="737"/>
        <v>75.75</v>
      </c>
      <c r="K2918" s="14">
        <f t="shared" si="737"/>
        <v>-12.63</v>
      </c>
      <c r="L2918" s="14">
        <f t="shared" si="737"/>
        <v>694.4</v>
      </c>
      <c r="M2918" s="10">
        <v>2828</v>
      </c>
      <c r="N2918" s="69"/>
      <c r="O2918" s="11">
        <f>O2914+1</f>
        <v>709</v>
      </c>
    </row>
    <row r="2919" spans="1:15" x14ac:dyDescent="0.25">
      <c r="A2919" s="10"/>
      <c r="G2919" s="21"/>
      <c r="H2919" s="21"/>
      <c r="I2919" s="21"/>
      <c r="J2919" s="21"/>
      <c r="K2919" s="21"/>
      <c r="L2919" s="21"/>
      <c r="M2919" s="10"/>
      <c r="O2919" s="11"/>
    </row>
    <row r="2920" spans="1:15" x14ac:dyDescent="0.25">
      <c r="A2920" s="6">
        <v>1438</v>
      </c>
      <c r="B2920" s="5" t="s">
        <v>550</v>
      </c>
      <c r="C2920" s="5" t="s">
        <v>13</v>
      </c>
      <c r="D2920" s="5" t="s">
        <v>376</v>
      </c>
      <c r="E2920" s="5" t="s">
        <v>377</v>
      </c>
      <c r="F2920" s="5" t="s">
        <v>552</v>
      </c>
      <c r="G2920" s="22">
        <v>0</v>
      </c>
      <c r="H2920" s="22">
        <v>0</v>
      </c>
      <c r="I2920" s="22">
        <v>0</v>
      </c>
      <c r="J2920" s="22">
        <v>0.01</v>
      </c>
      <c r="K2920" s="22">
        <v>0</v>
      </c>
      <c r="L2920" s="22">
        <v>0.01</v>
      </c>
      <c r="M2920" s="10"/>
      <c r="O2920" s="11"/>
    </row>
    <row r="2921" spans="1:15" s="4" customFormat="1" x14ac:dyDescent="0.25">
      <c r="A2921" s="6">
        <v>1439</v>
      </c>
      <c r="B2921" s="5" t="s">
        <v>550</v>
      </c>
      <c r="C2921" s="5" t="s">
        <v>17</v>
      </c>
      <c r="D2921" s="5" t="s">
        <v>376</v>
      </c>
      <c r="E2921" s="5" t="s">
        <v>377</v>
      </c>
      <c r="F2921" s="5" t="s">
        <v>552</v>
      </c>
      <c r="G2921" s="22">
        <v>0.05</v>
      </c>
      <c r="H2921" s="22">
        <v>0</v>
      </c>
      <c r="I2921" s="22">
        <v>0</v>
      </c>
      <c r="J2921" s="22">
        <v>0</v>
      </c>
      <c r="K2921" s="22">
        <v>0</v>
      </c>
      <c r="L2921" s="22">
        <v>0.05</v>
      </c>
      <c r="M2921" s="10"/>
      <c r="N2921" s="67"/>
      <c r="O2921" s="11"/>
    </row>
    <row r="2922" spans="1:15" s="4" customFormat="1" x14ac:dyDescent="0.25">
      <c r="A2922" s="6"/>
      <c r="B2922" s="5"/>
      <c r="C2922" s="5"/>
      <c r="D2922" s="5" t="s">
        <v>376</v>
      </c>
      <c r="E2922" s="5" t="s">
        <v>377</v>
      </c>
      <c r="F2922" s="5" t="s">
        <v>552</v>
      </c>
      <c r="G2922" s="14">
        <f t="shared" ref="G2922:L2922" si="738">SUBTOTAL(9,G2920:G2921)</f>
        <v>0.05</v>
      </c>
      <c r="H2922" s="14">
        <f t="shared" si="738"/>
        <v>0</v>
      </c>
      <c r="I2922" s="14">
        <f t="shared" si="738"/>
        <v>0</v>
      </c>
      <c r="J2922" s="14">
        <f t="shared" si="738"/>
        <v>0.01</v>
      </c>
      <c r="K2922" s="14">
        <f t="shared" si="738"/>
        <v>0</v>
      </c>
      <c r="L2922" s="14">
        <f t="shared" si="738"/>
        <v>6.0000000000000005E-2</v>
      </c>
      <c r="M2922" s="10">
        <v>2829</v>
      </c>
      <c r="N2922" s="69"/>
      <c r="O2922" s="11">
        <f>O2918+1</f>
        <v>710</v>
      </c>
    </row>
    <row r="2923" spans="1:15" x14ac:dyDescent="0.25">
      <c r="A2923" s="10"/>
      <c r="G2923" s="21"/>
      <c r="H2923" s="21"/>
      <c r="I2923" s="21"/>
      <c r="J2923" s="21"/>
      <c r="K2923" s="21"/>
      <c r="L2923" s="21"/>
      <c r="M2923" s="10"/>
      <c r="O2923" s="11"/>
    </row>
    <row r="2924" spans="1:15" x14ac:dyDescent="0.25">
      <c r="A2924" s="6">
        <v>1440</v>
      </c>
      <c r="B2924" s="5" t="s">
        <v>550</v>
      </c>
      <c r="C2924" s="5" t="s">
        <v>13</v>
      </c>
      <c r="D2924" s="5" t="s">
        <v>378</v>
      </c>
      <c r="E2924" s="5" t="s">
        <v>379</v>
      </c>
      <c r="F2924" s="5" t="s">
        <v>551</v>
      </c>
      <c r="G2924" s="22">
        <v>0</v>
      </c>
      <c r="H2924" s="22">
        <v>0</v>
      </c>
      <c r="I2924" s="22">
        <v>0</v>
      </c>
      <c r="J2924" s="22">
        <v>6441.49</v>
      </c>
      <c r="K2924" s="22">
        <v>0</v>
      </c>
      <c r="L2924" s="22">
        <v>6441.49</v>
      </c>
      <c r="M2924" s="10"/>
      <c r="O2924" s="11"/>
    </row>
    <row r="2925" spans="1:15" s="4" customFormat="1" x14ac:dyDescent="0.25">
      <c r="A2925" s="6">
        <v>1441</v>
      </c>
      <c r="B2925" s="5" t="s">
        <v>550</v>
      </c>
      <c r="C2925" s="5" t="s">
        <v>17</v>
      </c>
      <c r="D2925" s="5" t="s">
        <v>378</v>
      </c>
      <c r="E2925" s="5" t="s">
        <v>379</v>
      </c>
      <c r="F2925" s="5" t="s">
        <v>551</v>
      </c>
      <c r="G2925" s="22">
        <v>53679.08</v>
      </c>
      <c r="H2925" s="22">
        <v>0</v>
      </c>
      <c r="I2925" s="22">
        <v>0</v>
      </c>
      <c r="J2925" s="22">
        <v>0</v>
      </c>
      <c r="K2925" s="22">
        <v>-1073.58</v>
      </c>
      <c r="L2925" s="22">
        <v>52605.5</v>
      </c>
      <c r="M2925" s="10"/>
      <c r="N2925" s="67"/>
      <c r="O2925" s="11"/>
    </row>
    <row r="2926" spans="1:15" x14ac:dyDescent="0.25">
      <c r="A2926" s="6"/>
      <c r="B2926" s="5"/>
      <c r="C2926" s="5"/>
      <c r="D2926" s="5" t="s">
        <v>378</v>
      </c>
      <c r="E2926" s="5" t="s">
        <v>379</v>
      </c>
      <c r="F2926" s="5" t="s">
        <v>551</v>
      </c>
      <c r="G2926" s="14">
        <f t="shared" ref="G2926:L2926" si="739">SUBTOTAL(9,G2924:G2925)</f>
        <v>53679.08</v>
      </c>
      <c r="H2926" s="14">
        <f t="shared" si="739"/>
        <v>0</v>
      </c>
      <c r="I2926" s="14">
        <f t="shared" si="739"/>
        <v>0</v>
      </c>
      <c r="J2926" s="14">
        <f t="shared" si="739"/>
        <v>6441.49</v>
      </c>
      <c r="K2926" s="14">
        <f t="shared" si="739"/>
        <v>-1073.58</v>
      </c>
      <c r="L2926" s="14">
        <f t="shared" si="739"/>
        <v>59046.99</v>
      </c>
      <c r="M2926" s="10">
        <v>2830</v>
      </c>
      <c r="N2926" s="69"/>
      <c r="O2926" s="11">
        <f>O2922+1</f>
        <v>711</v>
      </c>
    </row>
    <row r="2927" spans="1:15" x14ac:dyDescent="0.25">
      <c r="A2927" s="10"/>
      <c r="G2927" s="21"/>
      <c r="H2927" s="21"/>
      <c r="I2927" s="21"/>
      <c r="J2927" s="21"/>
      <c r="K2927" s="21"/>
      <c r="L2927" s="21"/>
      <c r="M2927" s="10"/>
      <c r="O2927" s="11"/>
    </row>
    <row r="2928" spans="1:15" s="4" customFormat="1" x14ac:dyDescent="0.25">
      <c r="A2928" s="6">
        <v>1442</v>
      </c>
      <c r="B2928" s="5" t="s">
        <v>550</v>
      </c>
      <c r="C2928" s="5" t="s">
        <v>13</v>
      </c>
      <c r="D2928" s="5" t="s">
        <v>378</v>
      </c>
      <c r="E2928" s="5" t="s">
        <v>379</v>
      </c>
      <c r="F2928" s="5" t="s">
        <v>552</v>
      </c>
      <c r="G2928" s="22">
        <v>0</v>
      </c>
      <c r="H2928" s="22">
        <v>0</v>
      </c>
      <c r="I2928" s="22">
        <v>0</v>
      </c>
      <c r="J2928" s="22">
        <v>0.46</v>
      </c>
      <c r="K2928" s="22">
        <v>0</v>
      </c>
      <c r="L2928" s="22">
        <v>0.46</v>
      </c>
      <c r="M2928" s="10"/>
      <c r="N2928" s="67"/>
      <c r="O2928" s="11"/>
    </row>
    <row r="2929" spans="1:15" x14ac:dyDescent="0.25">
      <c r="A2929" s="6">
        <v>1443</v>
      </c>
      <c r="B2929" s="5" t="s">
        <v>550</v>
      </c>
      <c r="C2929" s="5" t="s">
        <v>17</v>
      </c>
      <c r="D2929" s="5" t="s">
        <v>378</v>
      </c>
      <c r="E2929" s="5" t="s">
        <v>379</v>
      </c>
      <c r="F2929" s="5" t="s">
        <v>552</v>
      </c>
      <c r="G2929" s="22">
        <v>3.86</v>
      </c>
      <c r="H2929" s="22">
        <v>0</v>
      </c>
      <c r="I2929" s="22">
        <v>0</v>
      </c>
      <c r="J2929" s="22">
        <v>0</v>
      </c>
      <c r="K2929" s="22">
        <v>-0.08</v>
      </c>
      <c r="L2929" s="22">
        <v>3.78</v>
      </c>
      <c r="M2929" s="10"/>
      <c r="O2929" s="11"/>
    </row>
    <row r="2930" spans="1:15" x14ac:dyDescent="0.25">
      <c r="A2930" s="6"/>
      <c r="B2930" s="5"/>
      <c r="C2930" s="5"/>
      <c r="D2930" s="5" t="s">
        <v>378</v>
      </c>
      <c r="E2930" s="5" t="s">
        <v>379</v>
      </c>
      <c r="F2930" s="5" t="s">
        <v>552</v>
      </c>
      <c r="G2930" s="14">
        <f t="shared" ref="G2930:L2930" si="740">SUBTOTAL(9,G2928:G2929)</f>
        <v>3.86</v>
      </c>
      <c r="H2930" s="14">
        <f t="shared" si="740"/>
        <v>0</v>
      </c>
      <c r="I2930" s="14">
        <f t="shared" si="740"/>
        <v>0</v>
      </c>
      <c r="J2930" s="14">
        <f t="shared" si="740"/>
        <v>0.46</v>
      </c>
      <c r="K2930" s="14">
        <f t="shared" si="740"/>
        <v>-0.08</v>
      </c>
      <c r="L2930" s="14">
        <f t="shared" si="740"/>
        <v>4.24</v>
      </c>
      <c r="M2930" s="10">
        <v>2831</v>
      </c>
      <c r="N2930" s="69"/>
      <c r="O2930" s="11">
        <f>O2926+1</f>
        <v>712</v>
      </c>
    </row>
    <row r="2931" spans="1:15" s="4" customFormat="1" x14ac:dyDescent="0.25">
      <c r="A2931" s="10"/>
      <c r="B2931"/>
      <c r="C2931"/>
      <c r="D2931"/>
      <c r="E2931"/>
      <c r="F2931"/>
      <c r="G2931" s="21"/>
      <c r="H2931" s="21"/>
      <c r="I2931" s="21"/>
      <c r="J2931" s="21"/>
      <c r="K2931" s="21"/>
      <c r="L2931" s="21"/>
      <c r="M2931" s="10"/>
      <c r="N2931" s="67"/>
      <c r="O2931" s="11"/>
    </row>
    <row r="2932" spans="1:15" x14ac:dyDescent="0.25">
      <c r="A2932" s="6">
        <v>1444</v>
      </c>
      <c r="B2932" s="5" t="s">
        <v>18</v>
      </c>
      <c r="C2932" s="5" t="s">
        <v>17</v>
      </c>
      <c r="D2932" s="5" t="s">
        <v>380</v>
      </c>
      <c r="E2932" s="5" t="s">
        <v>381</v>
      </c>
      <c r="F2932" s="5" t="s">
        <v>19</v>
      </c>
      <c r="G2932" s="22">
        <v>5.64</v>
      </c>
      <c r="H2932" s="22">
        <v>0</v>
      </c>
      <c r="I2932" s="22">
        <v>0</v>
      </c>
      <c r="J2932" s="22">
        <v>0</v>
      </c>
      <c r="K2932" s="22">
        <v>-5</v>
      </c>
      <c r="L2932" s="22">
        <v>0.64</v>
      </c>
      <c r="M2932" s="10"/>
      <c r="O2932" s="11"/>
    </row>
    <row r="2933" spans="1:15" x14ac:dyDescent="0.25">
      <c r="A2933" s="6"/>
      <c r="B2933" s="5"/>
      <c r="C2933" s="5"/>
      <c r="D2933" s="5" t="s">
        <v>380</v>
      </c>
      <c r="E2933" s="5" t="s">
        <v>381</v>
      </c>
      <c r="F2933" s="5" t="s">
        <v>19</v>
      </c>
      <c r="G2933" s="14">
        <f t="shared" ref="G2933:L2933" si="741">SUBTOTAL(9,G2932:G2932)</f>
        <v>5.64</v>
      </c>
      <c r="H2933" s="14">
        <f t="shared" si="741"/>
        <v>0</v>
      </c>
      <c r="I2933" s="14">
        <f t="shared" si="741"/>
        <v>0</v>
      </c>
      <c r="J2933" s="14">
        <f t="shared" si="741"/>
        <v>0</v>
      </c>
      <c r="K2933" s="14">
        <f t="shared" si="741"/>
        <v>-5</v>
      </c>
      <c r="L2933" s="14">
        <f t="shared" si="741"/>
        <v>0.64</v>
      </c>
      <c r="M2933" s="10">
        <v>2832</v>
      </c>
      <c r="N2933" s="69"/>
      <c r="O2933" s="11">
        <f>O2930+1</f>
        <v>713</v>
      </c>
    </row>
    <row r="2934" spans="1:15" s="4" customFormat="1" x14ac:dyDescent="0.25">
      <c r="A2934" s="10"/>
      <c r="B2934"/>
      <c r="C2934"/>
      <c r="D2934"/>
      <c r="E2934"/>
      <c r="F2934"/>
      <c r="G2934" s="21"/>
      <c r="H2934" s="21"/>
      <c r="I2934" s="21"/>
      <c r="J2934" s="21"/>
      <c r="K2934" s="21"/>
      <c r="L2934" s="21"/>
      <c r="M2934" s="10"/>
      <c r="N2934" s="67"/>
      <c r="O2934" s="11"/>
    </row>
    <row r="2935" spans="1:15" x14ac:dyDescent="0.25">
      <c r="A2935" s="6">
        <v>1445</v>
      </c>
      <c r="B2935" s="5" t="s">
        <v>550</v>
      </c>
      <c r="C2935" s="5" t="s">
        <v>17</v>
      </c>
      <c r="D2935" s="5" t="s">
        <v>380</v>
      </c>
      <c r="E2935" s="5" t="s">
        <v>381</v>
      </c>
      <c r="F2935" s="5" t="s">
        <v>551</v>
      </c>
      <c r="G2935" s="22">
        <v>154333.15</v>
      </c>
      <c r="H2935" s="22">
        <v>0</v>
      </c>
      <c r="I2935" s="22">
        <v>0</v>
      </c>
      <c r="J2935" s="22">
        <v>0</v>
      </c>
      <c r="K2935" s="22">
        <v>-3086.66</v>
      </c>
      <c r="L2935" s="22">
        <v>151246.49</v>
      </c>
      <c r="M2935" s="10"/>
      <c r="O2935" s="11"/>
    </row>
    <row r="2936" spans="1:15" x14ac:dyDescent="0.25">
      <c r="A2936" s="6"/>
      <c r="B2936" s="5"/>
      <c r="C2936" s="5"/>
      <c r="D2936" s="5" t="s">
        <v>380</v>
      </c>
      <c r="E2936" s="5" t="s">
        <v>381</v>
      </c>
      <c r="F2936" s="5" t="s">
        <v>551</v>
      </c>
      <c r="G2936" s="14">
        <f t="shared" ref="G2936:L2936" si="742">SUBTOTAL(9,G2935:G2935)</f>
        <v>154333.15</v>
      </c>
      <c r="H2936" s="14">
        <f t="shared" si="742"/>
        <v>0</v>
      </c>
      <c r="I2936" s="14">
        <f t="shared" si="742"/>
        <v>0</v>
      </c>
      <c r="J2936" s="14">
        <f t="shared" si="742"/>
        <v>0</v>
      </c>
      <c r="K2936" s="14">
        <f t="shared" si="742"/>
        <v>-3086.66</v>
      </c>
      <c r="L2936" s="14">
        <f t="shared" si="742"/>
        <v>151246.49</v>
      </c>
      <c r="M2936" s="10">
        <v>2833</v>
      </c>
      <c r="N2936" s="69"/>
      <c r="O2936" s="11">
        <f>O2933+1</f>
        <v>714</v>
      </c>
    </row>
    <row r="2937" spans="1:15" s="4" customFormat="1" x14ac:dyDescent="0.25">
      <c r="A2937" s="10"/>
      <c r="B2937"/>
      <c r="C2937"/>
      <c r="D2937"/>
      <c r="E2937"/>
      <c r="F2937"/>
      <c r="G2937" s="21"/>
      <c r="H2937" s="21"/>
      <c r="I2937" s="21"/>
      <c r="J2937" s="21"/>
      <c r="K2937" s="21"/>
      <c r="L2937" s="21"/>
      <c r="M2937" s="10"/>
      <c r="N2937" s="67"/>
      <c r="O2937" s="11"/>
    </row>
    <row r="2938" spans="1:15" x14ac:dyDescent="0.25">
      <c r="A2938" s="6">
        <v>1446</v>
      </c>
      <c r="B2938" s="5" t="s">
        <v>550</v>
      </c>
      <c r="C2938" s="5" t="s">
        <v>17</v>
      </c>
      <c r="D2938" s="5" t="s">
        <v>380</v>
      </c>
      <c r="E2938" s="5" t="s">
        <v>381</v>
      </c>
      <c r="F2938" s="5" t="s">
        <v>552</v>
      </c>
      <c r="G2938" s="22">
        <v>11.1</v>
      </c>
      <c r="H2938" s="22">
        <v>0</v>
      </c>
      <c r="I2938" s="22">
        <v>0</v>
      </c>
      <c r="J2938" s="22">
        <v>0</v>
      </c>
      <c r="K2938" s="22">
        <v>-0.22</v>
      </c>
      <c r="L2938" s="22">
        <v>10.88</v>
      </c>
      <c r="M2938" s="10"/>
      <c r="O2938" s="11"/>
    </row>
    <row r="2939" spans="1:15" x14ac:dyDescent="0.25">
      <c r="A2939" s="6"/>
      <c r="B2939" s="5"/>
      <c r="C2939" s="5"/>
      <c r="D2939" s="5" t="s">
        <v>380</v>
      </c>
      <c r="E2939" s="5" t="s">
        <v>381</v>
      </c>
      <c r="F2939" s="5" t="s">
        <v>552</v>
      </c>
      <c r="G2939" s="14">
        <f t="shared" ref="G2939:L2939" si="743">SUBTOTAL(9,G2938:G2938)</f>
        <v>11.1</v>
      </c>
      <c r="H2939" s="14">
        <f t="shared" si="743"/>
        <v>0</v>
      </c>
      <c r="I2939" s="14">
        <f t="shared" si="743"/>
        <v>0</v>
      </c>
      <c r="J2939" s="14">
        <f t="shared" si="743"/>
        <v>0</v>
      </c>
      <c r="K2939" s="14">
        <f t="shared" si="743"/>
        <v>-0.22</v>
      </c>
      <c r="L2939" s="14">
        <f t="shared" si="743"/>
        <v>10.88</v>
      </c>
      <c r="M2939" s="10">
        <v>2834</v>
      </c>
      <c r="N2939" s="69"/>
      <c r="O2939" s="11">
        <f>O2936+1</f>
        <v>715</v>
      </c>
    </row>
    <row r="2940" spans="1:15" s="4" customFormat="1" x14ac:dyDescent="0.25">
      <c r="A2940" s="10"/>
      <c r="B2940"/>
      <c r="C2940"/>
      <c r="D2940"/>
      <c r="E2940"/>
      <c r="F2940"/>
      <c r="G2940" s="21"/>
      <c r="H2940" s="21"/>
      <c r="I2940" s="21"/>
      <c r="J2940" s="21"/>
      <c r="K2940" s="21"/>
      <c r="L2940" s="21"/>
      <c r="M2940" s="10"/>
      <c r="N2940" s="67"/>
      <c r="O2940" s="11"/>
    </row>
    <row r="2941" spans="1:15" x14ac:dyDescent="0.25">
      <c r="A2941" s="6">
        <v>1447</v>
      </c>
      <c r="B2941" s="5" t="s">
        <v>18</v>
      </c>
      <c r="C2941" s="5" t="s">
        <v>17</v>
      </c>
      <c r="D2941" s="5" t="s">
        <v>382</v>
      </c>
      <c r="E2941" s="5" t="s">
        <v>383</v>
      </c>
      <c r="F2941" s="5" t="s">
        <v>19</v>
      </c>
      <c r="G2941" s="22">
        <v>5.87</v>
      </c>
      <c r="H2941" s="22">
        <v>0</v>
      </c>
      <c r="I2941" s="22">
        <v>0</v>
      </c>
      <c r="J2941" s="22">
        <v>0</v>
      </c>
      <c r="K2941" s="22">
        <v>-5.21</v>
      </c>
      <c r="L2941" s="22">
        <v>0.66</v>
      </c>
      <c r="M2941" s="10"/>
      <c r="O2941" s="11"/>
    </row>
    <row r="2942" spans="1:15" x14ac:dyDescent="0.25">
      <c r="A2942" s="6"/>
      <c r="B2942" s="5"/>
      <c r="C2942" s="5"/>
      <c r="D2942" s="5" t="s">
        <v>382</v>
      </c>
      <c r="E2942" s="5" t="s">
        <v>383</v>
      </c>
      <c r="F2942" s="5" t="s">
        <v>19</v>
      </c>
      <c r="G2942" s="14">
        <f t="shared" ref="G2942:L2942" si="744">SUBTOTAL(9,G2941:G2941)</f>
        <v>5.87</v>
      </c>
      <c r="H2942" s="14">
        <f t="shared" si="744"/>
        <v>0</v>
      </c>
      <c r="I2942" s="14">
        <f t="shared" si="744"/>
        <v>0</v>
      </c>
      <c r="J2942" s="14">
        <f t="shared" si="744"/>
        <v>0</v>
      </c>
      <c r="K2942" s="14">
        <f t="shared" si="744"/>
        <v>-5.21</v>
      </c>
      <c r="L2942" s="14">
        <f t="shared" si="744"/>
        <v>0.66</v>
      </c>
      <c r="M2942" s="10">
        <v>2835</v>
      </c>
      <c r="N2942" s="69"/>
      <c r="O2942" s="11">
        <f>O2939+1</f>
        <v>716</v>
      </c>
    </row>
    <row r="2943" spans="1:15" s="4" customFormat="1" x14ac:dyDescent="0.25">
      <c r="A2943" s="10"/>
      <c r="B2943"/>
      <c r="C2943"/>
      <c r="D2943"/>
      <c r="E2943"/>
      <c r="F2943"/>
      <c r="G2943" s="21"/>
      <c r="H2943" s="21"/>
      <c r="I2943" s="21"/>
      <c r="J2943" s="21"/>
      <c r="K2943" s="21"/>
      <c r="L2943" s="21"/>
      <c r="M2943" s="10"/>
      <c r="N2943" s="67"/>
      <c r="O2943" s="11"/>
    </row>
    <row r="2944" spans="1:15" x14ac:dyDescent="0.25">
      <c r="A2944" s="6">
        <v>1448</v>
      </c>
      <c r="B2944" s="5" t="s">
        <v>550</v>
      </c>
      <c r="C2944" s="5" t="s">
        <v>13</v>
      </c>
      <c r="D2944" s="5" t="s">
        <v>382</v>
      </c>
      <c r="E2944" s="5" t="s">
        <v>383</v>
      </c>
      <c r="F2944" s="5" t="s">
        <v>551</v>
      </c>
      <c r="G2944" s="22">
        <v>0</v>
      </c>
      <c r="H2944" s="22">
        <v>0</v>
      </c>
      <c r="I2944" s="22">
        <v>0</v>
      </c>
      <c r="J2944" s="22">
        <v>14448.52</v>
      </c>
      <c r="K2944" s="22">
        <v>0</v>
      </c>
      <c r="L2944" s="22">
        <v>14448.52</v>
      </c>
      <c r="M2944" s="10"/>
      <c r="O2944" s="11"/>
    </row>
    <row r="2945" spans="1:15" x14ac:dyDescent="0.25">
      <c r="A2945" s="6">
        <v>1449</v>
      </c>
      <c r="B2945" s="5" t="s">
        <v>550</v>
      </c>
      <c r="C2945" s="5" t="s">
        <v>17</v>
      </c>
      <c r="D2945" s="5" t="s">
        <v>382</v>
      </c>
      <c r="E2945" s="5" t="s">
        <v>383</v>
      </c>
      <c r="F2945" s="5" t="s">
        <v>551</v>
      </c>
      <c r="G2945" s="22">
        <v>120404.37</v>
      </c>
      <c r="H2945" s="22">
        <v>0</v>
      </c>
      <c r="I2945" s="22">
        <v>0</v>
      </c>
      <c r="J2945" s="22">
        <v>0</v>
      </c>
      <c r="K2945" s="22">
        <v>-2408.09</v>
      </c>
      <c r="L2945" s="22">
        <v>117996.28</v>
      </c>
      <c r="M2945" s="10"/>
      <c r="O2945" s="11"/>
    </row>
    <row r="2946" spans="1:15" s="4" customFormat="1" x14ac:dyDescent="0.25">
      <c r="A2946" s="6"/>
      <c r="B2946" s="5"/>
      <c r="C2946" s="5"/>
      <c r="D2946" s="5" t="s">
        <v>382</v>
      </c>
      <c r="E2946" s="5" t="s">
        <v>383</v>
      </c>
      <c r="F2946" s="5" t="s">
        <v>551</v>
      </c>
      <c r="G2946" s="14">
        <f t="shared" ref="G2946:L2946" si="745">SUBTOTAL(9,G2944:G2945)</f>
        <v>120404.37</v>
      </c>
      <c r="H2946" s="14">
        <f t="shared" si="745"/>
        <v>0</v>
      </c>
      <c r="I2946" s="14">
        <f t="shared" si="745"/>
        <v>0</v>
      </c>
      <c r="J2946" s="14">
        <f t="shared" si="745"/>
        <v>14448.52</v>
      </c>
      <c r="K2946" s="14">
        <f t="shared" si="745"/>
        <v>-2408.09</v>
      </c>
      <c r="L2946" s="14">
        <f t="shared" si="745"/>
        <v>132444.79999999999</v>
      </c>
      <c r="M2946" s="10">
        <v>2836</v>
      </c>
      <c r="N2946" s="69"/>
      <c r="O2946" s="11">
        <f>O2942+1</f>
        <v>717</v>
      </c>
    </row>
    <row r="2947" spans="1:15" x14ac:dyDescent="0.25">
      <c r="A2947" s="10"/>
      <c r="G2947" s="21"/>
      <c r="H2947" s="21"/>
      <c r="I2947" s="21"/>
      <c r="J2947" s="21"/>
      <c r="K2947" s="21"/>
      <c r="L2947" s="21"/>
      <c r="M2947" s="10"/>
      <c r="O2947" s="11"/>
    </row>
    <row r="2948" spans="1:15" x14ac:dyDescent="0.25">
      <c r="A2948" s="6">
        <v>1450</v>
      </c>
      <c r="B2948" s="5" t="s">
        <v>550</v>
      </c>
      <c r="C2948" s="5" t="s">
        <v>13</v>
      </c>
      <c r="D2948" s="5" t="s">
        <v>382</v>
      </c>
      <c r="E2948" s="5" t="s">
        <v>383</v>
      </c>
      <c r="F2948" s="5" t="s">
        <v>552</v>
      </c>
      <c r="G2948" s="22">
        <v>0</v>
      </c>
      <c r="H2948" s="22">
        <v>0</v>
      </c>
      <c r="I2948" s="22">
        <v>0</v>
      </c>
      <c r="J2948" s="22">
        <v>1.04</v>
      </c>
      <c r="K2948" s="22">
        <v>0</v>
      </c>
      <c r="L2948" s="22">
        <v>1.04</v>
      </c>
      <c r="M2948" s="10"/>
      <c r="O2948" s="11"/>
    </row>
    <row r="2949" spans="1:15" s="4" customFormat="1" x14ac:dyDescent="0.25">
      <c r="A2949" s="6">
        <v>1451</v>
      </c>
      <c r="B2949" s="5" t="s">
        <v>550</v>
      </c>
      <c r="C2949" s="5" t="s">
        <v>17</v>
      </c>
      <c r="D2949" s="5" t="s">
        <v>382</v>
      </c>
      <c r="E2949" s="5" t="s">
        <v>383</v>
      </c>
      <c r="F2949" s="5" t="s">
        <v>552</v>
      </c>
      <c r="G2949" s="22">
        <v>8.66</v>
      </c>
      <c r="H2949" s="22">
        <v>0</v>
      </c>
      <c r="I2949" s="22">
        <v>0</v>
      </c>
      <c r="J2949" s="22">
        <v>0</v>
      </c>
      <c r="K2949" s="22">
        <v>-0.17</v>
      </c>
      <c r="L2949" s="22">
        <v>8.49</v>
      </c>
      <c r="M2949" s="10"/>
      <c r="N2949" s="67"/>
      <c r="O2949" s="11"/>
    </row>
    <row r="2950" spans="1:15" x14ac:dyDescent="0.25">
      <c r="A2950" s="6"/>
      <c r="B2950" s="5"/>
      <c r="C2950" s="5"/>
      <c r="D2950" s="5" t="s">
        <v>382</v>
      </c>
      <c r="E2950" s="5" t="s">
        <v>383</v>
      </c>
      <c r="F2950" s="5" t="s">
        <v>552</v>
      </c>
      <c r="G2950" s="14">
        <f t="shared" ref="G2950:L2950" si="746">SUBTOTAL(9,G2948:G2949)</f>
        <v>8.66</v>
      </c>
      <c r="H2950" s="14">
        <f t="shared" si="746"/>
        <v>0</v>
      </c>
      <c r="I2950" s="14">
        <f t="shared" si="746"/>
        <v>0</v>
      </c>
      <c r="J2950" s="14">
        <f t="shared" si="746"/>
        <v>1.04</v>
      </c>
      <c r="K2950" s="14">
        <f t="shared" si="746"/>
        <v>-0.17</v>
      </c>
      <c r="L2950" s="14">
        <f t="shared" si="746"/>
        <v>9.5300000000000011</v>
      </c>
      <c r="M2950" s="10">
        <v>2837</v>
      </c>
      <c r="N2950" s="69"/>
      <c r="O2950" s="11">
        <f>O2946+1</f>
        <v>718</v>
      </c>
    </row>
    <row r="2951" spans="1:15" x14ac:dyDescent="0.25">
      <c r="A2951" s="10"/>
      <c r="G2951" s="21"/>
      <c r="H2951" s="21"/>
      <c r="I2951" s="21"/>
      <c r="J2951" s="21"/>
      <c r="K2951" s="21"/>
      <c r="L2951" s="21"/>
      <c r="M2951" s="10"/>
      <c r="O2951" s="11"/>
    </row>
    <row r="2952" spans="1:15" s="4" customFormat="1" x14ac:dyDescent="0.25">
      <c r="A2952" s="6">
        <v>1452</v>
      </c>
      <c r="B2952" s="5" t="s">
        <v>18</v>
      </c>
      <c r="C2952" s="5" t="s">
        <v>17</v>
      </c>
      <c r="D2952" s="5" t="s">
        <v>384</v>
      </c>
      <c r="E2952" s="5" t="s">
        <v>385</v>
      </c>
      <c r="F2952" s="5" t="s">
        <v>19</v>
      </c>
      <c r="G2952" s="22">
        <v>0</v>
      </c>
      <c r="H2952" s="22">
        <v>0</v>
      </c>
      <c r="I2952" s="22">
        <v>0</v>
      </c>
      <c r="J2952" s="22">
        <v>0</v>
      </c>
      <c r="K2952" s="22">
        <v>0</v>
      </c>
      <c r="L2952" s="22">
        <v>0</v>
      </c>
      <c r="M2952" s="10"/>
      <c r="N2952" s="67"/>
      <c r="O2952" s="11"/>
    </row>
    <row r="2953" spans="1:15" x14ac:dyDescent="0.25">
      <c r="A2953" s="28"/>
      <c r="B2953" s="29"/>
      <c r="C2953" s="29"/>
      <c r="D2953" s="29"/>
      <c r="E2953" s="29"/>
      <c r="F2953" s="29" t="s">
        <v>657</v>
      </c>
      <c r="G2953" s="31">
        <f t="shared" ref="G2953:L2953" si="747">SUBTOTAL(9,G2952:G2952)</f>
        <v>0</v>
      </c>
      <c r="H2953" s="31">
        <f t="shared" si="747"/>
        <v>0</v>
      </c>
      <c r="I2953" s="31">
        <f t="shared" si="747"/>
        <v>0</v>
      </c>
      <c r="J2953" s="31">
        <f t="shared" si="747"/>
        <v>0</v>
      </c>
      <c r="K2953" s="31">
        <f t="shared" si="747"/>
        <v>0</v>
      </c>
      <c r="L2953" s="31">
        <f t="shared" si="747"/>
        <v>0</v>
      </c>
      <c r="M2953" s="42"/>
      <c r="O2953" s="50"/>
    </row>
    <row r="2954" spans="1:15" x14ac:dyDescent="0.25">
      <c r="A2954" s="10"/>
      <c r="G2954" s="21"/>
      <c r="H2954" s="21"/>
      <c r="I2954" s="21"/>
      <c r="J2954" s="21"/>
      <c r="K2954" s="21"/>
      <c r="L2954" s="21"/>
      <c r="M2954" s="10"/>
      <c r="O2954" s="11"/>
    </row>
    <row r="2955" spans="1:15" s="4" customFormat="1" x14ac:dyDescent="0.25">
      <c r="A2955" s="6">
        <v>1453</v>
      </c>
      <c r="B2955" s="5" t="s">
        <v>559</v>
      </c>
      <c r="C2955" s="5" t="s">
        <v>17</v>
      </c>
      <c r="D2955" s="5" t="s">
        <v>386</v>
      </c>
      <c r="E2955" s="5" t="s">
        <v>387</v>
      </c>
      <c r="F2955" s="5" t="s">
        <v>560</v>
      </c>
      <c r="G2955" s="22">
        <v>0</v>
      </c>
      <c r="H2955" s="22">
        <v>0</v>
      </c>
      <c r="I2955" s="22">
        <v>0.16</v>
      </c>
      <c r="J2955" s="22">
        <v>0</v>
      </c>
      <c r="K2955" s="22">
        <v>0</v>
      </c>
      <c r="L2955" s="22">
        <v>0.16</v>
      </c>
      <c r="M2955" s="10"/>
      <c r="N2955" s="67"/>
      <c r="O2955" s="11"/>
    </row>
    <row r="2956" spans="1:15" x14ac:dyDescent="0.25">
      <c r="A2956" s="6"/>
      <c r="B2956" s="5"/>
      <c r="C2956" s="5"/>
      <c r="D2956" s="5" t="s">
        <v>386</v>
      </c>
      <c r="E2956" s="5" t="s">
        <v>387</v>
      </c>
      <c r="F2956" s="5" t="s">
        <v>560</v>
      </c>
      <c r="G2956" s="14">
        <f t="shared" ref="G2956:L2956" si="748">SUBTOTAL(9,G2955:G2955)</f>
        <v>0</v>
      </c>
      <c r="H2956" s="14">
        <f t="shared" si="748"/>
        <v>0</v>
      </c>
      <c r="I2956" s="14">
        <f t="shared" si="748"/>
        <v>0.16</v>
      </c>
      <c r="J2956" s="14">
        <f t="shared" si="748"/>
        <v>0</v>
      </c>
      <c r="K2956" s="14">
        <f t="shared" si="748"/>
        <v>0</v>
      </c>
      <c r="L2956" s="14">
        <f t="shared" si="748"/>
        <v>0.16</v>
      </c>
      <c r="M2956" s="10">
        <v>2838</v>
      </c>
      <c r="N2956" s="69"/>
      <c r="O2956" s="11">
        <f>O2950+1</f>
        <v>719</v>
      </c>
    </row>
    <row r="2957" spans="1:15" x14ac:dyDescent="0.25">
      <c r="A2957" s="10"/>
      <c r="G2957" s="21"/>
      <c r="H2957" s="21"/>
      <c r="I2957" s="21"/>
      <c r="J2957" s="21"/>
      <c r="K2957" s="21"/>
      <c r="L2957" s="21"/>
      <c r="M2957" s="10"/>
      <c r="O2957" s="11"/>
    </row>
    <row r="2958" spans="1:15" s="4" customFormat="1" x14ac:dyDescent="0.25">
      <c r="A2958" s="6">
        <v>1454</v>
      </c>
      <c r="B2958" s="5" t="s">
        <v>18</v>
      </c>
      <c r="C2958" s="5" t="s">
        <v>17</v>
      </c>
      <c r="D2958" s="5" t="s">
        <v>386</v>
      </c>
      <c r="E2958" s="5" t="s">
        <v>387</v>
      </c>
      <c r="F2958" s="5" t="s">
        <v>19</v>
      </c>
      <c r="G2958" s="22">
        <v>0</v>
      </c>
      <c r="H2958" s="22">
        <v>0</v>
      </c>
      <c r="I2958" s="22">
        <v>15.76</v>
      </c>
      <c r="J2958" s="22">
        <v>0</v>
      </c>
      <c r="K2958" s="22">
        <v>-1.85</v>
      </c>
      <c r="L2958" s="22">
        <v>13.91</v>
      </c>
      <c r="M2958" s="10"/>
      <c r="N2958" s="67"/>
      <c r="O2958" s="11"/>
    </row>
    <row r="2959" spans="1:15" x14ac:dyDescent="0.25">
      <c r="A2959" s="6"/>
      <c r="B2959" s="5"/>
      <c r="C2959" s="5"/>
      <c r="D2959" s="5" t="s">
        <v>386</v>
      </c>
      <c r="E2959" s="5" t="s">
        <v>387</v>
      </c>
      <c r="F2959" s="5" t="s">
        <v>19</v>
      </c>
      <c r="G2959" s="14">
        <f t="shared" ref="G2959:L2959" si="749">SUBTOTAL(9,G2958:G2958)</f>
        <v>0</v>
      </c>
      <c r="H2959" s="14">
        <f t="shared" si="749"/>
        <v>0</v>
      </c>
      <c r="I2959" s="14">
        <f t="shared" si="749"/>
        <v>15.76</v>
      </c>
      <c r="J2959" s="14">
        <f t="shared" si="749"/>
        <v>0</v>
      </c>
      <c r="K2959" s="14">
        <f t="shared" si="749"/>
        <v>-1.85</v>
      </c>
      <c r="L2959" s="14">
        <f t="shared" si="749"/>
        <v>13.91</v>
      </c>
      <c r="M2959" s="10">
        <v>2839</v>
      </c>
      <c r="N2959" s="69"/>
      <c r="O2959" s="11">
        <f>O2956+1</f>
        <v>720</v>
      </c>
    </row>
    <row r="2960" spans="1:15" x14ac:dyDescent="0.25">
      <c r="A2960" s="10"/>
      <c r="G2960" s="21"/>
      <c r="H2960" s="21"/>
      <c r="I2960" s="21"/>
      <c r="J2960" s="21"/>
      <c r="K2960" s="21"/>
      <c r="L2960" s="21"/>
      <c r="M2960" s="10"/>
      <c r="O2960" s="11"/>
    </row>
    <row r="2961" spans="1:15" s="4" customFormat="1" x14ac:dyDescent="0.25">
      <c r="A2961" s="6">
        <v>1455</v>
      </c>
      <c r="B2961" s="5" t="s">
        <v>550</v>
      </c>
      <c r="C2961" s="5" t="s">
        <v>17</v>
      </c>
      <c r="D2961" s="5" t="s">
        <v>386</v>
      </c>
      <c r="E2961" s="5" t="s">
        <v>387</v>
      </c>
      <c r="F2961" s="5" t="s">
        <v>551</v>
      </c>
      <c r="G2961" s="22">
        <v>0</v>
      </c>
      <c r="H2961" s="22">
        <v>0</v>
      </c>
      <c r="I2961" s="22">
        <v>237.51</v>
      </c>
      <c r="J2961" s="22">
        <v>0</v>
      </c>
      <c r="K2961" s="22">
        <v>-4.75</v>
      </c>
      <c r="L2961" s="22">
        <v>232.76</v>
      </c>
      <c r="M2961" s="10"/>
      <c r="N2961" s="67"/>
      <c r="O2961" s="11"/>
    </row>
    <row r="2962" spans="1:15" s="4" customFormat="1" x14ac:dyDescent="0.25">
      <c r="A2962" s="6">
        <v>1456</v>
      </c>
      <c r="B2962" s="5" t="s">
        <v>550</v>
      </c>
      <c r="C2962" s="5" t="s">
        <v>17</v>
      </c>
      <c r="D2962" s="5" t="s">
        <v>386</v>
      </c>
      <c r="E2962" s="5" t="s">
        <v>387</v>
      </c>
      <c r="F2962" s="5" t="s">
        <v>551</v>
      </c>
      <c r="G2962" s="22">
        <v>0</v>
      </c>
      <c r="H2962" s="22">
        <v>0</v>
      </c>
      <c r="I2962" s="22">
        <v>5511.92</v>
      </c>
      <c r="J2962" s="22">
        <v>0</v>
      </c>
      <c r="K2962" s="22">
        <v>-110.24</v>
      </c>
      <c r="L2962" s="22">
        <v>5401.68</v>
      </c>
      <c r="M2962" s="10"/>
      <c r="N2962" s="67"/>
      <c r="O2962" s="11"/>
    </row>
    <row r="2963" spans="1:15" x14ac:dyDescent="0.25">
      <c r="A2963" s="6"/>
      <c r="B2963" s="5"/>
      <c r="C2963" s="5"/>
      <c r="D2963" s="5" t="s">
        <v>386</v>
      </c>
      <c r="E2963" s="5" t="s">
        <v>387</v>
      </c>
      <c r="F2963" s="5" t="s">
        <v>551</v>
      </c>
      <c r="G2963" s="14">
        <f t="shared" ref="G2963:L2963" si="750">SUBTOTAL(9,G2961:G2962)</f>
        <v>0</v>
      </c>
      <c r="H2963" s="14">
        <f t="shared" si="750"/>
        <v>0</v>
      </c>
      <c r="I2963" s="14">
        <f t="shared" si="750"/>
        <v>5749.43</v>
      </c>
      <c r="J2963" s="14">
        <f t="shared" si="750"/>
        <v>0</v>
      </c>
      <c r="K2963" s="14">
        <f t="shared" si="750"/>
        <v>-114.99</v>
      </c>
      <c r="L2963" s="14">
        <f t="shared" si="750"/>
        <v>5634.4400000000005</v>
      </c>
      <c r="M2963" s="10">
        <v>2840</v>
      </c>
      <c r="N2963" s="69"/>
      <c r="O2963" s="11">
        <f>O2959+1</f>
        <v>721</v>
      </c>
    </row>
    <row r="2964" spans="1:15" x14ac:dyDescent="0.25">
      <c r="A2964" s="10"/>
      <c r="G2964" s="21"/>
      <c r="H2964" s="21"/>
      <c r="I2964" s="21"/>
      <c r="J2964" s="21"/>
      <c r="K2964" s="21"/>
      <c r="L2964" s="21"/>
      <c r="M2964" s="10"/>
      <c r="O2964" s="11"/>
    </row>
    <row r="2965" spans="1:15" s="4" customFormat="1" x14ac:dyDescent="0.25">
      <c r="A2965" s="6">
        <v>1457</v>
      </c>
      <c r="B2965" s="5" t="s">
        <v>550</v>
      </c>
      <c r="C2965" s="5" t="s">
        <v>17</v>
      </c>
      <c r="D2965" s="5" t="s">
        <v>386</v>
      </c>
      <c r="E2965" s="5" t="s">
        <v>387</v>
      </c>
      <c r="F2965" s="5" t="s">
        <v>552</v>
      </c>
      <c r="G2965" s="22">
        <v>0</v>
      </c>
      <c r="H2965" s="22">
        <v>0</v>
      </c>
      <c r="I2965" s="22">
        <v>0.02</v>
      </c>
      <c r="J2965" s="22">
        <v>0</v>
      </c>
      <c r="K2965" s="22">
        <v>0</v>
      </c>
      <c r="L2965" s="22">
        <v>0.02</v>
      </c>
      <c r="M2965" s="10"/>
      <c r="N2965" s="67"/>
      <c r="O2965" s="11"/>
    </row>
    <row r="2966" spans="1:15" s="4" customFormat="1" x14ac:dyDescent="0.25">
      <c r="A2966" s="6">
        <v>1458</v>
      </c>
      <c r="B2966" s="5" t="s">
        <v>550</v>
      </c>
      <c r="C2966" s="5" t="s">
        <v>17</v>
      </c>
      <c r="D2966" s="5" t="s">
        <v>386</v>
      </c>
      <c r="E2966" s="5" t="s">
        <v>387</v>
      </c>
      <c r="F2966" s="5" t="s">
        <v>552</v>
      </c>
      <c r="G2966" s="22">
        <v>0</v>
      </c>
      <c r="H2966" s="22">
        <v>0</v>
      </c>
      <c r="I2966" s="22">
        <v>0.4</v>
      </c>
      <c r="J2966" s="22">
        <v>0</v>
      </c>
      <c r="K2966" s="22">
        <v>-0.01</v>
      </c>
      <c r="L2966" s="22">
        <v>0.39</v>
      </c>
      <c r="M2966" s="10"/>
      <c r="N2966" s="67"/>
      <c r="O2966" s="11"/>
    </row>
    <row r="2967" spans="1:15" x14ac:dyDescent="0.25">
      <c r="A2967" s="6"/>
      <c r="B2967" s="5"/>
      <c r="C2967" s="5"/>
      <c r="D2967" s="5" t="s">
        <v>386</v>
      </c>
      <c r="E2967" s="5" t="s">
        <v>387</v>
      </c>
      <c r="F2967" s="5" t="s">
        <v>552</v>
      </c>
      <c r="G2967" s="14">
        <f t="shared" ref="G2967:L2967" si="751">SUBTOTAL(9,G2965:G2966)</f>
        <v>0</v>
      </c>
      <c r="H2967" s="14">
        <f t="shared" si="751"/>
        <v>0</v>
      </c>
      <c r="I2967" s="14">
        <f t="shared" si="751"/>
        <v>0.42000000000000004</v>
      </c>
      <c r="J2967" s="14">
        <f t="shared" si="751"/>
        <v>0</v>
      </c>
      <c r="K2967" s="14">
        <f t="shared" si="751"/>
        <v>-0.01</v>
      </c>
      <c r="L2967" s="14">
        <f t="shared" si="751"/>
        <v>0.41000000000000003</v>
      </c>
      <c r="M2967" s="10">
        <v>2841</v>
      </c>
      <c r="N2967" s="69"/>
      <c r="O2967" s="11">
        <f>O2963+1</f>
        <v>722</v>
      </c>
    </row>
    <row r="2968" spans="1:15" x14ac:dyDescent="0.25">
      <c r="A2968" s="10"/>
      <c r="G2968" s="21"/>
      <c r="H2968" s="21"/>
      <c r="I2968" s="21"/>
      <c r="J2968" s="21"/>
      <c r="K2968" s="21"/>
      <c r="L2968" s="21"/>
      <c r="M2968" s="10"/>
      <c r="O2968" s="11"/>
    </row>
    <row r="2969" spans="1:15" s="4" customFormat="1" x14ac:dyDescent="0.25">
      <c r="A2969" s="6">
        <v>1459</v>
      </c>
      <c r="B2969" s="5" t="s">
        <v>18</v>
      </c>
      <c r="C2969" s="5" t="s">
        <v>17</v>
      </c>
      <c r="D2969" s="5" t="s">
        <v>388</v>
      </c>
      <c r="E2969" s="5" t="s">
        <v>389</v>
      </c>
      <c r="F2969" s="5" t="s">
        <v>19</v>
      </c>
      <c r="G2969" s="22">
        <v>0</v>
      </c>
      <c r="H2969" s="22">
        <v>0</v>
      </c>
      <c r="I2969" s="22">
        <v>0.19</v>
      </c>
      <c r="J2969" s="22">
        <v>0</v>
      </c>
      <c r="K2969" s="22">
        <v>-0.02</v>
      </c>
      <c r="L2969" s="22">
        <v>0.17</v>
      </c>
      <c r="M2969" s="10"/>
      <c r="N2969" s="67"/>
      <c r="O2969" s="11"/>
    </row>
    <row r="2970" spans="1:15" s="4" customFormat="1" x14ac:dyDescent="0.25">
      <c r="A2970" s="6">
        <v>1460</v>
      </c>
      <c r="B2970" s="5" t="s">
        <v>18</v>
      </c>
      <c r="C2970" s="5" t="s">
        <v>17</v>
      </c>
      <c r="D2970" s="5" t="s">
        <v>388</v>
      </c>
      <c r="E2970" s="5" t="s">
        <v>389</v>
      </c>
      <c r="F2970" s="5" t="s">
        <v>19</v>
      </c>
      <c r="G2970" s="22">
        <v>0</v>
      </c>
      <c r="H2970" s="22">
        <v>0</v>
      </c>
      <c r="I2970" s="22">
        <v>0.05</v>
      </c>
      <c r="J2970" s="22">
        <v>0</v>
      </c>
      <c r="K2970" s="22">
        <v>-0.01</v>
      </c>
      <c r="L2970" s="22">
        <v>0.04</v>
      </c>
      <c r="M2970" s="10"/>
      <c r="N2970" s="67"/>
      <c r="O2970" s="11"/>
    </row>
    <row r="2971" spans="1:15" x14ac:dyDescent="0.25">
      <c r="A2971" s="6"/>
      <c r="B2971" s="5"/>
      <c r="C2971" s="5"/>
      <c r="D2971" s="5" t="s">
        <v>388</v>
      </c>
      <c r="E2971" s="5" t="s">
        <v>389</v>
      </c>
      <c r="F2971" s="5" t="s">
        <v>19</v>
      </c>
      <c r="G2971" s="14">
        <f t="shared" ref="G2971:L2971" si="752">SUBTOTAL(9,G2969:G2970)</f>
        <v>0</v>
      </c>
      <c r="H2971" s="14">
        <f t="shared" si="752"/>
        <v>0</v>
      </c>
      <c r="I2971" s="14">
        <f t="shared" si="752"/>
        <v>0.24</v>
      </c>
      <c r="J2971" s="14">
        <f t="shared" si="752"/>
        <v>0</v>
      </c>
      <c r="K2971" s="14">
        <f t="shared" si="752"/>
        <v>-0.03</v>
      </c>
      <c r="L2971" s="14">
        <f t="shared" si="752"/>
        <v>0.21000000000000002</v>
      </c>
      <c r="M2971" s="10">
        <v>2842</v>
      </c>
      <c r="N2971" s="69"/>
      <c r="O2971" s="11">
        <f>O2967+1</f>
        <v>723</v>
      </c>
    </row>
    <row r="2972" spans="1:15" x14ac:dyDescent="0.25">
      <c r="A2972" s="10"/>
      <c r="G2972" s="21"/>
      <c r="H2972" s="21"/>
      <c r="I2972" s="21"/>
      <c r="J2972" s="21"/>
      <c r="K2972" s="21"/>
      <c r="L2972" s="21"/>
      <c r="M2972" s="10"/>
      <c r="O2972" s="11"/>
    </row>
    <row r="2973" spans="1:15" s="4" customFormat="1" x14ac:dyDescent="0.25">
      <c r="A2973" s="6">
        <v>1461</v>
      </c>
      <c r="B2973" s="5" t="s">
        <v>550</v>
      </c>
      <c r="C2973" s="5" t="s">
        <v>17</v>
      </c>
      <c r="D2973" s="5" t="s">
        <v>625</v>
      </c>
      <c r="E2973" s="5" t="s">
        <v>389</v>
      </c>
      <c r="F2973" s="5" t="s">
        <v>551</v>
      </c>
      <c r="G2973" s="22">
        <v>0</v>
      </c>
      <c r="H2973" s="22">
        <v>0</v>
      </c>
      <c r="I2973" s="22">
        <v>47.87</v>
      </c>
      <c r="J2973" s="22">
        <v>0</v>
      </c>
      <c r="K2973" s="22">
        <v>-0.96</v>
      </c>
      <c r="L2973" s="22">
        <v>46.91</v>
      </c>
      <c r="M2973" s="10"/>
      <c r="N2973" s="67"/>
      <c r="O2973" s="11"/>
    </row>
    <row r="2974" spans="1:15" s="4" customFormat="1" x14ac:dyDescent="0.25">
      <c r="A2974" s="6">
        <v>1462</v>
      </c>
      <c r="B2974" s="5" t="s">
        <v>550</v>
      </c>
      <c r="C2974" s="5" t="s">
        <v>17</v>
      </c>
      <c r="D2974" s="5" t="s">
        <v>625</v>
      </c>
      <c r="E2974" s="5" t="s">
        <v>389</v>
      </c>
      <c r="F2974" s="5" t="s">
        <v>551</v>
      </c>
      <c r="G2974" s="22">
        <v>0</v>
      </c>
      <c r="H2974" s="22">
        <v>0</v>
      </c>
      <c r="I2974" s="22">
        <v>402.14</v>
      </c>
      <c r="J2974" s="22">
        <v>0</v>
      </c>
      <c r="K2974" s="22">
        <v>-8.0399999999999991</v>
      </c>
      <c r="L2974" s="22">
        <v>394.1</v>
      </c>
      <c r="M2974" s="10"/>
      <c r="N2974" s="67"/>
      <c r="O2974" s="11"/>
    </row>
    <row r="2975" spans="1:15" x14ac:dyDescent="0.25">
      <c r="A2975" s="6"/>
      <c r="B2975" s="5"/>
      <c r="C2975" s="5"/>
      <c r="D2975" s="5" t="s">
        <v>625</v>
      </c>
      <c r="E2975" s="5" t="s">
        <v>389</v>
      </c>
      <c r="F2975" s="5" t="s">
        <v>551</v>
      </c>
      <c r="G2975" s="14">
        <f t="shared" ref="G2975:L2975" si="753">SUBTOTAL(9,G2973:G2974)</f>
        <v>0</v>
      </c>
      <c r="H2975" s="14">
        <f t="shared" si="753"/>
        <v>0</v>
      </c>
      <c r="I2975" s="14">
        <f t="shared" si="753"/>
        <v>450.01</v>
      </c>
      <c r="J2975" s="14">
        <f t="shared" si="753"/>
        <v>0</v>
      </c>
      <c r="K2975" s="14">
        <f t="shared" si="753"/>
        <v>-9</v>
      </c>
      <c r="L2975" s="14">
        <f t="shared" si="753"/>
        <v>441.01</v>
      </c>
      <c r="M2975" s="10">
        <v>2843</v>
      </c>
      <c r="N2975" s="69"/>
      <c r="O2975" s="11">
        <f>O2971+1</f>
        <v>724</v>
      </c>
    </row>
    <row r="2976" spans="1:15" x14ac:dyDescent="0.25">
      <c r="A2976" s="10"/>
      <c r="G2976" s="21"/>
      <c r="H2976" s="21"/>
      <c r="I2976" s="21"/>
      <c r="J2976" s="21"/>
      <c r="K2976" s="21"/>
      <c r="L2976" s="21"/>
      <c r="M2976" s="10"/>
      <c r="O2976" s="11"/>
    </row>
    <row r="2977" spans="1:15" s="4" customFormat="1" x14ac:dyDescent="0.25">
      <c r="A2977" s="6">
        <v>1463</v>
      </c>
      <c r="B2977" s="5" t="s">
        <v>550</v>
      </c>
      <c r="C2977" s="5" t="s">
        <v>17</v>
      </c>
      <c r="D2977" s="5" t="s">
        <v>625</v>
      </c>
      <c r="E2977" s="5" t="s">
        <v>389</v>
      </c>
      <c r="F2977" s="5" t="s">
        <v>552</v>
      </c>
      <c r="G2977" s="22">
        <v>0</v>
      </c>
      <c r="H2977" s="22">
        <v>0</v>
      </c>
      <c r="I2977" s="22">
        <v>0.03</v>
      </c>
      <c r="J2977" s="22">
        <v>0</v>
      </c>
      <c r="K2977" s="22">
        <v>0</v>
      </c>
      <c r="L2977" s="22">
        <v>0.03</v>
      </c>
      <c r="M2977" s="10"/>
      <c r="N2977" s="67"/>
      <c r="O2977" s="11"/>
    </row>
    <row r="2978" spans="1:15" x14ac:dyDescent="0.25">
      <c r="A2978" s="6"/>
      <c r="B2978" s="5"/>
      <c r="C2978" s="5"/>
      <c r="D2978" s="5" t="s">
        <v>625</v>
      </c>
      <c r="E2978" s="5" t="s">
        <v>389</v>
      </c>
      <c r="F2978" s="5" t="s">
        <v>552</v>
      </c>
      <c r="G2978" s="14">
        <f t="shared" ref="G2978:L2978" si="754">SUBTOTAL(9,G2977:G2977)</f>
        <v>0</v>
      </c>
      <c r="H2978" s="14">
        <f t="shared" si="754"/>
        <v>0</v>
      </c>
      <c r="I2978" s="14">
        <f t="shared" si="754"/>
        <v>0.03</v>
      </c>
      <c r="J2978" s="14">
        <f t="shared" si="754"/>
        <v>0</v>
      </c>
      <c r="K2978" s="14">
        <f t="shared" si="754"/>
        <v>0</v>
      </c>
      <c r="L2978" s="14">
        <f t="shared" si="754"/>
        <v>0.03</v>
      </c>
      <c r="M2978" s="10">
        <v>2844</v>
      </c>
      <c r="N2978" s="69"/>
      <c r="O2978" s="11">
        <f>O2975+1</f>
        <v>725</v>
      </c>
    </row>
    <row r="2979" spans="1:15" x14ac:dyDescent="0.25">
      <c r="A2979" s="10"/>
      <c r="G2979" s="21"/>
      <c r="H2979" s="21"/>
      <c r="I2979" s="21"/>
      <c r="J2979" s="21"/>
      <c r="K2979" s="21"/>
      <c r="L2979" s="21"/>
      <c r="M2979" s="10"/>
      <c r="O2979" s="11"/>
    </row>
    <row r="2980" spans="1:15" s="4" customFormat="1" x14ac:dyDescent="0.25">
      <c r="A2980" s="6">
        <v>1464</v>
      </c>
      <c r="B2980" s="5" t="s">
        <v>550</v>
      </c>
      <c r="C2980" s="5" t="s">
        <v>17</v>
      </c>
      <c r="D2980" s="5" t="s">
        <v>390</v>
      </c>
      <c r="E2980" s="5" t="s">
        <v>389</v>
      </c>
      <c r="F2980" s="5" t="s">
        <v>551</v>
      </c>
      <c r="G2980" s="22">
        <v>0</v>
      </c>
      <c r="H2980" s="22">
        <v>0</v>
      </c>
      <c r="I2980" s="22">
        <v>15.93</v>
      </c>
      <c r="J2980" s="22">
        <v>0</v>
      </c>
      <c r="K2980" s="22">
        <v>-0.32</v>
      </c>
      <c r="L2980" s="22">
        <v>15.61</v>
      </c>
      <c r="M2980" s="10"/>
      <c r="N2980" s="67"/>
      <c r="O2980" s="11"/>
    </row>
    <row r="2981" spans="1:15" x14ac:dyDescent="0.25">
      <c r="A2981" s="6">
        <v>1465</v>
      </c>
      <c r="B2981" s="5" t="s">
        <v>550</v>
      </c>
      <c r="C2981" s="5" t="s">
        <v>17</v>
      </c>
      <c r="D2981" s="5" t="s">
        <v>390</v>
      </c>
      <c r="E2981" s="5" t="s">
        <v>389</v>
      </c>
      <c r="F2981" s="5" t="s">
        <v>551</v>
      </c>
      <c r="G2981" s="22">
        <v>0</v>
      </c>
      <c r="H2981" s="22">
        <v>0</v>
      </c>
      <c r="I2981" s="22">
        <v>108.37</v>
      </c>
      <c r="J2981" s="22">
        <v>0</v>
      </c>
      <c r="K2981" s="22">
        <v>-2.17</v>
      </c>
      <c r="L2981" s="22">
        <v>106.2</v>
      </c>
      <c r="M2981" s="10"/>
      <c r="O2981" s="11"/>
    </row>
    <row r="2982" spans="1:15" x14ac:dyDescent="0.25">
      <c r="A2982" s="6"/>
      <c r="B2982" s="5"/>
      <c r="C2982" s="5"/>
      <c r="D2982" s="5" t="s">
        <v>390</v>
      </c>
      <c r="E2982" s="5" t="s">
        <v>389</v>
      </c>
      <c r="F2982" s="5" t="s">
        <v>551</v>
      </c>
      <c r="G2982" s="14">
        <f t="shared" ref="G2982:L2982" si="755">SUBTOTAL(9,G2980:G2981)</f>
        <v>0</v>
      </c>
      <c r="H2982" s="14">
        <f t="shared" si="755"/>
        <v>0</v>
      </c>
      <c r="I2982" s="14">
        <f t="shared" si="755"/>
        <v>124.30000000000001</v>
      </c>
      <c r="J2982" s="14">
        <f t="shared" si="755"/>
        <v>0</v>
      </c>
      <c r="K2982" s="14">
        <f t="shared" si="755"/>
        <v>-2.4899999999999998</v>
      </c>
      <c r="L2982" s="14">
        <f t="shared" si="755"/>
        <v>121.81</v>
      </c>
      <c r="M2982" s="10">
        <v>2845</v>
      </c>
      <c r="N2982" s="69"/>
      <c r="O2982" s="11">
        <f>O2978+1</f>
        <v>726</v>
      </c>
    </row>
    <row r="2983" spans="1:15" s="4" customFormat="1" x14ac:dyDescent="0.25">
      <c r="A2983" s="10"/>
      <c r="B2983"/>
      <c r="C2983"/>
      <c r="D2983"/>
      <c r="E2983"/>
      <c r="F2983"/>
      <c r="G2983" s="21"/>
      <c r="H2983" s="21"/>
      <c r="I2983" s="21"/>
      <c r="J2983" s="21"/>
      <c r="K2983" s="21"/>
      <c r="L2983" s="21"/>
      <c r="M2983" s="10"/>
      <c r="N2983" s="67"/>
      <c r="O2983" s="11"/>
    </row>
    <row r="2984" spans="1:15" s="4" customFormat="1" x14ac:dyDescent="0.25">
      <c r="A2984" s="6">
        <v>1466</v>
      </c>
      <c r="B2984" s="5" t="s">
        <v>550</v>
      </c>
      <c r="C2984" s="5" t="s">
        <v>17</v>
      </c>
      <c r="D2984" s="5" t="s">
        <v>390</v>
      </c>
      <c r="E2984" s="5" t="s">
        <v>389</v>
      </c>
      <c r="F2984" s="5" t="s">
        <v>552</v>
      </c>
      <c r="G2984" s="22">
        <v>0</v>
      </c>
      <c r="H2984" s="22">
        <v>0</v>
      </c>
      <c r="I2984" s="22">
        <v>0.01</v>
      </c>
      <c r="J2984" s="22">
        <v>0</v>
      </c>
      <c r="K2984" s="22">
        <v>0</v>
      </c>
      <c r="L2984" s="22">
        <v>0.01</v>
      </c>
      <c r="M2984" s="10"/>
      <c r="N2984" s="67"/>
      <c r="O2984" s="11"/>
    </row>
    <row r="2985" spans="1:15" x14ac:dyDescent="0.25">
      <c r="A2985" s="6"/>
      <c r="B2985" s="5"/>
      <c r="C2985" s="5"/>
      <c r="D2985" s="5" t="s">
        <v>390</v>
      </c>
      <c r="E2985" s="5" t="s">
        <v>389</v>
      </c>
      <c r="F2985" s="5" t="s">
        <v>552</v>
      </c>
      <c r="G2985" s="14">
        <f t="shared" ref="G2985:L2985" si="756">SUBTOTAL(9,G2984:G2984)</f>
        <v>0</v>
      </c>
      <c r="H2985" s="14">
        <f t="shared" si="756"/>
        <v>0</v>
      </c>
      <c r="I2985" s="14">
        <f t="shared" si="756"/>
        <v>0.01</v>
      </c>
      <c r="J2985" s="14">
        <f t="shared" si="756"/>
        <v>0</v>
      </c>
      <c r="K2985" s="14">
        <f t="shared" si="756"/>
        <v>0</v>
      </c>
      <c r="L2985" s="14">
        <f t="shared" si="756"/>
        <v>0.01</v>
      </c>
      <c r="M2985" s="10">
        <v>2846</v>
      </c>
      <c r="N2985" s="69"/>
      <c r="O2985" s="11">
        <f>O2982+1</f>
        <v>727</v>
      </c>
    </row>
    <row r="2986" spans="1:15" x14ac:dyDescent="0.25">
      <c r="A2986" s="10"/>
      <c r="G2986" s="21"/>
      <c r="H2986" s="21"/>
      <c r="I2986" s="21"/>
      <c r="J2986" s="21"/>
      <c r="K2986" s="21"/>
      <c r="L2986" s="21"/>
      <c r="M2986" s="10"/>
      <c r="O2986" s="11"/>
    </row>
    <row r="2987" spans="1:15" s="4" customFormat="1" x14ac:dyDescent="0.25">
      <c r="A2987" s="6">
        <v>1467</v>
      </c>
      <c r="B2987" s="5" t="s">
        <v>550</v>
      </c>
      <c r="C2987" s="5" t="s">
        <v>17</v>
      </c>
      <c r="D2987" s="5" t="s">
        <v>626</v>
      </c>
      <c r="E2987" s="5" t="s">
        <v>392</v>
      </c>
      <c r="F2987" s="5" t="s">
        <v>551</v>
      </c>
      <c r="G2987" s="22">
        <v>0</v>
      </c>
      <c r="H2987" s="22">
        <v>0</v>
      </c>
      <c r="I2987" s="22">
        <v>1.68</v>
      </c>
      <c r="J2987" s="22">
        <v>0</v>
      </c>
      <c r="K2987" s="22">
        <v>-0.03</v>
      </c>
      <c r="L2987" s="22">
        <v>1.65</v>
      </c>
      <c r="M2987" s="10"/>
      <c r="N2987" s="67"/>
      <c r="O2987" s="11"/>
    </row>
    <row r="2988" spans="1:15" s="4" customFormat="1" x14ac:dyDescent="0.25">
      <c r="A2988" s="6"/>
      <c r="B2988" s="5"/>
      <c r="C2988" s="5"/>
      <c r="D2988" s="5" t="s">
        <v>391</v>
      </c>
      <c r="E2988" s="5" t="s">
        <v>392</v>
      </c>
      <c r="F2988" s="5" t="s">
        <v>551</v>
      </c>
      <c r="G2988" s="14">
        <f t="shared" ref="G2988:L2988" si="757">SUBTOTAL(9,G2987:G2987)</f>
        <v>0</v>
      </c>
      <c r="H2988" s="14">
        <f t="shared" si="757"/>
        <v>0</v>
      </c>
      <c r="I2988" s="14">
        <f t="shared" si="757"/>
        <v>1.68</v>
      </c>
      <c r="J2988" s="14">
        <f t="shared" si="757"/>
        <v>0</v>
      </c>
      <c r="K2988" s="14">
        <f t="shared" si="757"/>
        <v>-0.03</v>
      </c>
      <c r="L2988" s="14">
        <f t="shared" si="757"/>
        <v>1.65</v>
      </c>
      <c r="M2988" s="10">
        <v>2847</v>
      </c>
      <c r="N2988" s="69"/>
      <c r="O2988" s="11">
        <f>O2985+1</f>
        <v>728</v>
      </c>
    </row>
    <row r="2989" spans="1:15" x14ac:dyDescent="0.25">
      <c r="A2989" s="10"/>
      <c r="G2989" s="21"/>
      <c r="H2989" s="21"/>
      <c r="I2989" s="21"/>
      <c r="J2989" s="21"/>
      <c r="K2989" s="21"/>
      <c r="L2989" s="21"/>
      <c r="M2989" s="10"/>
      <c r="O2989" s="11"/>
    </row>
    <row r="2990" spans="1:15" x14ac:dyDescent="0.25">
      <c r="A2990" s="6">
        <v>1468</v>
      </c>
      <c r="B2990" s="5" t="s">
        <v>555</v>
      </c>
      <c r="C2990" s="5" t="s">
        <v>17</v>
      </c>
      <c r="D2990" s="5" t="s">
        <v>393</v>
      </c>
      <c r="E2990" s="5" t="s">
        <v>26</v>
      </c>
      <c r="F2990" s="5" t="s">
        <v>556</v>
      </c>
      <c r="G2990" s="22">
        <v>4.99</v>
      </c>
      <c r="H2990" s="22">
        <v>0</v>
      </c>
      <c r="I2990" s="22">
        <v>0</v>
      </c>
      <c r="J2990" s="22">
        <v>0</v>
      </c>
      <c r="K2990" s="22">
        <v>-0.1</v>
      </c>
      <c r="L2990" s="22">
        <v>4.8899999999999997</v>
      </c>
      <c r="M2990" s="10"/>
      <c r="O2990" s="11"/>
    </row>
    <row r="2991" spans="1:15" s="4" customFormat="1" x14ac:dyDescent="0.25">
      <c r="A2991" s="6">
        <v>1469</v>
      </c>
      <c r="B2991" s="5" t="s">
        <v>555</v>
      </c>
      <c r="C2991" s="5" t="s">
        <v>13</v>
      </c>
      <c r="D2991" s="5" t="s">
        <v>393</v>
      </c>
      <c r="E2991" s="5" t="s">
        <v>26</v>
      </c>
      <c r="F2991" s="5" t="s">
        <v>556</v>
      </c>
      <c r="G2991" s="22">
        <v>0</v>
      </c>
      <c r="H2991" s="22">
        <v>0</v>
      </c>
      <c r="I2991" s="22">
        <v>0</v>
      </c>
      <c r="J2991" s="22">
        <v>0.6</v>
      </c>
      <c r="K2991" s="22">
        <v>0</v>
      </c>
      <c r="L2991" s="22">
        <v>0.6</v>
      </c>
      <c r="M2991" s="10"/>
      <c r="N2991" s="67"/>
      <c r="O2991" s="11"/>
    </row>
    <row r="2992" spans="1:15" s="4" customFormat="1" x14ac:dyDescent="0.25">
      <c r="A2992" s="6"/>
      <c r="B2992" s="5"/>
      <c r="C2992" s="5"/>
      <c r="D2992" s="5" t="s">
        <v>393</v>
      </c>
      <c r="E2992" s="5" t="s">
        <v>26</v>
      </c>
      <c r="F2992" s="5" t="s">
        <v>556</v>
      </c>
      <c r="G2992" s="14">
        <f t="shared" ref="G2992:L2992" si="758">SUBTOTAL(9,G2990:G2991)</f>
        <v>4.99</v>
      </c>
      <c r="H2992" s="14">
        <f t="shared" si="758"/>
        <v>0</v>
      </c>
      <c r="I2992" s="14">
        <f t="shared" si="758"/>
        <v>0</v>
      </c>
      <c r="J2992" s="14">
        <f t="shared" si="758"/>
        <v>0.6</v>
      </c>
      <c r="K2992" s="14">
        <f t="shared" si="758"/>
        <v>-0.1</v>
      </c>
      <c r="L2992" s="14">
        <f t="shared" si="758"/>
        <v>5.4899999999999993</v>
      </c>
      <c r="M2992" s="10">
        <v>2848</v>
      </c>
      <c r="N2992" s="69"/>
      <c r="O2992" s="11">
        <f>O2988+1</f>
        <v>729</v>
      </c>
    </row>
    <row r="2993" spans="1:15" x14ac:dyDescent="0.25">
      <c r="A2993" s="10"/>
      <c r="G2993" s="21"/>
      <c r="H2993" s="21"/>
      <c r="I2993" s="21"/>
      <c r="J2993" s="21"/>
      <c r="K2993" s="21"/>
      <c r="L2993" s="21"/>
      <c r="M2993" s="10"/>
      <c r="O2993" s="11"/>
    </row>
    <row r="2994" spans="1:15" x14ac:dyDescent="0.25">
      <c r="A2994" s="6">
        <v>1470</v>
      </c>
      <c r="B2994" s="5" t="s">
        <v>557</v>
      </c>
      <c r="C2994" s="5" t="s">
        <v>17</v>
      </c>
      <c r="D2994" s="5" t="s">
        <v>393</v>
      </c>
      <c r="E2994" s="5" t="s">
        <v>26</v>
      </c>
      <c r="F2994" s="5" t="s">
        <v>558</v>
      </c>
      <c r="G2994" s="22">
        <v>4.18</v>
      </c>
      <c r="H2994" s="22">
        <v>0</v>
      </c>
      <c r="I2994" s="22">
        <v>0</v>
      </c>
      <c r="J2994" s="22">
        <v>0</v>
      </c>
      <c r="K2994" s="22">
        <v>-0.08</v>
      </c>
      <c r="L2994" s="22">
        <v>4.0999999999999996</v>
      </c>
      <c r="M2994" s="10"/>
      <c r="O2994" s="11"/>
    </row>
    <row r="2995" spans="1:15" s="4" customFormat="1" x14ac:dyDescent="0.25">
      <c r="A2995" s="6">
        <v>1471</v>
      </c>
      <c r="B2995" s="5" t="s">
        <v>557</v>
      </c>
      <c r="C2995" s="5" t="s">
        <v>13</v>
      </c>
      <c r="D2995" s="5" t="s">
        <v>393</v>
      </c>
      <c r="E2995" s="5" t="s">
        <v>26</v>
      </c>
      <c r="F2995" s="5" t="s">
        <v>558</v>
      </c>
      <c r="G2995" s="22">
        <v>0</v>
      </c>
      <c r="H2995" s="22">
        <v>0</v>
      </c>
      <c r="I2995" s="22">
        <v>0</v>
      </c>
      <c r="J2995" s="22">
        <v>0.5</v>
      </c>
      <c r="K2995" s="22">
        <v>0</v>
      </c>
      <c r="L2995" s="22">
        <v>0.5</v>
      </c>
      <c r="M2995" s="10"/>
      <c r="N2995" s="67"/>
      <c r="O2995" s="11"/>
    </row>
    <row r="2996" spans="1:15" s="4" customFormat="1" x14ac:dyDescent="0.25">
      <c r="A2996" s="6"/>
      <c r="B2996" s="5"/>
      <c r="C2996" s="5"/>
      <c r="D2996" s="5" t="s">
        <v>393</v>
      </c>
      <c r="E2996" s="5" t="s">
        <v>26</v>
      </c>
      <c r="F2996" s="5" t="s">
        <v>558</v>
      </c>
      <c r="G2996" s="14">
        <f t="shared" ref="G2996:L2996" si="759">SUBTOTAL(9,G2994:G2995)</f>
        <v>4.18</v>
      </c>
      <c r="H2996" s="14">
        <f t="shared" si="759"/>
        <v>0</v>
      </c>
      <c r="I2996" s="14">
        <f t="shared" si="759"/>
        <v>0</v>
      </c>
      <c r="J2996" s="14">
        <f t="shared" si="759"/>
        <v>0.5</v>
      </c>
      <c r="K2996" s="14">
        <f t="shared" si="759"/>
        <v>-0.08</v>
      </c>
      <c r="L2996" s="14">
        <f t="shared" si="759"/>
        <v>4.5999999999999996</v>
      </c>
      <c r="M2996" s="10">
        <v>2849</v>
      </c>
      <c r="N2996" s="69"/>
      <c r="O2996" s="11">
        <f>O2992+1</f>
        <v>730</v>
      </c>
    </row>
    <row r="2997" spans="1:15" x14ac:dyDescent="0.25">
      <c r="A2997" s="10"/>
      <c r="G2997" s="21"/>
      <c r="H2997" s="21"/>
      <c r="I2997" s="21"/>
      <c r="J2997" s="21"/>
      <c r="K2997" s="21"/>
      <c r="L2997" s="21"/>
      <c r="M2997" s="10"/>
      <c r="O2997" s="11"/>
    </row>
    <row r="2998" spans="1:15" x14ac:dyDescent="0.25">
      <c r="A2998" s="6">
        <v>1472</v>
      </c>
      <c r="B2998" s="5" t="s">
        <v>18</v>
      </c>
      <c r="C2998" s="5" t="s">
        <v>17</v>
      </c>
      <c r="D2998" s="5" t="s">
        <v>393</v>
      </c>
      <c r="E2998" s="5" t="s">
        <v>26</v>
      </c>
      <c r="F2998" s="5" t="s">
        <v>19</v>
      </c>
      <c r="G2998" s="22">
        <v>0.06</v>
      </c>
      <c r="H2998" s="22">
        <v>0</v>
      </c>
      <c r="I2998" s="22">
        <v>0</v>
      </c>
      <c r="J2998" s="22">
        <v>0</v>
      </c>
      <c r="K2998" s="22">
        <v>-0.05</v>
      </c>
      <c r="L2998" s="22">
        <v>0.01</v>
      </c>
      <c r="M2998" s="10"/>
      <c r="O2998" s="11"/>
    </row>
    <row r="2999" spans="1:15" s="4" customFormat="1" x14ac:dyDescent="0.25">
      <c r="A2999" s="6">
        <v>1473</v>
      </c>
      <c r="B2999" s="5" t="s">
        <v>18</v>
      </c>
      <c r="C2999" s="5" t="s">
        <v>17</v>
      </c>
      <c r="D2999" s="5" t="s">
        <v>393</v>
      </c>
      <c r="E2999" s="5" t="s">
        <v>26</v>
      </c>
      <c r="F2999" s="5" t="s">
        <v>19</v>
      </c>
      <c r="G2999" s="22">
        <v>12.11</v>
      </c>
      <c r="H2999" s="22">
        <v>0</v>
      </c>
      <c r="I2999" s="22">
        <v>0</v>
      </c>
      <c r="J2999" s="22">
        <v>0</v>
      </c>
      <c r="K2999" s="22">
        <v>-10.74</v>
      </c>
      <c r="L2999" s="22">
        <v>1.37</v>
      </c>
      <c r="M2999" s="10"/>
      <c r="N2999" s="67"/>
      <c r="O2999" s="11"/>
    </row>
    <row r="3000" spans="1:15" x14ac:dyDescent="0.25">
      <c r="A3000" s="6"/>
      <c r="B3000" s="5"/>
      <c r="C3000" s="5"/>
      <c r="D3000" s="5" t="s">
        <v>393</v>
      </c>
      <c r="E3000" s="5" t="s">
        <v>26</v>
      </c>
      <c r="F3000" s="5" t="s">
        <v>19</v>
      </c>
      <c r="G3000" s="14">
        <f t="shared" ref="G3000:L3000" si="760">SUBTOTAL(9,G2998:G2999)</f>
        <v>12.17</v>
      </c>
      <c r="H3000" s="14">
        <f t="shared" si="760"/>
        <v>0</v>
      </c>
      <c r="I3000" s="14">
        <f t="shared" si="760"/>
        <v>0</v>
      </c>
      <c r="J3000" s="14">
        <f t="shared" si="760"/>
        <v>0</v>
      </c>
      <c r="K3000" s="14">
        <f t="shared" si="760"/>
        <v>-10.790000000000001</v>
      </c>
      <c r="L3000" s="14">
        <f t="shared" si="760"/>
        <v>1.3800000000000001</v>
      </c>
      <c r="M3000" s="10">
        <v>2850</v>
      </c>
      <c r="N3000" s="69"/>
      <c r="O3000" s="11">
        <f>O2996+1</f>
        <v>731</v>
      </c>
    </row>
    <row r="3001" spans="1:15" x14ac:dyDescent="0.25">
      <c r="A3001" s="10"/>
      <c r="G3001" s="21"/>
      <c r="H3001" s="21"/>
      <c r="I3001" s="21"/>
      <c r="J3001" s="21"/>
      <c r="K3001" s="21"/>
      <c r="L3001" s="21"/>
      <c r="M3001" s="10"/>
      <c r="O3001" s="11"/>
    </row>
    <row r="3002" spans="1:15" s="4" customFormat="1" x14ac:dyDescent="0.25">
      <c r="A3002" s="6">
        <v>1474</v>
      </c>
      <c r="B3002" s="5" t="s">
        <v>550</v>
      </c>
      <c r="C3002" s="5" t="s">
        <v>17</v>
      </c>
      <c r="D3002" s="5" t="s">
        <v>393</v>
      </c>
      <c r="E3002" s="5" t="s">
        <v>26</v>
      </c>
      <c r="F3002" s="5" t="s">
        <v>551</v>
      </c>
      <c r="G3002" s="22">
        <v>52204.05</v>
      </c>
      <c r="H3002" s="22">
        <v>0</v>
      </c>
      <c r="I3002" s="22">
        <v>0</v>
      </c>
      <c r="J3002" s="22">
        <v>0</v>
      </c>
      <c r="K3002" s="22">
        <v>-1044.08</v>
      </c>
      <c r="L3002" s="22">
        <v>51159.97</v>
      </c>
      <c r="M3002" s="10"/>
      <c r="N3002" s="67"/>
      <c r="O3002" s="11"/>
    </row>
    <row r="3003" spans="1:15" x14ac:dyDescent="0.25">
      <c r="A3003" s="6">
        <v>1475</v>
      </c>
      <c r="B3003" s="5" t="s">
        <v>550</v>
      </c>
      <c r="C3003" s="5" t="s">
        <v>13</v>
      </c>
      <c r="D3003" s="5" t="s">
        <v>393</v>
      </c>
      <c r="E3003" s="5" t="s">
        <v>26</v>
      </c>
      <c r="F3003" s="5" t="s">
        <v>551</v>
      </c>
      <c r="G3003" s="22">
        <v>0</v>
      </c>
      <c r="H3003" s="22">
        <v>0</v>
      </c>
      <c r="I3003" s="22">
        <v>0</v>
      </c>
      <c r="J3003" s="22">
        <v>6264.49</v>
      </c>
      <c r="K3003" s="22">
        <v>0</v>
      </c>
      <c r="L3003" s="22">
        <v>6264.49</v>
      </c>
      <c r="M3003" s="10"/>
      <c r="O3003" s="11"/>
    </row>
    <row r="3004" spans="1:15" x14ac:dyDescent="0.25">
      <c r="A3004" s="6"/>
      <c r="B3004" s="5"/>
      <c r="C3004" s="5"/>
      <c r="D3004" s="5" t="s">
        <v>393</v>
      </c>
      <c r="E3004" s="5" t="s">
        <v>26</v>
      </c>
      <c r="F3004" s="5" t="s">
        <v>551</v>
      </c>
      <c r="G3004" s="14">
        <f t="shared" ref="G3004:L3004" si="761">SUBTOTAL(9,G3002:G3003)</f>
        <v>52204.05</v>
      </c>
      <c r="H3004" s="14">
        <f t="shared" si="761"/>
        <v>0</v>
      </c>
      <c r="I3004" s="14">
        <f t="shared" si="761"/>
        <v>0</v>
      </c>
      <c r="J3004" s="14">
        <f t="shared" si="761"/>
        <v>6264.49</v>
      </c>
      <c r="K3004" s="14">
        <f t="shared" si="761"/>
        <v>-1044.08</v>
      </c>
      <c r="L3004" s="14">
        <f t="shared" si="761"/>
        <v>57424.46</v>
      </c>
      <c r="M3004" s="10">
        <v>2851</v>
      </c>
      <c r="N3004" s="69"/>
      <c r="O3004" s="11">
        <f>O3000+1</f>
        <v>732</v>
      </c>
    </row>
    <row r="3005" spans="1:15" s="4" customFormat="1" x14ac:dyDescent="0.25">
      <c r="A3005" s="10"/>
      <c r="B3005"/>
      <c r="C3005"/>
      <c r="D3005"/>
      <c r="E3005"/>
      <c r="F3005"/>
      <c r="G3005" s="21"/>
      <c r="H3005" s="21"/>
      <c r="I3005" s="21"/>
      <c r="J3005" s="21"/>
      <c r="K3005" s="21"/>
      <c r="L3005" s="21"/>
      <c r="M3005" s="10"/>
      <c r="N3005" s="67"/>
      <c r="O3005" s="11"/>
    </row>
    <row r="3006" spans="1:15" x14ac:dyDescent="0.25">
      <c r="A3006" s="6">
        <v>1476</v>
      </c>
      <c r="B3006" s="5" t="s">
        <v>550</v>
      </c>
      <c r="C3006" s="5" t="s">
        <v>17</v>
      </c>
      <c r="D3006" s="5" t="s">
        <v>393</v>
      </c>
      <c r="E3006" s="5" t="s">
        <v>26</v>
      </c>
      <c r="F3006" s="5" t="s">
        <v>552</v>
      </c>
      <c r="G3006" s="22">
        <v>3.75</v>
      </c>
      <c r="H3006" s="22">
        <v>0</v>
      </c>
      <c r="I3006" s="22">
        <v>0</v>
      </c>
      <c r="J3006" s="22">
        <v>0</v>
      </c>
      <c r="K3006" s="22">
        <v>-0.08</v>
      </c>
      <c r="L3006" s="22">
        <v>3.67</v>
      </c>
      <c r="M3006" s="10"/>
      <c r="O3006" s="11"/>
    </row>
    <row r="3007" spans="1:15" x14ac:dyDescent="0.25">
      <c r="A3007" s="6">
        <v>1477</v>
      </c>
      <c r="B3007" s="5" t="s">
        <v>550</v>
      </c>
      <c r="C3007" s="5" t="s">
        <v>13</v>
      </c>
      <c r="D3007" s="5" t="s">
        <v>393</v>
      </c>
      <c r="E3007" s="5" t="s">
        <v>26</v>
      </c>
      <c r="F3007" s="5" t="s">
        <v>552</v>
      </c>
      <c r="G3007" s="22">
        <v>0</v>
      </c>
      <c r="H3007" s="22">
        <v>0</v>
      </c>
      <c r="I3007" s="22">
        <v>0</v>
      </c>
      <c r="J3007" s="22">
        <v>0.45</v>
      </c>
      <c r="K3007" s="22">
        <v>0</v>
      </c>
      <c r="L3007" s="22">
        <v>0.45</v>
      </c>
      <c r="M3007" s="10"/>
      <c r="O3007" s="11"/>
    </row>
    <row r="3008" spans="1:15" s="4" customFormat="1" x14ac:dyDescent="0.25">
      <c r="A3008" s="6"/>
      <c r="B3008" s="5"/>
      <c r="C3008" s="5"/>
      <c r="D3008" s="5" t="s">
        <v>393</v>
      </c>
      <c r="E3008" s="5" t="s">
        <v>26</v>
      </c>
      <c r="F3008" s="5" t="s">
        <v>552</v>
      </c>
      <c r="G3008" s="14">
        <f t="shared" ref="G3008:L3008" si="762">SUBTOTAL(9,G3006:G3007)</f>
        <v>3.75</v>
      </c>
      <c r="H3008" s="14">
        <f t="shared" si="762"/>
        <v>0</v>
      </c>
      <c r="I3008" s="14">
        <f t="shared" si="762"/>
        <v>0</v>
      </c>
      <c r="J3008" s="14">
        <f t="shared" si="762"/>
        <v>0.45</v>
      </c>
      <c r="K3008" s="14">
        <f t="shared" si="762"/>
        <v>-0.08</v>
      </c>
      <c r="L3008" s="14">
        <f t="shared" si="762"/>
        <v>4.12</v>
      </c>
      <c r="M3008" s="10">
        <v>2852</v>
      </c>
      <c r="N3008" s="69"/>
      <c r="O3008" s="11">
        <f>O3004+1</f>
        <v>733</v>
      </c>
    </row>
    <row r="3009" spans="1:15" s="4" customFormat="1" x14ac:dyDescent="0.25">
      <c r="A3009" s="10"/>
      <c r="B3009"/>
      <c r="C3009"/>
      <c r="D3009"/>
      <c r="E3009"/>
      <c r="F3009"/>
      <c r="G3009" s="21"/>
      <c r="H3009" s="21"/>
      <c r="I3009" s="21"/>
      <c r="J3009" s="21"/>
      <c r="K3009" s="21"/>
      <c r="L3009" s="21"/>
      <c r="M3009" s="10"/>
      <c r="N3009" s="67"/>
      <c r="O3009" s="11"/>
    </row>
    <row r="3010" spans="1:15" x14ac:dyDescent="0.25">
      <c r="A3010" s="6">
        <v>1478</v>
      </c>
      <c r="B3010" s="5" t="s">
        <v>18</v>
      </c>
      <c r="C3010" s="5" t="s">
        <v>17</v>
      </c>
      <c r="D3010" s="5" t="s">
        <v>394</v>
      </c>
      <c r="E3010" s="5" t="s">
        <v>395</v>
      </c>
      <c r="F3010" s="5" t="s">
        <v>19</v>
      </c>
      <c r="G3010" s="22">
        <v>0</v>
      </c>
      <c r="H3010" s="22">
        <v>0</v>
      </c>
      <c r="I3010" s="22">
        <v>0</v>
      </c>
      <c r="J3010" s="22">
        <v>0</v>
      </c>
      <c r="K3010" s="22">
        <v>0</v>
      </c>
      <c r="L3010" s="22">
        <v>0</v>
      </c>
      <c r="M3010" s="10"/>
      <c r="O3010" s="11"/>
    </row>
    <row r="3011" spans="1:15" x14ac:dyDescent="0.25">
      <c r="A3011" s="28"/>
      <c r="B3011" s="29"/>
      <c r="C3011" s="29"/>
      <c r="D3011" s="29"/>
      <c r="E3011" s="29"/>
      <c r="F3011" s="29" t="s">
        <v>657</v>
      </c>
      <c r="G3011" s="31">
        <f t="shared" ref="G3011:L3011" si="763">SUBTOTAL(9,G3010:G3010)</f>
        <v>0</v>
      </c>
      <c r="H3011" s="31">
        <f t="shared" si="763"/>
        <v>0</v>
      </c>
      <c r="I3011" s="31">
        <f t="shared" si="763"/>
        <v>0</v>
      </c>
      <c r="J3011" s="31">
        <f t="shared" si="763"/>
        <v>0</v>
      </c>
      <c r="K3011" s="31">
        <f t="shared" si="763"/>
        <v>0</v>
      </c>
      <c r="L3011" s="31">
        <f t="shared" si="763"/>
        <v>0</v>
      </c>
      <c r="M3011" s="42"/>
      <c r="O3011" s="50"/>
    </row>
    <row r="3012" spans="1:15" s="4" customFormat="1" x14ac:dyDescent="0.25">
      <c r="A3012" s="10"/>
      <c r="B3012"/>
      <c r="C3012"/>
      <c r="D3012"/>
      <c r="E3012"/>
      <c r="F3012"/>
      <c r="G3012" s="21"/>
      <c r="H3012" s="21"/>
      <c r="I3012" s="21"/>
      <c r="J3012" s="21"/>
      <c r="K3012" s="21"/>
      <c r="L3012" s="21"/>
      <c r="M3012" s="10"/>
      <c r="N3012" s="67"/>
      <c r="O3012" s="11"/>
    </row>
    <row r="3013" spans="1:15" s="4" customFormat="1" x14ac:dyDescent="0.25">
      <c r="A3013" s="6">
        <v>1479</v>
      </c>
      <c r="B3013" s="5" t="s">
        <v>550</v>
      </c>
      <c r="C3013" s="5" t="s">
        <v>13</v>
      </c>
      <c r="D3013" s="5" t="s">
        <v>394</v>
      </c>
      <c r="E3013" s="5" t="s">
        <v>395</v>
      </c>
      <c r="F3013" s="5" t="s">
        <v>551</v>
      </c>
      <c r="G3013" s="22">
        <v>0</v>
      </c>
      <c r="H3013" s="22">
        <v>0</v>
      </c>
      <c r="I3013" s="22">
        <v>0</v>
      </c>
      <c r="J3013" s="22">
        <v>26.64</v>
      </c>
      <c r="K3013" s="22">
        <v>0</v>
      </c>
      <c r="L3013" s="22">
        <v>26.64</v>
      </c>
      <c r="M3013" s="10"/>
      <c r="N3013" s="67"/>
      <c r="O3013" s="11"/>
    </row>
    <row r="3014" spans="1:15" x14ac:dyDescent="0.25">
      <c r="A3014" s="6">
        <v>1480</v>
      </c>
      <c r="B3014" s="5" t="s">
        <v>550</v>
      </c>
      <c r="C3014" s="5" t="s">
        <v>17</v>
      </c>
      <c r="D3014" s="5" t="s">
        <v>394</v>
      </c>
      <c r="E3014" s="5" t="s">
        <v>395</v>
      </c>
      <c r="F3014" s="5" t="s">
        <v>551</v>
      </c>
      <c r="G3014" s="22">
        <v>221.97</v>
      </c>
      <c r="H3014" s="22">
        <v>0</v>
      </c>
      <c r="I3014" s="22">
        <v>0</v>
      </c>
      <c r="J3014" s="22">
        <v>0</v>
      </c>
      <c r="K3014" s="22">
        <v>-4.4400000000000004</v>
      </c>
      <c r="L3014" s="22">
        <v>217.53</v>
      </c>
      <c r="M3014" s="10"/>
      <c r="O3014" s="11"/>
    </row>
    <row r="3015" spans="1:15" x14ac:dyDescent="0.25">
      <c r="A3015" s="6"/>
      <c r="B3015" s="5"/>
      <c r="C3015" s="5"/>
      <c r="D3015" s="5" t="s">
        <v>394</v>
      </c>
      <c r="E3015" s="5" t="s">
        <v>395</v>
      </c>
      <c r="F3015" s="5" t="s">
        <v>551</v>
      </c>
      <c r="G3015" s="14">
        <f t="shared" ref="G3015:L3015" si="764">SUBTOTAL(9,G3013:G3014)</f>
        <v>221.97</v>
      </c>
      <c r="H3015" s="14">
        <f t="shared" si="764"/>
        <v>0</v>
      </c>
      <c r="I3015" s="14">
        <f t="shared" si="764"/>
        <v>0</v>
      </c>
      <c r="J3015" s="14">
        <f t="shared" si="764"/>
        <v>26.64</v>
      </c>
      <c r="K3015" s="14">
        <f t="shared" si="764"/>
        <v>-4.4400000000000004</v>
      </c>
      <c r="L3015" s="14">
        <f t="shared" si="764"/>
        <v>244.17000000000002</v>
      </c>
      <c r="M3015" s="10">
        <v>2853</v>
      </c>
      <c r="N3015" s="69"/>
      <c r="O3015" s="11">
        <f>O3008+1</f>
        <v>734</v>
      </c>
    </row>
    <row r="3016" spans="1:15" s="4" customFormat="1" x14ac:dyDescent="0.25">
      <c r="A3016" s="10"/>
      <c r="B3016"/>
      <c r="C3016"/>
      <c r="D3016"/>
      <c r="E3016"/>
      <c r="F3016"/>
      <c r="G3016" s="21"/>
      <c r="H3016" s="21"/>
      <c r="I3016" s="21"/>
      <c r="J3016" s="21"/>
      <c r="K3016" s="21"/>
      <c r="L3016" s="21"/>
      <c r="M3016" s="10"/>
      <c r="N3016" s="67"/>
      <c r="O3016" s="11"/>
    </row>
    <row r="3017" spans="1:15" s="4" customFormat="1" x14ac:dyDescent="0.25">
      <c r="A3017" s="6">
        <v>1481</v>
      </c>
      <c r="B3017" s="5" t="s">
        <v>550</v>
      </c>
      <c r="C3017" s="5" t="s">
        <v>13</v>
      </c>
      <c r="D3017" s="5" t="s">
        <v>394</v>
      </c>
      <c r="E3017" s="5" t="s">
        <v>395</v>
      </c>
      <c r="F3017" s="5" t="s">
        <v>552</v>
      </c>
      <c r="G3017" s="22">
        <v>0</v>
      </c>
      <c r="H3017" s="22">
        <v>0</v>
      </c>
      <c r="I3017" s="22">
        <v>0</v>
      </c>
      <c r="J3017" s="22">
        <v>0</v>
      </c>
      <c r="K3017" s="22">
        <v>0</v>
      </c>
      <c r="L3017" s="22">
        <v>0</v>
      </c>
      <c r="M3017" s="10"/>
      <c r="N3017" s="67"/>
      <c r="O3017" s="11"/>
    </row>
    <row r="3018" spans="1:15" x14ac:dyDescent="0.25">
      <c r="A3018" s="6">
        <v>1482</v>
      </c>
      <c r="B3018" s="5" t="s">
        <v>550</v>
      </c>
      <c r="C3018" s="5" t="s">
        <v>17</v>
      </c>
      <c r="D3018" s="5" t="s">
        <v>394</v>
      </c>
      <c r="E3018" s="5" t="s">
        <v>395</v>
      </c>
      <c r="F3018" s="5" t="s">
        <v>552</v>
      </c>
      <c r="G3018" s="22">
        <v>0.02</v>
      </c>
      <c r="H3018" s="22">
        <v>0</v>
      </c>
      <c r="I3018" s="22">
        <v>0</v>
      </c>
      <c r="J3018" s="22">
        <v>0</v>
      </c>
      <c r="K3018" s="22">
        <v>0</v>
      </c>
      <c r="L3018" s="22">
        <v>0.02</v>
      </c>
      <c r="M3018" s="10"/>
      <c r="O3018" s="11"/>
    </row>
    <row r="3019" spans="1:15" x14ac:dyDescent="0.25">
      <c r="A3019" s="6"/>
      <c r="B3019" s="5"/>
      <c r="C3019" s="5"/>
      <c r="D3019" s="5" t="s">
        <v>394</v>
      </c>
      <c r="E3019" s="5" t="s">
        <v>395</v>
      </c>
      <c r="F3019" s="5" t="s">
        <v>552</v>
      </c>
      <c r="G3019" s="14">
        <f t="shared" ref="G3019:L3019" si="765">SUBTOTAL(9,G3017:G3018)</f>
        <v>0.02</v>
      </c>
      <c r="H3019" s="14">
        <f t="shared" si="765"/>
        <v>0</v>
      </c>
      <c r="I3019" s="14">
        <f t="shared" si="765"/>
        <v>0</v>
      </c>
      <c r="J3019" s="14">
        <f t="shared" si="765"/>
        <v>0</v>
      </c>
      <c r="K3019" s="14">
        <f t="shared" si="765"/>
        <v>0</v>
      </c>
      <c r="L3019" s="14">
        <f t="shared" si="765"/>
        <v>0.02</v>
      </c>
      <c r="M3019" s="10">
        <v>2854</v>
      </c>
      <c r="N3019" s="69"/>
      <c r="O3019" s="11">
        <f>O3015+1</f>
        <v>735</v>
      </c>
    </row>
    <row r="3020" spans="1:15" s="4" customFormat="1" x14ac:dyDescent="0.25">
      <c r="A3020" s="10"/>
      <c r="B3020"/>
      <c r="C3020"/>
      <c r="D3020"/>
      <c r="E3020"/>
      <c r="F3020"/>
      <c r="G3020" s="21"/>
      <c r="H3020" s="21"/>
      <c r="I3020" s="21"/>
      <c r="J3020" s="21"/>
      <c r="K3020" s="21"/>
      <c r="L3020" s="21"/>
      <c r="M3020" s="10"/>
      <c r="N3020" s="67"/>
      <c r="O3020" s="11"/>
    </row>
    <row r="3021" spans="1:15" x14ac:dyDescent="0.25">
      <c r="A3021" s="6">
        <v>1483</v>
      </c>
      <c r="B3021" s="5" t="s">
        <v>555</v>
      </c>
      <c r="C3021" s="5" t="s">
        <v>17</v>
      </c>
      <c r="D3021" s="5" t="s">
        <v>396</v>
      </c>
      <c r="E3021" s="5" t="s">
        <v>397</v>
      </c>
      <c r="F3021" s="5" t="s">
        <v>556</v>
      </c>
      <c r="G3021" s="22">
        <v>3.61</v>
      </c>
      <c r="H3021" s="22">
        <v>0</v>
      </c>
      <c r="I3021" s="22">
        <v>0</v>
      </c>
      <c r="J3021" s="22">
        <v>0</v>
      </c>
      <c r="K3021" s="22">
        <v>-7.0000000000000007E-2</v>
      </c>
      <c r="L3021" s="22">
        <v>3.54</v>
      </c>
      <c r="M3021" s="10"/>
      <c r="O3021" s="11"/>
    </row>
    <row r="3022" spans="1:15" x14ac:dyDescent="0.25">
      <c r="A3022" s="6">
        <v>1484</v>
      </c>
      <c r="B3022" s="5" t="s">
        <v>555</v>
      </c>
      <c r="C3022" s="5" t="s">
        <v>17</v>
      </c>
      <c r="D3022" s="5" t="s">
        <v>396</v>
      </c>
      <c r="E3022" s="5" t="s">
        <v>397</v>
      </c>
      <c r="F3022" s="5" t="s">
        <v>556</v>
      </c>
      <c r="G3022" s="22">
        <v>1.41</v>
      </c>
      <c r="H3022" s="22">
        <v>0</v>
      </c>
      <c r="I3022" s="22">
        <v>0</v>
      </c>
      <c r="J3022" s="22">
        <v>0</v>
      </c>
      <c r="K3022" s="22">
        <v>-0.03</v>
      </c>
      <c r="L3022" s="22">
        <v>1.38</v>
      </c>
      <c r="M3022" s="10"/>
      <c r="O3022" s="11"/>
    </row>
    <row r="3023" spans="1:15" s="4" customFormat="1" x14ac:dyDescent="0.25">
      <c r="A3023" s="6">
        <v>1485</v>
      </c>
      <c r="B3023" s="5" t="s">
        <v>555</v>
      </c>
      <c r="C3023" s="5" t="s">
        <v>13</v>
      </c>
      <c r="D3023" s="5" t="s">
        <v>396</v>
      </c>
      <c r="E3023" s="5" t="s">
        <v>397</v>
      </c>
      <c r="F3023" s="5" t="s">
        <v>556</v>
      </c>
      <c r="G3023" s="22">
        <v>0</v>
      </c>
      <c r="H3023" s="22">
        <v>0</v>
      </c>
      <c r="I3023" s="22">
        <v>0</v>
      </c>
      <c r="J3023" s="22">
        <v>0.43</v>
      </c>
      <c r="K3023" s="22">
        <v>0</v>
      </c>
      <c r="L3023" s="22">
        <v>0.43</v>
      </c>
      <c r="M3023" s="10"/>
      <c r="N3023" s="67"/>
      <c r="O3023" s="11"/>
    </row>
    <row r="3024" spans="1:15" x14ac:dyDescent="0.25">
      <c r="A3024" s="6">
        <v>1486</v>
      </c>
      <c r="B3024" s="5" t="s">
        <v>555</v>
      </c>
      <c r="C3024" s="5" t="s">
        <v>13</v>
      </c>
      <c r="D3024" s="5" t="s">
        <v>396</v>
      </c>
      <c r="E3024" s="5" t="s">
        <v>397</v>
      </c>
      <c r="F3024" s="5" t="s">
        <v>556</v>
      </c>
      <c r="G3024" s="22">
        <v>0</v>
      </c>
      <c r="H3024" s="22">
        <v>0</v>
      </c>
      <c r="I3024" s="22">
        <v>0</v>
      </c>
      <c r="J3024" s="22">
        <v>0.17</v>
      </c>
      <c r="K3024" s="22">
        <v>0</v>
      </c>
      <c r="L3024" s="22">
        <v>0.17</v>
      </c>
      <c r="M3024" s="10"/>
      <c r="O3024" s="11"/>
    </row>
    <row r="3025" spans="1:15" x14ac:dyDescent="0.25">
      <c r="A3025" s="6"/>
      <c r="B3025" s="5"/>
      <c r="C3025" s="5"/>
      <c r="D3025" s="5" t="s">
        <v>396</v>
      </c>
      <c r="E3025" s="5" t="s">
        <v>397</v>
      </c>
      <c r="F3025" s="5" t="s">
        <v>556</v>
      </c>
      <c r="G3025" s="14">
        <f t="shared" ref="G3025:L3025" si="766">SUBTOTAL(9,G3021:G3024)</f>
        <v>5.0199999999999996</v>
      </c>
      <c r="H3025" s="14">
        <f t="shared" si="766"/>
        <v>0</v>
      </c>
      <c r="I3025" s="14">
        <f t="shared" si="766"/>
        <v>0</v>
      </c>
      <c r="J3025" s="14">
        <f t="shared" si="766"/>
        <v>0.6</v>
      </c>
      <c r="K3025" s="14">
        <f t="shared" si="766"/>
        <v>-0.1</v>
      </c>
      <c r="L3025" s="14">
        <f t="shared" si="766"/>
        <v>5.52</v>
      </c>
      <c r="M3025" s="10">
        <v>2855</v>
      </c>
      <c r="N3025" s="69"/>
      <c r="O3025" s="11">
        <f>O3019+1</f>
        <v>736</v>
      </c>
    </row>
    <row r="3026" spans="1:15" s="4" customFormat="1" x14ac:dyDescent="0.25">
      <c r="A3026" s="10"/>
      <c r="B3026"/>
      <c r="C3026"/>
      <c r="D3026"/>
      <c r="E3026"/>
      <c r="F3026"/>
      <c r="G3026" s="21"/>
      <c r="H3026" s="21"/>
      <c r="I3026" s="21"/>
      <c r="J3026" s="21"/>
      <c r="K3026" s="21"/>
      <c r="L3026" s="21"/>
      <c r="M3026" s="10"/>
      <c r="N3026" s="67"/>
      <c r="O3026" s="11"/>
    </row>
    <row r="3027" spans="1:15" s="4" customFormat="1" x14ac:dyDescent="0.25">
      <c r="A3027" s="6">
        <v>1487</v>
      </c>
      <c r="B3027" s="5" t="s">
        <v>557</v>
      </c>
      <c r="C3027" s="5" t="s">
        <v>17</v>
      </c>
      <c r="D3027" s="5" t="s">
        <v>396</v>
      </c>
      <c r="E3027" s="5" t="s">
        <v>397</v>
      </c>
      <c r="F3027" s="5" t="s">
        <v>558</v>
      </c>
      <c r="G3027" s="22">
        <v>13.82</v>
      </c>
      <c r="H3027" s="22">
        <v>0</v>
      </c>
      <c r="I3027" s="22">
        <v>0</v>
      </c>
      <c r="J3027" s="22">
        <v>0</v>
      </c>
      <c r="K3027" s="22">
        <v>-0.28000000000000003</v>
      </c>
      <c r="L3027" s="22">
        <v>13.54</v>
      </c>
      <c r="M3027" s="10"/>
      <c r="N3027" s="67"/>
      <c r="O3027" s="11"/>
    </row>
    <row r="3028" spans="1:15" x14ac:dyDescent="0.25">
      <c r="A3028" s="6">
        <v>1488</v>
      </c>
      <c r="B3028" s="5" t="s">
        <v>557</v>
      </c>
      <c r="C3028" s="5" t="s">
        <v>17</v>
      </c>
      <c r="D3028" s="5" t="s">
        <v>396</v>
      </c>
      <c r="E3028" s="5" t="s">
        <v>397</v>
      </c>
      <c r="F3028" s="5" t="s">
        <v>558</v>
      </c>
      <c r="G3028" s="22">
        <v>0.89</v>
      </c>
      <c r="H3028" s="22">
        <v>0</v>
      </c>
      <c r="I3028" s="22">
        <v>0</v>
      </c>
      <c r="J3028" s="22">
        <v>0</v>
      </c>
      <c r="K3028" s="22">
        <v>-0.02</v>
      </c>
      <c r="L3028" s="22">
        <v>0.87</v>
      </c>
      <c r="M3028" s="10"/>
      <c r="O3028" s="11"/>
    </row>
    <row r="3029" spans="1:15" x14ac:dyDescent="0.25">
      <c r="A3029" s="6">
        <v>1489</v>
      </c>
      <c r="B3029" s="5" t="s">
        <v>557</v>
      </c>
      <c r="C3029" s="5" t="s">
        <v>13</v>
      </c>
      <c r="D3029" s="5" t="s">
        <v>396</v>
      </c>
      <c r="E3029" s="5" t="s">
        <v>397</v>
      </c>
      <c r="F3029" s="5" t="s">
        <v>558</v>
      </c>
      <c r="G3029" s="22">
        <v>0</v>
      </c>
      <c r="H3029" s="22">
        <v>0</v>
      </c>
      <c r="I3029" s="22">
        <v>0</v>
      </c>
      <c r="J3029" s="22">
        <v>1.66</v>
      </c>
      <c r="K3029" s="22">
        <v>0</v>
      </c>
      <c r="L3029" s="22">
        <v>1.66</v>
      </c>
      <c r="M3029" s="10"/>
      <c r="O3029" s="11"/>
    </row>
    <row r="3030" spans="1:15" s="4" customFormat="1" x14ac:dyDescent="0.25">
      <c r="A3030" s="6">
        <v>1490</v>
      </c>
      <c r="B3030" s="5" t="s">
        <v>557</v>
      </c>
      <c r="C3030" s="5" t="s">
        <v>13</v>
      </c>
      <c r="D3030" s="5" t="s">
        <v>396</v>
      </c>
      <c r="E3030" s="5" t="s">
        <v>397</v>
      </c>
      <c r="F3030" s="5" t="s">
        <v>558</v>
      </c>
      <c r="G3030" s="22">
        <v>0</v>
      </c>
      <c r="H3030" s="22">
        <v>0</v>
      </c>
      <c r="I3030" s="22">
        <v>0</v>
      </c>
      <c r="J3030" s="22">
        <v>0.11</v>
      </c>
      <c r="K3030" s="22">
        <v>0</v>
      </c>
      <c r="L3030" s="22">
        <v>0.11</v>
      </c>
      <c r="M3030" s="10"/>
      <c r="N3030" s="67"/>
      <c r="O3030" s="11"/>
    </row>
    <row r="3031" spans="1:15" s="4" customFormat="1" x14ac:dyDescent="0.25">
      <c r="A3031" s="6"/>
      <c r="B3031" s="5"/>
      <c r="C3031" s="5"/>
      <c r="D3031" s="5" t="s">
        <v>396</v>
      </c>
      <c r="E3031" s="5" t="s">
        <v>397</v>
      </c>
      <c r="F3031" s="5" t="s">
        <v>558</v>
      </c>
      <c r="G3031" s="14">
        <f t="shared" ref="G3031:L3031" si="767">SUBTOTAL(9,G3027:G3030)</f>
        <v>14.71</v>
      </c>
      <c r="H3031" s="14">
        <f t="shared" si="767"/>
        <v>0</v>
      </c>
      <c r="I3031" s="14">
        <f t="shared" si="767"/>
        <v>0</v>
      </c>
      <c r="J3031" s="14">
        <f t="shared" si="767"/>
        <v>1.77</v>
      </c>
      <c r="K3031" s="14">
        <f t="shared" si="767"/>
        <v>-0.30000000000000004</v>
      </c>
      <c r="L3031" s="14">
        <f t="shared" si="767"/>
        <v>16.179999999999996</v>
      </c>
      <c r="M3031" s="10">
        <v>2856</v>
      </c>
      <c r="N3031" s="69"/>
      <c r="O3031" s="11">
        <f>O3025+1</f>
        <v>737</v>
      </c>
    </row>
    <row r="3032" spans="1:15" x14ac:dyDescent="0.25">
      <c r="A3032" s="10"/>
      <c r="G3032" s="21"/>
      <c r="H3032" s="21"/>
      <c r="I3032" s="21"/>
      <c r="J3032" s="21"/>
      <c r="K3032" s="21"/>
      <c r="L3032" s="21"/>
      <c r="M3032" s="10"/>
      <c r="O3032" s="11"/>
    </row>
    <row r="3033" spans="1:15" x14ac:dyDescent="0.25">
      <c r="A3033" s="6">
        <v>1491</v>
      </c>
      <c r="B3033" s="5" t="s">
        <v>18</v>
      </c>
      <c r="C3033" s="5" t="s">
        <v>17</v>
      </c>
      <c r="D3033" s="5" t="s">
        <v>396</v>
      </c>
      <c r="E3033" s="5" t="s">
        <v>397</v>
      </c>
      <c r="F3033" s="5" t="s">
        <v>19</v>
      </c>
      <c r="G3033" s="22">
        <v>0.02</v>
      </c>
      <c r="H3033" s="22">
        <v>0</v>
      </c>
      <c r="I3033" s="22">
        <v>0</v>
      </c>
      <c r="J3033" s="22">
        <v>0</v>
      </c>
      <c r="K3033" s="22">
        <v>-0.01</v>
      </c>
      <c r="L3033" s="22">
        <v>0.01</v>
      </c>
      <c r="M3033" s="10"/>
      <c r="O3033" s="11"/>
    </row>
    <row r="3034" spans="1:15" s="4" customFormat="1" x14ac:dyDescent="0.25">
      <c r="A3034" s="6"/>
      <c r="B3034" s="5"/>
      <c r="C3034" s="5"/>
      <c r="D3034" s="5" t="s">
        <v>396</v>
      </c>
      <c r="E3034" s="5" t="s">
        <v>397</v>
      </c>
      <c r="F3034" s="5" t="s">
        <v>19</v>
      </c>
      <c r="G3034" s="14">
        <f t="shared" ref="G3034:L3034" si="768">SUBTOTAL(9,G3033:G3033)</f>
        <v>0.02</v>
      </c>
      <c r="H3034" s="14">
        <f t="shared" si="768"/>
        <v>0</v>
      </c>
      <c r="I3034" s="14">
        <f t="shared" si="768"/>
        <v>0</v>
      </c>
      <c r="J3034" s="14">
        <f t="shared" si="768"/>
        <v>0</v>
      </c>
      <c r="K3034" s="14">
        <f t="shared" si="768"/>
        <v>-0.01</v>
      </c>
      <c r="L3034" s="14">
        <f t="shared" si="768"/>
        <v>0.01</v>
      </c>
      <c r="M3034" s="10">
        <v>2857</v>
      </c>
      <c r="N3034" s="69"/>
      <c r="O3034" s="11">
        <f>O3031+1</f>
        <v>738</v>
      </c>
    </row>
    <row r="3035" spans="1:15" s="4" customFormat="1" x14ac:dyDescent="0.25">
      <c r="A3035" s="10"/>
      <c r="B3035"/>
      <c r="C3035"/>
      <c r="D3035"/>
      <c r="E3035"/>
      <c r="F3035"/>
      <c r="G3035" s="21"/>
      <c r="H3035" s="21"/>
      <c r="I3035" s="21"/>
      <c r="J3035" s="21"/>
      <c r="K3035" s="21"/>
      <c r="L3035" s="21"/>
      <c r="M3035" s="10"/>
      <c r="N3035" s="67"/>
      <c r="O3035" s="11"/>
    </row>
    <row r="3036" spans="1:15" x14ac:dyDescent="0.25">
      <c r="A3036" s="6">
        <v>1492</v>
      </c>
      <c r="B3036" s="5" t="s">
        <v>550</v>
      </c>
      <c r="C3036" s="5" t="s">
        <v>13</v>
      </c>
      <c r="D3036" s="5" t="s">
        <v>396</v>
      </c>
      <c r="E3036" s="5" t="s">
        <v>397</v>
      </c>
      <c r="F3036" s="5" t="s">
        <v>551</v>
      </c>
      <c r="G3036" s="22">
        <v>0</v>
      </c>
      <c r="H3036" s="22">
        <v>0</v>
      </c>
      <c r="I3036" s="22">
        <v>0</v>
      </c>
      <c r="J3036" s="22">
        <v>205.64</v>
      </c>
      <c r="K3036" s="22">
        <v>0</v>
      </c>
      <c r="L3036" s="22">
        <v>205.64</v>
      </c>
      <c r="M3036" s="10"/>
      <c r="O3036" s="11"/>
    </row>
    <row r="3037" spans="1:15" x14ac:dyDescent="0.25">
      <c r="A3037" s="6">
        <v>1493</v>
      </c>
      <c r="B3037" s="5" t="s">
        <v>550</v>
      </c>
      <c r="C3037" s="5" t="s">
        <v>13</v>
      </c>
      <c r="D3037" s="5" t="s">
        <v>396</v>
      </c>
      <c r="E3037" s="5" t="s">
        <v>397</v>
      </c>
      <c r="F3037" s="5" t="s">
        <v>551</v>
      </c>
      <c r="G3037" s="22">
        <v>0</v>
      </c>
      <c r="H3037" s="22">
        <v>0</v>
      </c>
      <c r="I3037" s="22">
        <v>0</v>
      </c>
      <c r="J3037" s="22">
        <v>29.21</v>
      </c>
      <c r="K3037" s="22">
        <v>0</v>
      </c>
      <c r="L3037" s="22">
        <v>29.21</v>
      </c>
      <c r="M3037" s="10"/>
      <c r="O3037" s="11"/>
    </row>
    <row r="3038" spans="1:15" s="4" customFormat="1" x14ac:dyDescent="0.25">
      <c r="A3038" s="6">
        <v>1494</v>
      </c>
      <c r="B3038" s="5" t="s">
        <v>550</v>
      </c>
      <c r="C3038" s="5" t="s">
        <v>17</v>
      </c>
      <c r="D3038" s="5" t="s">
        <v>396</v>
      </c>
      <c r="E3038" s="5" t="s">
        <v>397</v>
      </c>
      <c r="F3038" s="5" t="s">
        <v>551</v>
      </c>
      <c r="G3038" s="22">
        <v>1713.69</v>
      </c>
      <c r="H3038" s="22">
        <v>0</v>
      </c>
      <c r="I3038" s="22">
        <v>0</v>
      </c>
      <c r="J3038" s="22">
        <v>0</v>
      </c>
      <c r="K3038" s="22">
        <v>-34.270000000000003</v>
      </c>
      <c r="L3038" s="22">
        <v>1679.42</v>
      </c>
      <c r="M3038" s="10"/>
      <c r="N3038" s="67"/>
      <c r="O3038" s="11"/>
    </row>
    <row r="3039" spans="1:15" s="4" customFormat="1" x14ac:dyDescent="0.25">
      <c r="A3039" s="6">
        <v>1495</v>
      </c>
      <c r="B3039" s="5" t="s">
        <v>550</v>
      </c>
      <c r="C3039" s="5" t="s">
        <v>17</v>
      </c>
      <c r="D3039" s="5" t="s">
        <v>396</v>
      </c>
      <c r="E3039" s="5" t="s">
        <v>397</v>
      </c>
      <c r="F3039" s="5" t="s">
        <v>551</v>
      </c>
      <c r="G3039" s="22">
        <v>243.43</v>
      </c>
      <c r="H3039" s="22">
        <v>0</v>
      </c>
      <c r="I3039" s="22">
        <v>0</v>
      </c>
      <c r="J3039" s="22">
        <v>0</v>
      </c>
      <c r="K3039" s="22">
        <v>-4.87</v>
      </c>
      <c r="L3039" s="22">
        <v>238.56</v>
      </c>
      <c r="M3039" s="10"/>
      <c r="N3039" s="67"/>
      <c r="O3039" s="11"/>
    </row>
    <row r="3040" spans="1:15" x14ac:dyDescent="0.25">
      <c r="A3040" s="6"/>
      <c r="B3040" s="5"/>
      <c r="C3040" s="5"/>
      <c r="D3040" s="5" t="s">
        <v>396</v>
      </c>
      <c r="E3040" s="5" t="s">
        <v>397</v>
      </c>
      <c r="F3040" s="5" t="s">
        <v>551</v>
      </c>
      <c r="G3040" s="14">
        <f t="shared" ref="G3040:L3040" si="769">SUBTOTAL(9,G3036:G3039)</f>
        <v>1957.1200000000001</v>
      </c>
      <c r="H3040" s="14">
        <f t="shared" si="769"/>
        <v>0</v>
      </c>
      <c r="I3040" s="14">
        <f t="shared" si="769"/>
        <v>0</v>
      </c>
      <c r="J3040" s="14">
        <f t="shared" si="769"/>
        <v>234.85</v>
      </c>
      <c r="K3040" s="14">
        <f t="shared" si="769"/>
        <v>-39.14</v>
      </c>
      <c r="L3040" s="14">
        <f t="shared" si="769"/>
        <v>2152.83</v>
      </c>
      <c r="M3040" s="10">
        <v>2858</v>
      </c>
      <c r="N3040" s="69"/>
      <c r="O3040" s="11">
        <f>O3034+1</f>
        <v>739</v>
      </c>
    </row>
    <row r="3041" spans="1:15" x14ac:dyDescent="0.25">
      <c r="A3041" s="10"/>
      <c r="G3041" s="21"/>
      <c r="H3041" s="21"/>
      <c r="I3041" s="21"/>
      <c r="J3041" s="21"/>
      <c r="K3041" s="21"/>
      <c r="L3041" s="21"/>
      <c r="M3041" s="10"/>
      <c r="O3041" s="11"/>
    </row>
    <row r="3042" spans="1:15" s="4" customFormat="1" x14ac:dyDescent="0.25">
      <c r="A3042" s="6">
        <v>1496</v>
      </c>
      <c r="B3042" s="5" t="s">
        <v>550</v>
      </c>
      <c r="C3042" s="5" t="s">
        <v>13</v>
      </c>
      <c r="D3042" s="5" t="s">
        <v>396</v>
      </c>
      <c r="E3042" s="5" t="s">
        <v>397</v>
      </c>
      <c r="F3042" s="5" t="s">
        <v>552</v>
      </c>
      <c r="G3042" s="22">
        <v>0</v>
      </c>
      <c r="H3042" s="22">
        <v>0</v>
      </c>
      <c r="I3042" s="22">
        <v>0</v>
      </c>
      <c r="J3042" s="22">
        <v>0.01</v>
      </c>
      <c r="K3042" s="22">
        <v>0</v>
      </c>
      <c r="L3042" s="22">
        <v>0.01</v>
      </c>
      <c r="M3042" s="10"/>
      <c r="N3042" s="67"/>
      <c r="O3042" s="11"/>
    </row>
    <row r="3043" spans="1:15" s="4" customFormat="1" x14ac:dyDescent="0.25">
      <c r="A3043" s="6">
        <v>1497</v>
      </c>
      <c r="B3043" s="5" t="s">
        <v>550</v>
      </c>
      <c r="C3043" s="5" t="s">
        <v>13</v>
      </c>
      <c r="D3043" s="5" t="s">
        <v>396</v>
      </c>
      <c r="E3043" s="5" t="s">
        <v>397</v>
      </c>
      <c r="F3043" s="5" t="s">
        <v>552</v>
      </c>
      <c r="G3043" s="22">
        <v>0</v>
      </c>
      <c r="H3043" s="22">
        <v>0</v>
      </c>
      <c r="I3043" s="22">
        <v>0</v>
      </c>
      <c r="J3043" s="22">
        <v>0</v>
      </c>
      <c r="K3043" s="22">
        <v>0</v>
      </c>
      <c r="L3043" s="22">
        <v>0</v>
      </c>
      <c r="M3043" s="10"/>
      <c r="N3043" s="67"/>
      <c r="O3043" s="11"/>
    </row>
    <row r="3044" spans="1:15" s="4" customFormat="1" x14ac:dyDescent="0.25">
      <c r="A3044" s="6">
        <v>1498</v>
      </c>
      <c r="B3044" s="5" t="s">
        <v>550</v>
      </c>
      <c r="C3044" s="5" t="s">
        <v>17</v>
      </c>
      <c r="D3044" s="5" t="s">
        <v>396</v>
      </c>
      <c r="E3044" s="5" t="s">
        <v>397</v>
      </c>
      <c r="F3044" s="5" t="s">
        <v>552</v>
      </c>
      <c r="G3044" s="22">
        <v>0.12</v>
      </c>
      <c r="H3044" s="22">
        <v>0</v>
      </c>
      <c r="I3044" s="22">
        <v>0</v>
      </c>
      <c r="J3044" s="22">
        <v>0</v>
      </c>
      <c r="K3044" s="22">
        <v>0</v>
      </c>
      <c r="L3044" s="22">
        <v>0.12</v>
      </c>
      <c r="M3044" s="10"/>
      <c r="N3044" s="67"/>
      <c r="O3044" s="11"/>
    </row>
    <row r="3045" spans="1:15" x14ac:dyDescent="0.25">
      <c r="A3045" s="6">
        <v>1499</v>
      </c>
      <c r="B3045" s="5" t="s">
        <v>550</v>
      </c>
      <c r="C3045" s="5" t="s">
        <v>17</v>
      </c>
      <c r="D3045" s="5" t="s">
        <v>396</v>
      </c>
      <c r="E3045" s="5" t="s">
        <v>397</v>
      </c>
      <c r="F3045" s="5" t="s">
        <v>552</v>
      </c>
      <c r="G3045" s="22">
        <v>0.02</v>
      </c>
      <c r="H3045" s="22">
        <v>0</v>
      </c>
      <c r="I3045" s="22">
        <v>0</v>
      </c>
      <c r="J3045" s="22">
        <v>0</v>
      </c>
      <c r="K3045" s="22">
        <v>0</v>
      </c>
      <c r="L3045" s="22">
        <v>0.02</v>
      </c>
      <c r="M3045" s="10"/>
      <c r="O3045" s="11"/>
    </row>
    <row r="3046" spans="1:15" x14ac:dyDescent="0.25">
      <c r="A3046" s="6"/>
      <c r="B3046" s="5"/>
      <c r="C3046" s="5"/>
      <c r="D3046" s="5" t="s">
        <v>396</v>
      </c>
      <c r="E3046" s="5" t="s">
        <v>397</v>
      </c>
      <c r="F3046" s="5" t="s">
        <v>552</v>
      </c>
      <c r="G3046" s="14">
        <f t="shared" ref="G3046:L3046" si="770">SUBTOTAL(9,G3042:G3045)</f>
        <v>0.13999999999999999</v>
      </c>
      <c r="H3046" s="14">
        <f t="shared" si="770"/>
        <v>0</v>
      </c>
      <c r="I3046" s="14">
        <f t="shared" si="770"/>
        <v>0</v>
      </c>
      <c r="J3046" s="14">
        <f t="shared" si="770"/>
        <v>0.01</v>
      </c>
      <c r="K3046" s="14">
        <f t="shared" si="770"/>
        <v>0</v>
      </c>
      <c r="L3046" s="14">
        <f t="shared" si="770"/>
        <v>0.15</v>
      </c>
      <c r="M3046" s="10">
        <v>2859</v>
      </c>
      <c r="N3046" s="69"/>
      <c r="O3046" s="11">
        <f>O3040+1</f>
        <v>740</v>
      </c>
    </row>
    <row r="3047" spans="1:15" s="4" customFormat="1" x14ac:dyDescent="0.25">
      <c r="A3047" s="10"/>
      <c r="B3047"/>
      <c r="C3047"/>
      <c r="D3047"/>
      <c r="E3047"/>
      <c r="F3047"/>
      <c r="G3047" s="21"/>
      <c r="H3047" s="21"/>
      <c r="I3047" s="21"/>
      <c r="J3047" s="21"/>
      <c r="K3047" s="21"/>
      <c r="L3047" s="21"/>
      <c r="M3047" s="10"/>
      <c r="N3047" s="67"/>
      <c r="O3047" s="11"/>
    </row>
    <row r="3048" spans="1:15" s="4" customFormat="1" x14ac:dyDescent="0.25">
      <c r="A3048" s="6">
        <v>1500</v>
      </c>
      <c r="B3048" s="5" t="s">
        <v>550</v>
      </c>
      <c r="C3048" s="5" t="s">
        <v>17</v>
      </c>
      <c r="D3048" s="5" t="s">
        <v>627</v>
      </c>
      <c r="E3048" s="5" t="s">
        <v>398</v>
      </c>
      <c r="F3048" s="5" t="s">
        <v>551</v>
      </c>
      <c r="G3048" s="22">
        <v>0</v>
      </c>
      <c r="H3048" s="22">
        <v>0</v>
      </c>
      <c r="I3048" s="22">
        <v>2.31</v>
      </c>
      <c r="J3048" s="22">
        <v>0</v>
      </c>
      <c r="K3048" s="22">
        <v>-0.05</v>
      </c>
      <c r="L3048" s="22">
        <v>2.2599999999999998</v>
      </c>
      <c r="M3048" s="10"/>
      <c r="N3048" s="67"/>
      <c r="O3048" s="11"/>
    </row>
    <row r="3049" spans="1:15" s="4" customFormat="1" x14ac:dyDescent="0.25">
      <c r="A3049" s="6">
        <v>1501</v>
      </c>
      <c r="B3049" s="5" t="s">
        <v>550</v>
      </c>
      <c r="C3049" s="5" t="s">
        <v>17</v>
      </c>
      <c r="D3049" s="5" t="s">
        <v>628</v>
      </c>
      <c r="E3049" s="5" t="s">
        <v>398</v>
      </c>
      <c r="F3049" s="5" t="s">
        <v>551</v>
      </c>
      <c r="G3049" s="22">
        <v>0</v>
      </c>
      <c r="H3049" s="22">
        <v>0</v>
      </c>
      <c r="I3049" s="22">
        <v>3.24</v>
      </c>
      <c r="J3049" s="22">
        <v>0</v>
      </c>
      <c r="K3049" s="22">
        <v>-0.06</v>
      </c>
      <c r="L3049" s="22">
        <v>3.18</v>
      </c>
      <c r="M3049" s="10"/>
      <c r="N3049" s="67"/>
      <c r="O3049" s="11"/>
    </row>
    <row r="3050" spans="1:15" x14ac:dyDescent="0.25">
      <c r="A3050" s="6">
        <v>1502</v>
      </c>
      <c r="B3050" s="5" t="s">
        <v>550</v>
      </c>
      <c r="C3050" s="5" t="s">
        <v>17</v>
      </c>
      <c r="D3050" s="5" t="s">
        <v>399</v>
      </c>
      <c r="E3050" s="5" t="s">
        <v>400</v>
      </c>
      <c r="F3050" s="5" t="s">
        <v>551</v>
      </c>
      <c r="G3050" s="22">
        <v>0</v>
      </c>
      <c r="H3050" s="22">
        <v>0</v>
      </c>
      <c r="I3050" s="22">
        <v>1.1100000000000001</v>
      </c>
      <c r="J3050" s="22">
        <v>0</v>
      </c>
      <c r="K3050" s="22">
        <v>-0.02</v>
      </c>
      <c r="L3050" s="22">
        <v>1.0900000000000001</v>
      </c>
      <c r="M3050" s="10"/>
      <c r="O3050" s="11"/>
    </row>
    <row r="3051" spans="1:15" x14ac:dyDescent="0.25">
      <c r="A3051" s="6"/>
      <c r="B3051" s="5"/>
      <c r="C3051" s="5"/>
      <c r="D3051" s="5" t="s">
        <v>399</v>
      </c>
      <c r="E3051" s="5" t="s">
        <v>400</v>
      </c>
      <c r="F3051" s="5" t="s">
        <v>551</v>
      </c>
      <c r="G3051" s="14">
        <f t="shared" ref="G3051:L3051" si="771">SUBTOTAL(9,G3048:G3050)</f>
        <v>0</v>
      </c>
      <c r="H3051" s="14">
        <f t="shared" si="771"/>
        <v>0</v>
      </c>
      <c r="I3051" s="14">
        <f t="shared" si="771"/>
        <v>6.660000000000001</v>
      </c>
      <c r="J3051" s="14">
        <f t="shared" si="771"/>
        <v>0</v>
      </c>
      <c r="K3051" s="14">
        <f t="shared" si="771"/>
        <v>-0.13</v>
      </c>
      <c r="L3051" s="14">
        <f t="shared" si="771"/>
        <v>6.5299999999999994</v>
      </c>
      <c r="M3051" s="10">
        <v>2860</v>
      </c>
      <c r="N3051" s="69"/>
      <c r="O3051" s="11">
        <f>O3046+1</f>
        <v>741</v>
      </c>
    </row>
    <row r="3052" spans="1:15" s="4" customFormat="1" x14ac:dyDescent="0.25">
      <c r="A3052" s="10"/>
      <c r="B3052"/>
      <c r="C3052"/>
      <c r="D3052"/>
      <c r="E3052"/>
      <c r="F3052"/>
      <c r="G3052" s="21"/>
      <c r="H3052" s="21"/>
      <c r="I3052" s="21"/>
      <c r="J3052" s="21"/>
      <c r="K3052" s="21"/>
      <c r="L3052" s="21"/>
      <c r="M3052" s="10"/>
      <c r="N3052" s="67"/>
      <c r="O3052" s="11"/>
    </row>
    <row r="3053" spans="1:15" x14ac:dyDescent="0.25">
      <c r="A3053" s="6">
        <v>1503</v>
      </c>
      <c r="B3053" s="5" t="s">
        <v>555</v>
      </c>
      <c r="C3053" s="5" t="s">
        <v>17</v>
      </c>
      <c r="D3053" s="5" t="s">
        <v>401</v>
      </c>
      <c r="E3053" s="5" t="s">
        <v>402</v>
      </c>
      <c r="F3053" s="5" t="s">
        <v>556</v>
      </c>
      <c r="G3053" s="22">
        <v>746.43</v>
      </c>
      <c r="H3053" s="22">
        <v>0</v>
      </c>
      <c r="I3053" s="22">
        <v>0</v>
      </c>
      <c r="J3053" s="22">
        <v>0</v>
      </c>
      <c r="K3053" s="22">
        <v>-14.93</v>
      </c>
      <c r="L3053" s="22">
        <v>731.5</v>
      </c>
      <c r="M3053" s="10"/>
      <c r="O3053" s="11"/>
    </row>
    <row r="3054" spans="1:15" x14ac:dyDescent="0.25">
      <c r="A3054" s="6">
        <v>1504</v>
      </c>
      <c r="B3054" s="5" t="s">
        <v>555</v>
      </c>
      <c r="C3054" s="5" t="s">
        <v>13</v>
      </c>
      <c r="D3054" s="5" t="s">
        <v>401</v>
      </c>
      <c r="E3054" s="5" t="s">
        <v>402</v>
      </c>
      <c r="F3054" s="5" t="s">
        <v>556</v>
      </c>
      <c r="G3054" s="22">
        <v>0</v>
      </c>
      <c r="H3054" s="22">
        <v>0</v>
      </c>
      <c r="I3054" s="22">
        <v>0</v>
      </c>
      <c r="J3054" s="22">
        <v>89.57</v>
      </c>
      <c r="K3054" s="22">
        <v>0</v>
      </c>
      <c r="L3054" s="22">
        <v>89.57</v>
      </c>
      <c r="M3054" s="10"/>
      <c r="O3054" s="11"/>
    </row>
    <row r="3055" spans="1:15" s="4" customFormat="1" x14ac:dyDescent="0.25">
      <c r="A3055" s="6"/>
      <c r="B3055" s="5"/>
      <c r="C3055" s="5"/>
      <c r="D3055" s="5" t="s">
        <v>401</v>
      </c>
      <c r="E3055" s="5" t="s">
        <v>402</v>
      </c>
      <c r="F3055" s="5" t="s">
        <v>556</v>
      </c>
      <c r="G3055" s="14">
        <f t="shared" ref="G3055:L3055" si="772">SUBTOTAL(9,G3053:G3054)</f>
        <v>746.43</v>
      </c>
      <c r="H3055" s="14">
        <f t="shared" si="772"/>
        <v>0</v>
      </c>
      <c r="I3055" s="14">
        <f t="shared" si="772"/>
        <v>0</v>
      </c>
      <c r="J3055" s="14">
        <f t="shared" si="772"/>
        <v>89.57</v>
      </c>
      <c r="K3055" s="14">
        <f t="shared" si="772"/>
        <v>-14.93</v>
      </c>
      <c r="L3055" s="14">
        <f t="shared" si="772"/>
        <v>821.06999999999994</v>
      </c>
      <c r="M3055" s="10">
        <v>2861</v>
      </c>
      <c r="N3055" s="69"/>
      <c r="O3055" s="11">
        <f>O3051+1</f>
        <v>742</v>
      </c>
    </row>
    <row r="3056" spans="1:15" x14ac:dyDescent="0.25">
      <c r="A3056" s="10"/>
      <c r="G3056" s="21"/>
      <c r="H3056" s="21"/>
      <c r="I3056" s="21"/>
      <c r="J3056" s="21"/>
      <c r="K3056" s="21"/>
      <c r="L3056" s="21"/>
      <c r="M3056" s="10"/>
      <c r="O3056" s="11"/>
    </row>
    <row r="3057" spans="1:15" x14ac:dyDescent="0.25">
      <c r="A3057" s="6">
        <v>1505</v>
      </c>
      <c r="B3057" s="5" t="s">
        <v>557</v>
      </c>
      <c r="C3057" s="5" t="s">
        <v>17</v>
      </c>
      <c r="D3057" s="5" t="s">
        <v>401</v>
      </c>
      <c r="E3057" s="5" t="s">
        <v>402</v>
      </c>
      <c r="F3057" s="5" t="s">
        <v>558</v>
      </c>
      <c r="G3057" s="22">
        <v>369.44</v>
      </c>
      <c r="H3057" s="22">
        <v>0</v>
      </c>
      <c r="I3057" s="22">
        <v>0</v>
      </c>
      <c r="J3057" s="22">
        <v>0</v>
      </c>
      <c r="K3057" s="22">
        <v>-7.39</v>
      </c>
      <c r="L3057" s="22">
        <v>362.05</v>
      </c>
      <c r="M3057" s="10"/>
      <c r="O3057" s="11"/>
    </row>
    <row r="3058" spans="1:15" s="4" customFormat="1" x14ac:dyDescent="0.25">
      <c r="A3058" s="6">
        <v>1506</v>
      </c>
      <c r="B3058" s="5" t="s">
        <v>557</v>
      </c>
      <c r="C3058" s="5" t="s">
        <v>13</v>
      </c>
      <c r="D3058" s="5" t="s">
        <v>401</v>
      </c>
      <c r="E3058" s="5" t="s">
        <v>402</v>
      </c>
      <c r="F3058" s="5" t="s">
        <v>558</v>
      </c>
      <c r="G3058" s="22">
        <v>0</v>
      </c>
      <c r="H3058" s="22">
        <v>0</v>
      </c>
      <c r="I3058" s="22">
        <v>0</v>
      </c>
      <c r="J3058" s="22">
        <v>44.33</v>
      </c>
      <c r="K3058" s="22">
        <v>0</v>
      </c>
      <c r="L3058" s="22">
        <v>44.33</v>
      </c>
      <c r="M3058" s="10"/>
      <c r="N3058" s="67"/>
      <c r="O3058" s="11"/>
    </row>
    <row r="3059" spans="1:15" s="4" customFormat="1" x14ac:dyDescent="0.25">
      <c r="A3059" s="6"/>
      <c r="B3059" s="5"/>
      <c r="C3059" s="5"/>
      <c r="D3059" s="5" t="s">
        <v>401</v>
      </c>
      <c r="E3059" s="5" t="s">
        <v>402</v>
      </c>
      <c r="F3059" s="5" t="s">
        <v>558</v>
      </c>
      <c r="G3059" s="14">
        <f t="shared" ref="G3059:L3059" si="773">SUBTOTAL(9,G3057:G3058)</f>
        <v>369.44</v>
      </c>
      <c r="H3059" s="14">
        <f t="shared" si="773"/>
        <v>0</v>
      </c>
      <c r="I3059" s="14">
        <f t="shared" si="773"/>
        <v>0</v>
      </c>
      <c r="J3059" s="14">
        <f t="shared" si="773"/>
        <v>44.33</v>
      </c>
      <c r="K3059" s="14">
        <f t="shared" si="773"/>
        <v>-7.39</v>
      </c>
      <c r="L3059" s="14">
        <f t="shared" si="773"/>
        <v>406.38</v>
      </c>
      <c r="M3059" s="10">
        <v>2862</v>
      </c>
      <c r="N3059" s="69"/>
      <c r="O3059" s="11">
        <f>O3055+1</f>
        <v>743</v>
      </c>
    </row>
    <row r="3060" spans="1:15" x14ac:dyDescent="0.25">
      <c r="A3060" s="10"/>
      <c r="G3060" s="21"/>
      <c r="H3060" s="21"/>
      <c r="I3060" s="21"/>
      <c r="J3060" s="21"/>
      <c r="K3060" s="21"/>
      <c r="L3060" s="21"/>
      <c r="M3060" s="10"/>
      <c r="O3060" s="11"/>
    </row>
    <row r="3061" spans="1:15" x14ac:dyDescent="0.25">
      <c r="A3061" s="6">
        <v>1507</v>
      </c>
      <c r="B3061" s="5" t="s">
        <v>18</v>
      </c>
      <c r="C3061" s="5" t="s">
        <v>17</v>
      </c>
      <c r="D3061" s="5" t="s">
        <v>401</v>
      </c>
      <c r="E3061" s="5" t="s">
        <v>402</v>
      </c>
      <c r="F3061" s="5" t="s">
        <v>19</v>
      </c>
      <c r="G3061" s="22">
        <v>0.84</v>
      </c>
      <c r="H3061" s="22">
        <v>0</v>
      </c>
      <c r="I3061" s="22">
        <v>0</v>
      </c>
      <c r="J3061" s="22">
        <v>0</v>
      </c>
      <c r="K3061" s="22">
        <v>-0.74</v>
      </c>
      <c r="L3061" s="22">
        <v>0.1</v>
      </c>
      <c r="M3061" s="10"/>
      <c r="O3061" s="11"/>
    </row>
    <row r="3062" spans="1:15" s="4" customFormat="1" x14ac:dyDescent="0.25">
      <c r="A3062" s="6"/>
      <c r="B3062" s="5"/>
      <c r="C3062" s="5"/>
      <c r="D3062" s="5" t="s">
        <v>401</v>
      </c>
      <c r="E3062" s="5" t="s">
        <v>402</v>
      </c>
      <c r="F3062" s="5" t="s">
        <v>19</v>
      </c>
      <c r="G3062" s="14">
        <f t="shared" ref="G3062:L3062" si="774">SUBTOTAL(9,G3061:G3061)</f>
        <v>0.84</v>
      </c>
      <c r="H3062" s="14">
        <f t="shared" si="774"/>
        <v>0</v>
      </c>
      <c r="I3062" s="14">
        <f t="shared" si="774"/>
        <v>0</v>
      </c>
      <c r="J3062" s="14">
        <f t="shared" si="774"/>
        <v>0</v>
      </c>
      <c r="K3062" s="14">
        <f t="shared" si="774"/>
        <v>-0.74</v>
      </c>
      <c r="L3062" s="14">
        <f t="shared" si="774"/>
        <v>0.1</v>
      </c>
      <c r="M3062" s="10">
        <v>2863</v>
      </c>
      <c r="N3062" s="69"/>
      <c r="O3062" s="11">
        <f>O3059+1</f>
        <v>744</v>
      </c>
    </row>
    <row r="3063" spans="1:15" s="4" customFormat="1" x14ac:dyDescent="0.25">
      <c r="A3063" s="10"/>
      <c r="B3063"/>
      <c r="C3063"/>
      <c r="D3063"/>
      <c r="E3063"/>
      <c r="F3063"/>
      <c r="G3063" s="21"/>
      <c r="H3063" s="21"/>
      <c r="I3063" s="21"/>
      <c r="J3063" s="21"/>
      <c r="K3063" s="21"/>
      <c r="L3063" s="21"/>
      <c r="M3063" s="10"/>
      <c r="N3063" s="67"/>
      <c r="O3063" s="11"/>
    </row>
    <row r="3064" spans="1:15" x14ac:dyDescent="0.25">
      <c r="A3064" s="6">
        <v>1508</v>
      </c>
      <c r="B3064" s="5" t="s">
        <v>550</v>
      </c>
      <c r="C3064" s="5" t="s">
        <v>13</v>
      </c>
      <c r="D3064" s="5" t="s">
        <v>401</v>
      </c>
      <c r="E3064" s="5" t="s">
        <v>402</v>
      </c>
      <c r="F3064" s="5" t="s">
        <v>551</v>
      </c>
      <c r="G3064" s="22">
        <v>0</v>
      </c>
      <c r="H3064" s="22">
        <v>0</v>
      </c>
      <c r="I3064" s="22">
        <v>0</v>
      </c>
      <c r="J3064" s="22">
        <v>498.45</v>
      </c>
      <c r="K3064" s="22">
        <v>0</v>
      </c>
      <c r="L3064" s="22">
        <v>498.45</v>
      </c>
      <c r="M3064" s="10"/>
      <c r="O3064" s="11"/>
    </row>
    <row r="3065" spans="1:15" x14ac:dyDescent="0.25">
      <c r="A3065" s="6">
        <v>1509</v>
      </c>
      <c r="B3065" s="5" t="s">
        <v>550</v>
      </c>
      <c r="C3065" s="5" t="s">
        <v>17</v>
      </c>
      <c r="D3065" s="5" t="s">
        <v>401</v>
      </c>
      <c r="E3065" s="5" t="s">
        <v>402</v>
      </c>
      <c r="F3065" s="5" t="s">
        <v>551</v>
      </c>
      <c r="G3065" s="22">
        <v>4153.72</v>
      </c>
      <c r="H3065" s="22">
        <v>0</v>
      </c>
      <c r="I3065" s="22">
        <v>0</v>
      </c>
      <c r="J3065" s="22">
        <v>0</v>
      </c>
      <c r="K3065" s="22">
        <v>-83.07</v>
      </c>
      <c r="L3065" s="22">
        <v>4070.65</v>
      </c>
      <c r="M3065" s="10"/>
      <c r="O3065" s="11"/>
    </row>
    <row r="3066" spans="1:15" s="4" customFormat="1" x14ac:dyDescent="0.25">
      <c r="A3066" s="6"/>
      <c r="B3066" s="5"/>
      <c r="C3066" s="5"/>
      <c r="D3066" s="5" t="s">
        <v>401</v>
      </c>
      <c r="E3066" s="5" t="s">
        <v>402</v>
      </c>
      <c r="F3066" s="5" t="s">
        <v>551</v>
      </c>
      <c r="G3066" s="14">
        <f t="shared" ref="G3066:L3066" si="775">SUBTOTAL(9,G3064:G3065)</f>
        <v>4153.72</v>
      </c>
      <c r="H3066" s="14">
        <f t="shared" si="775"/>
        <v>0</v>
      </c>
      <c r="I3066" s="14">
        <f t="shared" si="775"/>
        <v>0</v>
      </c>
      <c r="J3066" s="14">
        <f t="shared" si="775"/>
        <v>498.45</v>
      </c>
      <c r="K3066" s="14">
        <f t="shared" si="775"/>
        <v>-83.07</v>
      </c>
      <c r="L3066" s="14">
        <f t="shared" si="775"/>
        <v>4569.1000000000004</v>
      </c>
      <c r="M3066" s="10">
        <v>2864</v>
      </c>
      <c r="N3066" s="69"/>
      <c r="O3066" s="11">
        <f>O3062+1</f>
        <v>745</v>
      </c>
    </row>
    <row r="3067" spans="1:15" s="4" customFormat="1" x14ac:dyDescent="0.25">
      <c r="A3067" s="10"/>
      <c r="B3067"/>
      <c r="C3067"/>
      <c r="D3067"/>
      <c r="E3067"/>
      <c r="F3067"/>
      <c r="G3067" s="21"/>
      <c r="H3067" s="21"/>
      <c r="I3067" s="21"/>
      <c r="J3067" s="21"/>
      <c r="K3067" s="21"/>
      <c r="L3067" s="21"/>
      <c r="M3067" s="10"/>
      <c r="N3067" s="67"/>
      <c r="O3067" s="11"/>
    </row>
    <row r="3068" spans="1:15" x14ac:dyDescent="0.25">
      <c r="A3068" s="6">
        <v>1510</v>
      </c>
      <c r="B3068" s="5" t="s">
        <v>550</v>
      </c>
      <c r="C3068" s="5" t="s">
        <v>13</v>
      </c>
      <c r="D3068" s="5" t="s">
        <v>401</v>
      </c>
      <c r="E3068" s="5" t="s">
        <v>402</v>
      </c>
      <c r="F3068" s="5" t="s">
        <v>552</v>
      </c>
      <c r="G3068" s="22">
        <v>0</v>
      </c>
      <c r="H3068" s="22">
        <v>0</v>
      </c>
      <c r="I3068" s="22">
        <v>0</v>
      </c>
      <c r="J3068" s="22">
        <v>0.04</v>
      </c>
      <c r="K3068" s="22">
        <v>0</v>
      </c>
      <c r="L3068" s="22">
        <v>0.04</v>
      </c>
      <c r="M3068" s="10"/>
      <c r="O3068" s="11"/>
    </row>
    <row r="3069" spans="1:15" x14ac:dyDescent="0.25">
      <c r="A3069" s="6">
        <v>1511</v>
      </c>
      <c r="B3069" s="5" t="s">
        <v>550</v>
      </c>
      <c r="C3069" s="5" t="s">
        <v>17</v>
      </c>
      <c r="D3069" s="5" t="s">
        <v>401</v>
      </c>
      <c r="E3069" s="5" t="s">
        <v>402</v>
      </c>
      <c r="F3069" s="5" t="s">
        <v>552</v>
      </c>
      <c r="G3069" s="22">
        <v>0.3</v>
      </c>
      <c r="H3069" s="22">
        <v>0</v>
      </c>
      <c r="I3069" s="22">
        <v>0</v>
      </c>
      <c r="J3069" s="22">
        <v>0</v>
      </c>
      <c r="K3069" s="22">
        <v>-0.01</v>
      </c>
      <c r="L3069" s="22">
        <v>0.28999999999999998</v>
      </c>
      <c r="M3069" s="10"/>
      <c r="O3069" s="11"/>
    </row>
    <row r="3070" spans="1:15" s="4" customFormat="1" x14ac:dyDescent="0.25">
      <c r="A3070" s="6"/>
      <c r="B3070" s="5"/>
      <c r="C3070" s="5"/>
      <c r="D3070" s="5" t="s">
        <v>401</v>
      </c>
      <c r="E3070" s="5" t="s">
        <v>402</v>
      </c>
      <c r="F3070" s="5" t="s">
        <v>552</v>
      </c>
      <c r="G3070" s="14">
        <f t="shared" ref="G3070:L3070" si="776">SUBTOTAL(9,G3068:G3069)</f>
        <v>0.3</v>
      </c>
      <c r="H3070" s="14">
        <f t="shared" si="776"/>
        <v>0</v>
      </c>
      <c r="I3070" s="14">
        <f t="shared" si="776"/>
        <v>0</v>
      </c>
      <c r="J3070" s="14">
        <f t="shared" si="776"/>
        <v>0.04</v>
      </c>
      <c r="K3070" s="14">
        <f t="shared" si="776"/>
        <v>-0.01</v>
      </c>
      <c r="L3070" s="14">
        <f t="shared" si="776"/>
        <v>0.32999999999999996</v>
      </c>
      <c r="M3070" s="10">
        <v>2865</v>
      </c>
      <c r="N3070" s="69"/>
      <c r="O3070" s="11">
        <f>O3066+1</f>
        <v>746</v>
      </c>
    </row>
    <row r="3071" spans="1:15" s="4" customFormat="1" x14ac:dyDescent="0.25">
      <c r="A3071" s="10"/>
      <c r="B3071"/>
      <c r="C3071"/>
      <c r="D3071"/>
      <c r="E3071"/>
      <c r="F3071"/>
      <c r="G3071" s="21"/>
      <c r="H3071" s="21"/>
      <c r="I3071" s="21"/>
      <c r="J3071" s="21"/>
      <c r="K3071" s="21"/>
      <c r="L3071" s="21"/>
      <c r="M3071" s="10"/>
      <c r="N3071" s="67"/>
      <c r="O3071" s="11"/>
    </row>
    <row r="3072" spans="1:15" x14ac:dyDescent="0.25">
      <c r="A3072" s="6">
        <v>1512</v>
      </c>
      <c r="B3072" s="5" t="s">
        <v>555</v>
      </c>
      <c r="C3072" s="5" t="s">
        <v>17</v>
      </c>
      <c r="D3072" s="5" t="s">
        <v>403</v>
      </c>
      <c r="E3072" s="5" t="s">
        <v>404</v>
      </c>
      <c r="F3072" s="5" t="s">
        <v>556</v>
      </c>
      <c r="G3072" s="22">
        <v>1.6</v>
      </c>
      <c r="H3072" s="22">
        <v>0</v>
      </c>
      <c r="I3072" s="22">
        <v>0</v>
      </c>
      <c r="J3072" s="22">
        <v>0</v>
      </c>
      <c r="K3072" s="22">
        <v>-0.03</v>
      </c>
      <c r="L3072" s="22">
        <v>1.57</v>
      </c>
      <c r="M3072" s="10"/>
      <c r="O3072" s="11"/>
    </row>
    <row r="3073" spans="1:15" x14ac:dyDescent="0.25">
      <c r="A3073" s="6">
        <v>1513</v>
      </c>
      <c r="B3073" s="5" t="s">
        <v>555</v>
      </c>
      <c r="C3073" s="5" t="s">
        <v>17</v>
      </c>
      <c r="D3073" s="5" t="s">
        <v>403</v>
      </c>
      <c r="E3073" s="5" t="s">
        <v>404</v>
      </c>
      <c r="F3073" s="5" t="s">
        <v>556</v>
      </c>
      <c r="G3073" s="22">
        <v>0</v>
      </c>
      <c r="H3073" s="22">
        <v>0</v>
      </c>
      <c r="I3073" s="22">
        <v>14.08</v>
      </c>
      <c r="J3073" s="22">
        <v>0</v>
      </c>
      <c r="K3073" s="22">
        <v>-0.28000000000000003</v>
      </c>
      <c r="L3073" s="22">
        <v>13.8</v>
      </c>
      <c r="M3073" s="10"/>
      <c r="O3073" s="11"/>
    </row>
    <row r="3074" spans="1:15" s="4" customFormat="1" x14ac:dyDescent="0.25">
      <c r="A3074" s="6">
        <v>1514</v>
      </c>
      <c r="B3074" s="5" t="s">
        <v>555</v>
      </c>
      <c r="C3074" s="5" t="s">
        <v>17</v>
      </c>
      <c r="D3074" s="5" t="s">
        <v>403</v>
      </c>
      <c r="E3074" s="5" t="s">
        <v>404</v>
      </c>
      <c r="F3074" s="5" t="s">
        <v>556</v>
      </c>
      <c r="G3074" s="22">
        <v>2752.32</v>
      </c>
      <c r="H3074" s="22">
        <v>0</v>
      </c>
      <c r="I3074" s="22">
        <v>0</v>
      </c>
      <c r="J3074" s="22">
        <v>0</v>
      </c>
      <c r="K3074" s="22">
        <v>-55.05</v>
      </c>
      <c r="L3074" s="22">
        <v>2697.27</v>
      </c>
      <c r="M3074" s="10"/>
      <c r="N3074" s="67"/>
      <c r="O3074" s="11"/>
    </row>
    <row r="3075" spans="1:15" s="4" customFormat="1" x14ac:dyDescent="0.25">
      <c r="A3075" s="6">
        <v>1515</v>
      </c>
      <c r="B3075" s="5" t="s">
        <v>555</v>
      </c>
      <c r="C3075" s="5" t="s">
        <v>13</v>
      </c>
      <c r="D3075" s="5" t="s">
        <v>403</v>
      </c>
      <c r="E3075" s="5" t="s">
        <v>404</v>
      </c>
      <c r="F3075" s="5" t="s">
        <v>556</v>
      </c>
      <c r="G3075" s="22">
        <v>0</v>
      </c>
      <c r="H3075" s="22">
        <v>0</v>
      </c>
      <c r="I3075" s="22">
        <v>0</v>
      </c>
      <c r="J3075" s="22">
        <v>0.11</v>
      </c>
      <c r="K3075" s="22">
        <v>0</v>
      </c>
      <c r="L3075" s="22">
        <v>0.11</v>
      </c>
      <c r="M3075" s="10"/>
      <c r="N3075" s="67"/>
      <c r="O3075" s="11"/>
    </row>
    <row r="3076" spans="1:15" x14ac:dyDescent="0.25">
      <c r="A3076" s="6">
        <v>1516</v>
      </c>
      <c r="B3076" s="5" t="s">
        <v>555</v>
      </c>
      <c r="C3076" s="5" t="s">
        <v>13</v>
      </c>
      <c r="D3076" s="5" t="s">
        <v>403</v>
      </c>
      <c r="E3076" s="5" t="s">
        <v>404</v>
      </c>
      <c r="F3076" s="5" t="s">
        <v>556</v>
      </c>
      <c r="G3076" s="22">
        <v>0</v>
      </c>
      <c r="H3076" s="22">
        <v>0</v>
      </c>
      <c r="I3076" s="22">
        <v>0</v>
      </c>
      <c r="J3076" s="22">
        <v>192.66</v>
      </c>
      <c r="K3076" s="22">
        <v>0</v>
      </c>
      <c r="L3076" s="22">
        <v>192.66</v>
      </c>
      <c r="M3076" s="10"/>
      <c r="O3076" s="11"/>
    </row>
    <row r="3077" spans="1:15" x14ac:dyDescent="0.25">
      <c r="A3077" s="6"/>
      <c r="B3077" s="5"/>
      <c r="C3077" s="5"/>
      <c r="D3077" s="5" t="s">
        <v>403</v>
      </c>
      <c r="E3077" s="5" t="s">
        <v>404</v>
      </c>
      <c r="F3077" s="5" t="s">
        <v>556</v>
      </c>
      <c r="G3077" s="14">
        <f t="shared" ref="G3077:L3077" si="777">SUBTOTAL(9,G3072:G3076)</f>
        <v>2753.92</v>
      </c>
      <c r="H3077" s="14">
        <f t="shared" si="777"/>
        <v>0</v>
      </c>
      <c r="I3077" s="14">
        <f t="shared" si="777"/>
        <v>14.08</v>
      </c>
      <c r="J3077" s="14">
        <f t="shared" si="777"/>
        <v>192.77</v>
      </c>
      <c r="K3077" s="14">
        <f t="shared" si="777"/>
        <v>-55.36</v>
      </c>
      <c r="L3077" s="14">
        <f t="shared" si="777"/>
        <v>2905.41</v>
      </c>
      <c r="M3077" s="10">
        <v>2866</v>
      </c>
      <c r="N3077" s="69"/>
      <c r="O3077" s="11">
        <f>O3070+1</f>
        <v>747</v>
      </c>
    </row>
    <row r="3078" spans="1:15" s="4" customFormat="1" x14ac:dyDescent="0.25">
      <c r="A3078" s="10"/>
      <c r="B3078"/>
      <c r="C3078"/>
      <c r="D3078"/>
      <c r="E3078"/>
      <c r="F3078"/>
      <c r="G3078" s="21"/>
      <c r="H3078" s="21"/>
      <c r="I3078" s="21"/>
      <c r="J3078" s="21"/>
      <c r="K3078" s="21"/>
      <c r="L3078" s="21"/>
      <c r="M3078" s="10"/>
      <c r="N3078" s="67"/>
      <c r="O3078" s="11"/>
    </row>
    <row r="3079" spans="1:15" s="4" customFormat="1" x14ac:dyDescent="0.25">
      <c r="A3079" s="6">
        <v>1517</v>
      </c>
      <c r="B3079" s="5" t="s">
        <v>557</v>
      </c>
      <c r="C3079" s="5" t="s">
        <v>17</v>
      </c>
      <c r="D3079" s="5" t="s">
        <v>403</v>
      </c>
      <c r="E3079" s="5" t="s">
        <v>404</v>
      </c>
      <c r="F3079" s="5" t="s">
        <v>558</v>
      </c>
      <c r="G3079" s="22">
        <v>0</v>
      </c>
      <c r="H3079" s="22">
        <v>0</v>
      </c>
      <c r="I3079" s="22">
        <v>13.71</v>
      </c>
      <c r="J3079" s="22">
        <v>0</v>
      </c>
      <c r="K3079" s="22">
        <v>-0.27</v>
      </c>
      <c r="L3079" s="22">
        <v>13.44</v>
      </c>
      <c r="M3079" s="10"/>
      <c r="N3079" s="67"/>
      <c r="O3079" s="11"/>
    </row>
    <row r="3080" spans="1:15" x14ac:dyDescent="0.25">
      <c r="A3080" s="6"/>
      <c r="B3080" s="5"/>
      <c r="C3080" s="5"/>
      <c r="D3080" s="5" t="s">
        <v>403</v>
      </c>
      <c r="E3080" s="5" t="s">
        <v>404</v>
      </c>
      <c r="F3080" s="5" t="s">
        <v>558</v>
      </c>
      <c r="G3080" s="14">
        <f t="shared" ref="G3080:L3080" si="778">SUBTOTAL(9,G3079:G3079)</f>
        <v>0</v>
      </c>
      <c r="H3080" s="14">
        <f t="shared" si="778"/>
        <v>0</v>
      </c>
      <c r="I3080" s="14">
        <f t="shared" si="778"/>
        <v>13.71</v>
      </c>
      <c r="J3080" s="14">
        <f t="shared" si="778"/>
        <v>0</v>
      </c>
      <c r="K3080" s="14">
        <f t="shared" si="778"/>
        <v>-0.27</v>
      </c>
      <c r="L3080" s="14">
        <f t="shared" si="778"/>
        <v>13.44</v>
      </c>
      <c r="M3080" s="10">
        <v>2867</v>
      </c>
      <c r="N3080" s="69"/>
      <c r="O3080" s="11">
        <f>O3077+1</f>
        <v>748</v>
      </c>
    </row>
    <row r="3081" spans="1:15" x14ac:dyDescent="0.25">
      <c r="A3081" s="10"/>
      <c r="G3081" s="21"/>
      <c r="H3081" s="21"/>
      <c r="I3081" s="21"/>
      <c r="J3081" s="21"/>
      <c r="K3081" s="21"/>
      <c r="L3081" s="21"/>
      <c r="M3081" s="10"/>
      <c r="O3081" s="11"/>
    </row>
    <row r="3082" spans="1:15" s="4" customFormat="1" x14ac:dyDescent="0.25">
      <c r="A3082" s="6">
        <v>1518</v>
      </c>
      <c r="B3082" s="5" t="s">
        <v>18</v>
      </c>
      <c r="C3082" s="5" t="s">
        <v>17</v>
      </c>
      <c r="D3082" s="5" t="s">
        <v>403</v>
      </c>
      <c r="E3082" s="5" t="s">
        <v>404</v>
      </c>
      <c r="F3082" s="5" t="s">
        <v>19</v>
      </c>
      <c r="G3082" s="22">
        <v>0</v>
      </c>
      <c r="H3082" s="22">
        <v>0</v>
      </c>
      <c r="I3082" s="22">
        <v>0.1</v>
      </c>
      <c r="J3082" s="22">
        <v>0</v>
      </c>
      <c r="K3082" s="22">
        <v>-0.01</v>
      </c>
      <c r="L3082" s="22">
        <v>0.09</v>
      </c>
      <c r="M3082" s="10"/>
      <c r="N3082" s="67"/>
      <c r="O3082" s="11"/>
    </row>
    <row r="3083" spans="1:15" s="4" customFormat="1" x14ac:dyDescent="0.25">
      <c r="A3083" s="6">
        <v>1519</v>
      </c>
      <c r="B3083" s="5" t="s">
        <v>18</v>
      </c>
      <c r="C3083" s="5" t="s">
        <v>17</v>
      </c>
      <c r="D3083" s="5" t="s">
        <v>403</v>
      </c>
      <c r="E3083" s="5" t="s">
        <v>404</v>
      </c>
      <c r="F3083" s="5" t="s">
        <v>19</v>
      </c>
      <c r="G3083" s="22">
        <v>0.6</v>
      </c>
      <c r="H3083" s="22">
        <v>0</v>
      </c>
      <c r="I3083" s="22">
        <v>0</v>
      </c>
      <c r="J3083" s="22">
        <v>0</v>
      </c>
      <c r="K3083" s="22">
        <v>-0.54</v>
      </c>
      <c r="L3083" s="22">
        <v>0.06</v>
      </c>
      <c r="M3083" s="10"/>
      <c r="N3083" s="67"/>
      <c r="O3083" s="11"/>
    </row>
    <row r="3084" spans="1:15" x14ac:dyDescent="0.25">
      <c r="A3084" s="6">
        <v>1520</v>
      </c>
      <c r="B3084" s="5" t="s">
        <v>18</v>
      </c>
      <c r="C3084" s="5" t="s">
        <v>17</v>
      </c>
      <c r="D3084" s="5" t="s">
        <v>403</v>
      </c>
      <c r="E3084" s="5" t="s">
        <v>404</v>
      </c>
      <c r="F3084" s="5" t="s">
        <v>19</v>
      </c>
      <c r="G3084" s="22">
        <v>5</v>
      </c>
      <c r="H3084" s="22">
        <v>0</v>
      </c>
      <c r="I3084" s="22">
        <v>0</v>
      </c>
      <c r="J3084" s="22">
        <v>0</v>
      </c>
      <c r="K3084" s="22">
        <v>-4.43</v>
      </c>
      <c r="L3084" s="22">
        <v>0.56999999999999995</v>
      </c>
      <c r="M3084" s="10"/>
      <c r="O3084" s="11"/>
    </row>
    <row r="3085" spans="1:15" x14ac:dyDescent="0.25">
      <c r="A3085" s="6"/>
      <c r="B3085" s="5"/>
      <c r="C3085" s="5"/>
      <c r="D3085" s="5" t="s">
        <v>403</v>
      </c>
      <c r="E3085" s="5" t="s">
        <v>404</v>
      </c>
      <c r="F3085" s="5" t="s">
        <v>19</v>
      </c>
      <c r="G3085" s="14">
        <f t="shared" ref="G3085:L3085" si="779">SUBTOTAL(9,G3082:G3084)</f>
        <v>5.6</v>
      </c>
      <c r="H3085" s="14">
        <f t="shared" si="779"/>
        <v>0</v>
      </c>
      <c r="I3085" s="14">
        <f t="shared" si="779"/>
        <v>0.1</v>
      </c>
      <c r="J3085" s="14">
        <f t="shared" si="779"/>
        <v>0</v>
      </c>
      <c r="K3085" s="14">
        <f t="shared" si="779"/>
        <v>-4.9799999999999995</v>
      </c>
      <c r="L3085" s="14">
        <f t="shared" si="779"/>
        <v>0.72</v>
      </c>
      <c r="M3085" s="10">
        <v>2868</v>
      </c>
      <c r="N3085" s="69"/>
      <c r="O3085" s="11">
        <f>O3080+1</f>
        <v>749</v>
      </c>
    </row>
    <row r="3086" spans="1:15" s="4" customFormat="1" x14ac:dyDescent="0.25">
      <c r="A3086" s="10"/>
      <c r="B3086"/>
      <c r="C3086"/>
      <c r="D3086"/>
      <c r="E3086"/>
      <c r="F3086"/>
      <c r="G3086" s="21"/>
      <c r="H3086" s="21"/>
      <c r="I3086" s="21"/>
      <c r="J3086" s="21"/>
      <c r="K3086" s="21"/>
      <c r="L3086" s="21"/>
      <c r="M3086" s="10"/>
      <c r="N3086" s="67"/>
      <c r="O3086" s="11"/>
    </row>
    <row r="3087" spans="1:15" s="4" customFormat="1" x14ac:dyDescent="0.25">
      <c r="A3087" s="6">
        <v>1521</v>
      </c>
      <c r="B3087" s="5" t="s">
        <v>550</v>
      </c>
      <c r="C3087" s="5" t="s">
        <v>17</v>
      </c>
      <c r="D3087" s="5" t="s">
        <v>403</v>
      </c>
      <c r="E3087" s="5" t="s">
        <v>404</v>
      </c>
      <c r="F3087" s="5" t="s">
        <v>551</v>
      </c>
      <c r="G3087" s="22">
        <v>164.71</v>
      </c>
      <c r="H3087" s="22">
        <v>0</v>
      </c>
      <c r="I3087" s="22">
        <v>0</v>
      </c>
      <c r="J3087" s="22">
        <v>0</v>
      </c>
      <c r="K3087" s="22">
        <v>-3.29</v>
      </c>
      <c r="L3087" s="22">
        <v>161.41999999999999</v>
      </c>
      <c r="M3087" s="10"/>
      <c r="N3087" s="67"/>
      <c r="O3087" s="11"/>
    </row>
    <row r="3088" spans="1:15" x14ac:dyDescent="0.25">
      <c r="A3088" s="6">
        <v>1522</v>
      </c>
      <c r="B3088" s="5" t="s">
        <v>550</v>
      </c>
      <c r="C3088" s="5" t="s">
        <v>13</v>
      </c>
      <c r="D3088" s="5" t="s">
        <v>403</v>
      </c>
      <c r="E3088" s="5" t="s">
        <v>404</v>
      </c>
      <c r="F3088" s="5" t="s">
        <v>551</v>
      </c>
      <c r="G3088" s="22">
        <v>0</v>
      </c>
      <c r="H3088" s="22">
        <v>0</v>
      </c>
      <c r="I3088" s="22">
        <v>0</v>
      </c>
      <c r="J3088" s="22">
        <v>68967.72</v>
      </c>
      <c r="K3088" s="22">
        <v>0</v>
      </c>
      <c r="L3088" s="22">
        <v>68967.72</v>
      </c>
      <c r="M3088" s="10"/>
      <c r="O3088" s="11"/>
    </row>
    <row r="3089" spans="1:15" x14ac:dyDescent="0.25">
      <c r="A3089" s="6">
        <v>1523</v>
      </c>
      <c r="B3089" s="5" t="s">
        <v>550</v>
      </c>
      <c r="C3089" s="5" t="s">
        <v>13</v>
      </c>
      <c r="D3089" s="5" t="s">
        <v>403</v>
      </c>
      <c r="E3089" s="5" t="s">
        <v>404</v>
      </c>
      <c r="F3089" s="5" t="s">
        <v>551</v>
      </c>
      <c r="G3089" s="22">
        <v>0</v>
      </c>
      <c r="H3089" s="22">
        <v>0</v>
      </c>
      <c r="I3089" s="22">
        <v>0</v>
      </c>
      <c r="J3089" s="22">
        <v>181.15</v>
      </c>
      <c r="K3089" s="22">
        <v>0</v>
      </c>
      <c r="L3089" s="22">
        <v>181.15</v>
      </c>
      <c r="M3089" s="10"/>
      <c r="O3089" s="11"/>
    </row>
    <row r="3090" spans="1:15" s="4" customFormat="1" x14ac:dyDescent="0.25">
      <c r="A3090" s="6">
        <v>1524</v>
      </c>
      <c r="B3090" s="5" t="s">
        <v>550</v>
      </c>
      <c r="C3090" s="5" t="s">
        <v>13</v>
      </c>
      <c r="D3090" s="5" t="s">
        <v>403</v>
      </c>
      <c r="E3090" s="5" t="s">
        <v>404</v>
      </c>
      <c r="F3090" s="5" t="s">
        <v>551</v>
      </c>
      <c r="G3090" s="22">
        <v>0</v>
      </c>
      <c r="H3090" s="22">
        <v>0</v>
      </c>
      <c r="I3090" s="22">
        <v>0</v>
      </c>
      <c r="J3090" s="22">
        <v>24552.94</v>
      </c>
      <c r="K3090" s="22">
        <v>0</v>
      </c>
      <c r="L3090" s="22">
        <v>24552.94</v>
      </c>
      <c r="M3090" s="10"/>
      <c r="N3090" s="67"/>
      <c r="O3090" s="11"/>
    </row>
    <row r="3091" spans="1:15" x14ac:dyDescent="0.25">
      <c r="A3091" s="6">
        <v>1525</v>
      </c>
      <c r="B3091" s="5" t="s">
        <v>550</v>
      </c>
      <c r="C3091" s="5" t="s">
        <v>13</v>
      </c>
      <c r="D3091" s="5" t="s">
        <v>403</v>
      </c>
      <c r="E3091" s="5" t="s">
        <v>404</v>
      </c>
      <c r="F3091" s="5" t="s">
        <v>551</v>
      </c>
      <c r="G3091" s="22">
        <v>0</v>
      </c>
      <c r="H3091" s="22">
        <v>0</v>
      </c>
      <c r="I3091" s="22">
        <v>0</v>
      </c>
      <c r="J3091" s="22">
        <v>774.65</v>
      </c>
      <c r="K3091" s="22">
        <v>0</v>
      </c>
      <c r="L3091" s="22">
        <v>774.65</v>
      </c>
      <c r="M3091" s="10"/>
      <c r="O3091" s="11"/>
    </row>
    <row r="3092" spans="1:15" x14ac:dyDescent="0.25">
      <c r="A3092" s="6">
        <v>1526</v>
      </c>
      <c r="B3092" s="5" t="s">
        <v>550</v>
      </c>
      <c r="C3092" s="5" t="s">
        <v>17</v>
      </c>
      <c r="D3092" s="5" t="s">
        <v>403</v>
      </c>
      <c r="E3092" s="5" t="s">
        <v>404</v>
      </c>
      <c r="F3092" s="5" t="s">
        <v>551</v>
      </c>
      <c r="G3092" s="22">
        <v>0</v>
      </c>
      <c r="H3092" s="22">
        <v>0</v>
      </c>
      <c r="I3092" s="22">
        <v>263.64</v>
      </c>
      <c r="J3092" s="22">
        <v>0</v>
      </c>
      <c r="K3092" s="22">
        <v>-5.27</v>
      </c>
      <c r="L3092" s="22">
        <v>258.37</v>
      </c>
      <c r="M3092" s="10"/>
      <c r="O3092" s="11"/>
    </row>
    <row r="3093" spans="1:15" s="4" customFormat="1" x14ac:dyDescent="0.25">
      <c r="A3093" s="6">
        <v>1527</v>
      </c>
      <c r="B3093" s="5" t="s">
        <v>550</v>
      </c>
      <c r="C3093" s="5" t="s">
        <v>17</v>
      </c>
      <c r="D3093" s="5" t="s">
        <v>403</v>
      </c>
      <c r="E3093" s="5" t="s">
        <v>404</v>
      </c>
      <c r="F3093" s="5" t="s">
        <v>551</v>
      </c>
      <c r="G3093" s="22">
        <v>985253.16</v>
      </c>
      <c r="H3093" s="22">
        <v>0</v>
      </c>
      <c r="I3093" s="22">
        <v>0</v>
      </c>
      <c r="J3093" s="22">
        <v>0</v>
      </c>
      <c r="K3093" s="22">
        <v>-19705.060000000001</v>
      </c>
      <c r="L3093" s="22">
        <v>965548.1</v>
      </c>
      <c r="M3093" s="10"/>
      <c r="N3093" s="67"/>
      <c r="O3093" s="11"/>
    </row>
    <row r="3094" spans="1:15" s="4" customFormat="1" x14ac:dyDescent="0.25">
      <c r="A3094" s="6">
        <v>1528</v>
      </c>
      <c r="B3094" s="5" t="s">
        <v>550</v>
      </c>
      <c r="C3094" s="5" t="s">
        <v>17</v>
      </c>
      <c r="D3094" s="5" t="s">
        <v>403</v>
      </c>
      <c r="E3094" s="5" t="s">
        <v>404</v>
      </c>
      <c r="F3094" s="5" t="s">
        <v>551</v>
      </c>
      <c r="G3094" s="22">
        <v>2587.84</v>
      </c>
      <c r="H3094" s="22">
        <v>0</v>
      </c>
      <c r="I3094" s="22">
        <v>0</v>
      </c>
      <c r="J3094" s="22">
        <v>0</v>
      </c>
      <c r="K3094" s="22">
        <v>-51.76</v>
      </c>
      <c r="L3094" s="22">
        <v>2536.08</v>
      </c>
      <c r="M3094" s="10"/>
      <c r="N3094" s="67"/>
      <c r="O3094" s="11"/>
    </row>
    <row r="3095" spans="1:15" x14ac:dyDescent="0.25">
      <c r="A3095" s="6">
        <v>1529</v>
      </c>
      <c r="B3095" s="5" t="s">
        <v>550</v>
      </c>
      <c r="C3095" s="5" t="s">
        <v>17</v>
      </c>
      <c r="D3095" s="5" t="s">
        <v>403</v>
      </c>
      <c r="E3095" s="5" t="s">
        <v>404</v>
      </c>
      <c r="F3095" s="5" t="s">
        <v>551</v>
      </c>
      <c r="G3095" s="22">
        <v>350756.31</v>
      </c>
      <c r="H3095" s="22">
        <v>0</v>
      </c>
      <c r="I3095" s="22">
        <v>0</v>
      </c>
      <c r="J3095" s="22">
        <v>0</v>
      </c>
      <c r="K3095" s="22">
        <v>-7015.13</v>
      </c>
      <c r="L3095" s="22">
        <v>343741.18</v>
      </c>
      <c r="M3095" s="10"/>
      <c r="O3095" s="11"/>
    </row>
    <row r="3096" spans="1:15" x14ac:dyDescent="0.25">
      <c r="A3096" s="6">
        <v>1530</v>
      </c>
      <c r="B3096" s="5" t="s">
        <v>550</v>
      </c>
      <c r="C3096" s="5" t="s">
        <v>17</v>
      </c>
      <c r="D3096" s="5" t="s">
        <v>403</v>
      </c>
      <c r="E3096" s="5" t="s">
        <v>404</v>
      </c>
      <c r="F3096" s="5" t="s">
        <v>551</v>
      </c>
      <c r="G3096" s="22">
        <v>11066.46</v>
      </c>
      <c r="H3096" s="22">
        <v>0</v>
      </c>
      <c r="I3096" s="22">
        <v>0</v>
      </c>
      <c r="J3096" s="22">
        <v>0</v>
      </c>
      <c r="K3096" s="22">
        <v>-221.33</v>
      </c>
      <c r="L3096" s="22">
        <v>10845.13</v>
      </c>
      <c r="M3096" s="10"/>
      <c r="O3096" s="11"/>
    </row>
    <row r="3097" spans="1:15" s="4" customFormat="1" x14ac:dyDescent="0.25">
      <c r="A3097" s="6">
        <v>1531</v>
      </c>
      <c r="B3097" s="5" t="s">
        <v>550</v>
      </c>
      <c r="C3097" s="5" t="s">
        <v>13</v>
      </c>
      <c r="D3097" s="5" t="s">
        <v>403</v>
      </c>
      <c r="E3097" s="5" t="s">
        <v>404</v>
      </c>
      <c r="F3097" s="5" t="s">
        <v>551</v>
      </c>
      <c r="G3097" s="22">
        <v>0</v>
      </c>
      <c r="H3097" s="22">
        <v>0</v>
      </c>
      <c r="I3097" s="22">
        <v>0</v>
      </c>
      <c r="J3097" s="22">
        <v>11.53</v>
      </c>
      <c r="K3097" s="22">
        <v>0</v>
      </c>
      <c r="L3097" s="22">
        <v>11.53</v>
      </c>
      <c r="M3097" s="10"/>
      <c r="N3097" s="67"/>
      <c r="O3097" s="11"/>
    </row>
    <row r="3098" spans="1:15" s="4" customFormat="1" x14ac:dyDescent="0.25">
      <c r="A3098" s="6"/>
      <c r="B3098" s="5"/>
      <c r="C3098" s="5"/>
      <c r="D3098" s="5" t="s">
        <v>403</v>
      </c>
      <c r="E3098" s="5" t="s">
        <v>404</v>
      </c>
      <c r="F3098" s="5" t="s">
        <v>551</v>
      </c>
      <c r="G3098" s="14">
        <f t="shared" ref="G3098:L3098" si="780">SUBTOTAL(9,G3087:G3097)</f>
        <v>1349828.48</v>
      </c>
      <c r="H3098" s="14">
        <f t="shared" si="780"/>
        <v>0</v>
      </c>
      <c r="I3098" s="14">
        <f t="shared" si="780"/>
        <v>263.64</v>
      </c>
      <c r="J3098" s="14">
        <f t="shared" si="780"/>
        <v>94487.989999999991</v>
      </c>
      <c r="K3098" s="14">
        <f t="shared" si="780"/>
        <v>-27001.840000000004</v>
      </c>
      <c r="L3098" s="14">
        <f t="shared" si="780"/>
        <v>1417578.2699999998</v>
      </c>
      <c r="M3098" s="10">
        <v>2869</v>
      </c>
      <c r="N3098" s="69"/>
      <c r="O3098" s="11">
        <f>O3085+1</f>
        <v>750</v>
      </c>
    </row>
    <row r="3099" spans="1:15" x14ac:dyDescent="0.25">
      <c r="A3099" s="10"/>
      <c r="G3099" s="21"/>
      <c r="H3099" s="21"/>
      <c r="I3099" s="21"/>
      <c r="J3099" s="21"/>
      <c r="K3099" s="21"/>
      <c r="L3099" s="21"/>
      <c r="M3099" s="10"/>
      <c r="O3099" s="11"/>
    </row>
    <row r="3100" spans="1:15" x14ac:dyDescent="0.25">
      <c r="A3100" s="6">
        <v>1532</v>
      </c>
      <c r="B3100" s="5" t="s">
        <v>550</v>
      </c>
      <c r="C3100" s="5" t="s">
        <v>17</v>
      </c>
      <c r="D3100" s="5" t="s">
        <v>403</v>
      </c>
      <c r="E3100" s="5" t="s">
        <v>404</v>
      </c>
      <c r="F3100" s="5" t="s">
        <v>552</v>
      </c>
      <c r="G3100" s="22">
        <v>0.01</v>
      </c>
      <c r="H3100" s="22">
        <v>0</v>
      </c>
      <c r="I3100" s="22">
        <v>0</v>
      </c>
      <c r="J3100" s="22">
        <v>0</v>
      </c>
      <c r="K3100" s="22">
        <v>0</v>
      </c>
      <c r="L3100" s="22">
        <v>0.01</v>
      </c>
      <c r="M3100" s="10"/>
      <c r="O3100" s="11"/>
    </row>
    <row r="3101" spans="1:15" s="4" customFormat="1" x14ac:dyDescent="0.25">
      <c r="A3101" s="6">
        <v>1533</v>
      </c>
      <c r="B3101" s="5" t="s">
        <v>550</v>
      </c>
      <c r="C3101" s="5" t="s">
        <v>13</v>
      </c>
      <c r="D3101" s="5" t="s">
        <v>403</v>
      </c>
      <c r="E3101" s="5" t="s">
        <v>404</v>
      </c>
      <c r="F3101" s="5" t="s">
        <v>552</v>
      </c>
      <c r="G3101" s="22">
        <v>0</v>
      </c>
      <c r="H3101" s="22">
        <v>0</v>
      </c>
      <c r="I3101" s="22">
        <v>0</v>
      </c>
      <c r="J3101" s="22">
        <v>4.96</v>
      </c>
      <c r="K3101" s="22">
        <v>0</v>
      </c>
      <c r="L3101" s="22">
        <v>4.96</v>
      </c>
      <c r="M3101" s="10"/>
      <c r="N3101" s="67"/>
      <c r="O3101" s="11"/>
    </row>
    <row r="3102" spans="1:15" s="4" customFormat="1" x14ac:dyDescent="0.25">
      <c r="A3102" s="6">
        <v>1534</v>
      </c>
      <c r="B3102" s="5" t="s">
        <v>550</v>
      </c>
      <c r="C3102" s="5" t="s">
        <v>13</v>
      </c>
      <c r="D3102" s="5" t="s">
        <v>403</v>
      </c>
      <c r="E3102" s="5" t="s">
        <v>404</v>
      </c>
      <c r="F3102" s="5" t="s">
        <v>552</v>
      </c>
      <c r="G3102" s="22">
        <v>0</v>
      </c>
      <c r="H3102" s="22">
        <v>0</v>
      </c>
      <c r="I3102" s="22">
        <v>0</v>
      </c>
      <c r="J3102" s="22">
        <v>0.01</v>
      </c>
      <c r="K3102" s="22">
        <v>0</v>
      </c>
      <c r="L3102" s="22">
        <v>0.01</v>
      </c>
      <c r="M3102" s="10"/>
      <c r="N3102" s="67"/>
      <c r="O3102" s="11"/>
    </row>
    <row r="3103" spans="1:15" x14ac:dyDescent="0.25">
      <c r="A3103" s="6">
        <v>1535</v>
      </c>
      <c r="B3103" s="5" t="s">
        <v>550</v>
      </c>
      <c r="C3103" s="5" t="s">
        <v>13</v>
      </c>
      <c r="D3103" s="5" t="s">
        <v>403</v>
      </c>
      <c r="E3103" s="5" t="s">
        <v>404</v>
      </c>
      <c r="F3103" s="5" t="s">
        <v>552</v>
      </c>
      <c r="G3103" s="22">
        <v>0</v>
      </c>
      <c r="H3103" s="22">
        <v>0</v>
      </c>
      <c r="I3103" s="22">
        <v>0</v>
      </c>
      <c r="J3103" s="22">
        <v>1.77</v>
      </c>
      <c r="K3103" s="22">
        <v>0</v>
      </c>
      <c r="L3103" s="22">
        <v>1.77</v>
      </c>
      <c r="M3103" s="10"/>
      <c r="O3103" s="11"/>
    </row>
    <row r="3104" spans="1:15" x14ac:dyDescent="0.25">
      <c r="A3104" s="6">
        <v>1536</v>
      </c>
      <c r="B3104" s="5" t="s">
        <v>550</v>
      </c>
      <c r="C3104" s="5" t="s">
        <v>13</v>
      </c>
      <c r="D3104" s="5" t="s">
        <v>403</v>
      </c>
      <c r="E3104" s="5" t="s">
        <v>404</v>
      </c>
      <c r="F3104" s="5" t="s">
        <v>552</v>
      </c>
      <c r="G3104" s="22">
        <v>0</v>
      </c>
      <c r="H3104" s="22">
        <v>0</v>
      </c>
      <c r="I3104" s="22">
        <v>0</v>
      </c>
      <c r="J3104" s="22">
        <v>0.06</v>
      </c>
      <c r="K3104" s="22">
        <v>0</v>
      </c>
      <c r="L3104" s="22">
        <v>0.06</v>
      </c>
      <c r="M3104" s="10"/>
      <c r="O3104" s="11"/>
    </row>
    <row r="3105" spans="1:15" s="4" customFormat="1" x14ac:dyDescent="0.25">
      <c r="A3105" s="6">
        <v>1537</v>
      </c>
      <c r="B3105" s="5" t="s">
        <v>550</v>
      </c>
      <c r="C3105" s="5" t="s">
        <v>17</v>
      </c>
      <c r="D3105" s="5" t="s">
        <v>403</v>
      </c>
      <c r="E3105" s="5" t="s">
        <v>404</v>
      </c>
      <c r="F3105" s="5" t="s">
        <v>552</v>
      </c>
      <c r="G3105" s="22">
        <v>0</v>
      </c>
      <c r="H3105" s="22">
        <v>0</v>
      </c>
      <c r="I3105" s="22">
        <v>0.02</v>
      </c>
      <c r="J3105" s="22">
        <v>0</v>
      </c>
      <c r="K3105" s="22">
        <v>0</v>
      </c>
      <c r="L3105" s="22">
        <v>0.02</v>
      </c>
      <c r="M3105" s="10"/>
      <c r="N3105" s="67"/>
      <c r="O3105" s="11"/>
    </row>
    <row r="3106" spans="1:15" x14ac:dyDescent="0.25">
      <c r="A3106" s="6">
        <v>1538</v>
      </c>
      <c r="B3106" s="5" t="s">
        <v>550</v>
      </c>
      <c r="C3106" s="5" t="s">
        <v>17</v>
      </c>
      <c r="D3106" s="5" t="s">
        <v>403</v>
      </c>
      <c r="E3106" s="5" t="s">
        <v>404</v>
      </c>
      <c r="F3106" s="5" t="s">
        <v>552</v>
      </c>
      <c r="G3106" s="22">
        <v>70.87</v>
      </c>
      <c r="H3106" s="22">
        <v>0</v>
      </c>
      <c r="I3106" s="22">
        <v>0</v>
      </c>
      <c r="J3106" s="22">
        <v>0</v>
      </c>
      <c r="K3106" s="22">
        <v>-1.42</v>
      </c>
      <c r="L3106" s="22">
        <v>69.45</v>
      </c>
      <c r="M3106" s="10"/>
      <c r="O3106" s="11"/>
    </row>
    <row r="3107" spans="1:15" x14ac:dyDescent="0.25">
      <c r="A3107" s="6">
        <v>1539</v>
      </c>
      <c r="B3107" s="5" t="s">
        <v>550</v>
      </c>
      <c r="C3107" s="5" t="s">
        <v>17</v>
      </c>
      <c r="D3107" s="5" t="s">
        <v>403</v>
      </c>
      <c r="E3107" s="5" t="s">
        <v>404</v>
      </c>
      <c r="F3107" s="5" t="s">
        <v>552</v>
      </c>
      <c r="G3107" s="22">
        <v>0.19</v>
      </c>
      <c r="H3107" s="22">
        <v>0</v>
      </c>
      <c r="I3107" s="22">
        <v>0</v>
      </c>
      <c r="J3107" s="22">
        <v>0</v>
      </c>
      <c r="K3107" s="22">
        <v>0</v>
      </c>
      <c r="L3107" s="22">
        <v>0.19</v>
      </c>
      <c r="M3107" s="10"/>
      <c r="O3107" s="11"/>
    </row>
    <row r="3108" spans="1:15" s="4" customFormat="1" x14ac:dyDescent="0.25">
      <c r="A3108" s="6">
        <v>1540</v>
      </c>
      <c r="B3108" s="5" t="s">
        <v>550</v>
      </c>
      <c r="C3108" s="5" t="s">
        <v>17</v>
      </c>
      <c r="D3108" s="5" t="s">
        <v>403</v>
      </c>
      <c r="E3108" s="5" t="s">
        <v>404</v>
      </c>
      <c r="F3108" s="5" t="s">
        <v>552</v>
      </c>
      <c r="G3108" s="22">
        <v>25.23</v>
      </c>
      <c r="H3108" s="22">
        <v>0</v>
      </c>
      <c r="I3108" s="22">
        <v>0</v>
      </c>
      <c r="J3108" s="22">
        <v>0</v>
      </c>
      <c r="K3108" s="22">
        <v>-0.5</v>
      </c>
      <c r="L3108" s="22">
        <v>24.73</v>
      </c>
      <c r="M3108" s="10"/>
      <c r="N3108" s="67"/>
      <c r="O3108" s="11"/>
    </row>
    <row r="3109" spans="1:15" s="4" customFormat="1" x14ac:dyDescent="0.25">
      <c r="A3109" s="6">
        <v>1541</v>
      </c>
      <c r="B3109" s="5" t="s">
        <v>550</v>
      </c>
      <c r="C3109" s="5" t="s">
        <v>17</v>
      </c>
      <c r="D3109" s="5" t="s">
        <v>403</v>
      </c>
      <c r="E3109" s="5" t="s">
        <v>404</v>
      </c>
      <c r="F3109" s="5" t="s">
        <v>552</v>
      </c>
      <c r="G3109" s="22">
        <v>0.8</v>
      </c>
      <c r="H3109" s="22">
        <v>0</v>
      </c>
      <c r="I3109" s="22">
        <v>0</v>
      </c>
      <c r="J3109" s="22">
        <v>0</v>
      </c>
      <c r="K3109" s="22">
        <v>-0.02</v>
      </c>
      <c r="L3109" s="22">
        <v>0.78</v>
      </c>
      <c r="M3109" s="10"/>
      <c r="N3109" s="67"/>
      <c r="O3109" s="11"/>
    </row>
    <row r="3110" spans="1:15" x14ac:dyDescent="0.25">
      <c r="A3110" s="6">
        <v>1542</v>
      </c>
      <c r="B3110" s="5" t="s">
        <v>550</v>
      </c>
      <c r="C3110" s="5" t="s">
        <v>13</v>
      </c>
      <c r="D3110" s="5" t="s">
        <v>403</v>
      </c>
      <c r="E3110" s="5" t="s">
        <v>404</v>
      </c>
      <c r="F3110" s="5" t="s">
        <v>552</v>
      </c>
      <c r="G3110" s="22">
        <v>0</v>
      </c>
      <c r="H3110" s="22">
        <v>0</v>
      </c>
      <c r="I3110" s="22">
        <v>0</v>
      </c>
      <c r="J3110" s="22">
        <v>0</v>
      </c>
      <c r="K3110" s="22">
        <v>0</v>
      </c>
      <c r="L3110" s="22">
        <v>0</v>
      </c>
      <c r="M3110" s="10"/>
      <c r="O3110" s="11"/>
    </row>
    <row r="3111" spans="1:15" x14ac:dyDescent="0.25">
      <c r="A3111" s="6"/>
      <c r="B3111" s="5"/>
      <c r="C3111" s="5"/>
      <c r="D3111" s="5" t="s">
        <v>403</v>
      </c>
      <c r="E3111" s="5" t="s">
        <v>404</v>
      </c>
      <c r="F3111" s="5" t="s">
        <v>552</v>
      </c>
      <c r="G3111" s="14">
        <f t="shared" ref="G3111:L3111" si="781">SUBTOTAL(9,G3100:G3110)</f>
        <v>97.100000000000009</v>
      </c>
      <c r="H3111" s="14">
        <f t="shared" si="781"/>
        <v>0</v>
      </c>
      <c r="I3111" s="14">
        <f t="shared" si="781"/>
        <v>0.02</v>
      </c>
      <c r="J3111" s="14">
        <f t="shared" si="781"/>
        <v>6.8</v>
      </c>
      <c r="K3111" s="14">
        <f t="shared" si="781"/>
        <v>-1.94</v>
      </c>
      <c r="L3111" s="14">
        <f t="shared" si="781"/>
        <v>101.98</v>
      </c>
      <c r="M3111" s="10">
        <v>2870</v>
      </c>
      <c r="N3111" s="69"/>
      <c r="O3111" s="11">
        <f>O3098+1</f>
        <v>751</v>
      </c>
    </row>
    <row r="3112" spans="1:15" s="4" customFormat="1" x14ac:dyDescent="0.25">
      <c r="A3112" s="10"/>
      <c r="B3112"/>
      <c r="C3112"/>
      <c r="D3112"/>
      <c r="E3112"/>
      <c r="F3112"/>
      <c r="G3112" s="21"/>
      <c r="H3112" s="21"/>
      <c r="I3112" s="21"/>
      <c r="J3112" s="21"/>
      <c r="K3112" s="21"/>
      <c r="L3112" s="21"/>
      <c r="M3112" s="10"/>
      <c r="N3112" s="67"/>
      <c r="O3112" s="11"/>
    </row>
    <row r="3113" spans="1:15" x14ac:dyDescent="0.25">
      <c r="A3113" s="6">
        <v>1543</v>
      </c>
      <c r="B3113" s="5" t="s">
        <v>29</v>
      </c>
      <c r="C3113" s="5" t="s">
        <v>17</v>
      </c>
      <c r="D3113" s="5" t="s">
        <v>629</v>
      </c>
      <c r="E3113" s="5" t="s">
        <v>630</v>
      </c>
      <c r="F3113" s="5" t="s">
        <v>30</v>
      </c>
      <c r="G3113" s="22">
        <v>0.01</v>
      </c>
      <c r="H3113" s="22">
        <v>0</v>
      </c>
      <c r="I3113" s="22">
        <v>0</v>
      </c>
      <c r="J3113" s="22">
        <v>0</v>
      </c>
      <c r="K3113" s="22">
        <v>0</v>
      </c>
      <c r="L3113" s="22">
        <v>0.01</v>
      </c>
      <c r="M3113" s="10"/>
      <c r="O3113" s="11"/>
    </row>
    <row r="3114" spans="1:15" x14ac:dyDescent="0.25">
      <c r="A3114" s="6"/>
      <c r="B3114" s="5"/>
      <c r="C3114" s="5"/>
      <c r="D3114" s="5" t="s">
        <v>629</v>
      </c>
      <c r="E3114" s="5" t="s">
        <v>630</v>
      </c>
      <c r="F3114" s="5" t="s">
        <v>30</v>
      </c>
      <c r="G3114" s="14">
        <f t="shared" ref="G3114:L3114" si="782">SUBTOTAL(9,G3113:G3113)</f>
        <v>0.01</v>
      </c>
      <c r="H3114" s="14">
        <f t="shared" si="782"/>
        <v>0</v>
      </c>
      <c r="I3114" s="14">
        <f t="shared" si="782"/>
        <v>0</v>
      </c>
      <c r="J3114" s="14">
        <f t="shared" si="782"/>
        <v>0</v>
      </c>
      <c r="K3114" s="14">
        <f t="shared" si="782"/>
        <v>0</v>
      </c>
      <c r="L3114" s="14">
        <f t="shared" si="782"/>
        <v>0.01</v>
      </c>
      <c r="M3114" s="10">
        <v>2871</v>
      </c>
      <c r="N3114" s="69"/>
      <c r="O3114" s="11">
        <f>O3111+1</f>
        <v>752</v>
      </c>
    </row>
    <row r="3115" spans="1:15" s="4" customFormat="1" x14ac:dyDescent="0.25">
      <c r="A3115" s="10"/>
      <c r="B3115"/>
      <c r="C3115"/>
      <c r="D3115"/>
      <c r="E3115"/>
      <c r="F3115"/>
      <c r="G3115" s="21"/>
      <c r="H3115" s="21"/>
      <c r="I3115" s="21"/>
      <c r="J3115" s="21"/>
      <c r="K3115" s="21"/>
      <c r="L3115" s="21"/>
      <c r="M3115" s="10"/>
      <c r="N3115" s="67"/>
      <c r="O3115" s="11"/>
    </row>
    <row r="3116" spans="1:15" x14ac:dyDescent="0.25">
      <c r="A3116" s="6">
        <v>1544</v>
      </c>
      <c r="B3116" s="5" t="s">
        <v>18</v>
      </c>
      <c r="C3116" s="5" t="s">
        <v>17</v>
      </c>
      <c r="D3116" s="5" t="s">
        <v>405</v>
      </c>
      <c r="E3116" s="5" t="s">
        <v>406</v>
      </c>
      <c r="F3116" s="5" t="s">
        <v>19</v>
      </c>
      <c r="G3116" s="22">
        <v>0</v>
      </c>
      <c r="H3116" s="22">
        <v>0</v>
      </c>
      <c r="I3116" s="22">
        <v>0</v>
      </c>
      <c r="J3116" s="22">
        <v>0</v>
      </c>
      <c r="K3116" s="22">
        <v>0</v>
      </c>
      <c r="L3116" s="22">
        <v>0</v>
      </c>
      <c r="M3116" s="10"/>
      <c r="O3116" s="11"/>
    </row>
    <row r="3117" spans="1:15" x14ac:dyDescent="0.25">
      <c r="A3117" s="28"/>
      <c r="B3117" s="29"/>
      <c r="C3117" s="29"/>
      <c r="D3117" s="29"/>
      <c r="E3117" s="29"/>
      <c r="F3117" s="29" t="s">
        <v>657</v>
      </c>
      <c r="G3117" s="31">
        <f t="shared" ref="G3117:L3117" si="783">SUBTOTAL(9,G3116:G3116)</f>
        <v>0</v>
      </c>
      <c r="H3117" s="31">
        <f t="shared" si="783"/>
        <v>0</v>
      </c>
      <c r="I3117" s="31">
        <f t="shared" si="783"/>
        <v>0</v>
      </c>
      <c r="J3117" s="31">
        <f t="shared" si="783"/>
        <v>0</v>
      </c>
      <c r="K3117" s="31">
        <f t="shared" si="783"/>
        <v>0</v>
      </c>
      <c r="L3117" s="31">
        <f t="shared" si="783"/>
        <v>0</v>
      </c>
      <c r="M3117" s="42"/>
      <c r="O3117" s="50"/>
    </row>
    <row r="3118" spans="1:15" s="4" customFormat="1" x14ac:dyDescent="0.25">
      <c r="A3118" s="10"/>
      <c r="B3118"/>
      <c r="C3118"/>
      <c r="D3118"/>
      <c r="E3118"/>
      <c r="F3118"/>
      <c r="G3118" s="21"/>
      <c r="H3118" s="21"/>
      <c r="I3118" s="21"/>
      <c r="J3118" s="21"/>
      <c r="K3118" s="21"/>
      <c r="L3118" s="21"/>
      <c r="M3118" s="10"/>
      <c r="N3118" s="67"/>
      <c r="O3118" s="11"/>
    </row>
    <row r="3119" spans="1:15" s="4" customFormat="1" x14ac:dyDescent="0.25">
      <c r="A3119" s="6">
        <v>1545</v>
      </c>
      <c r="B3119" s="5" t="s">
        <v>559</v>
      </c>
      <c r="C3119" s="5" t="s">
        <v>17</v>
      </c>
      <c r="D3119" s="5" t="s">
        <v>631</v>
      </c>
      <c r="E3119" s="5" t="s">
        <v>406</v>
      </c>
      <c r="F3119" s="5" t="s">
        <v>560</v>
      </c>
      <c r="G3119" s="22">
        <v>0</v>
      </c>
      <c r="H3119" s="22">
        <v>0</v>
      </c>
      <c r="I3119" s="22">
        <v>0.03</v>
      </c>
      <c r="J3119" s="22">
        <v>0</v>
      </c>
      <c r="K3119" s="22">
        <v>0</v>
      </c>
      <c r="L3119" s="22">
        <v>0.03</v>
      </c>
      <c r="M3119" s="10"/>
      <c r="N3119" s="67"/>
      <c r="O3119" s="11"/>
    </row>
    <row r="3120" spans="1:15" x14ac:dyDescent="0.25">
      <c r="A3120" s="6"/>
      <c r="B3120" s="5"/>
      <c r="C3120" s="5"/>
      <c r="D3120" s="5" t="s">
        <v>405</v>
      </c>
      <c r="E3120" s="5" t="s">
        <v>406</v>
      </c>
      <c r="F3120" s="5" t="s">
        <v>560</v>
      </c>
      <c r="G3120" s="14">
        <f t="shared" ref="G3120:L3120" si="784">SUBTOTAL(9,G3119:G3119)</f>
        <v>0</v>
      </c>
      <c r="H3120" s="14">
        <f t="shared" si="784"/>
        <v>0</v>
      </c>
      <c r="I3120" s="14">
        <f t="shared" si="784"/>
        <v>0.03</v>
      </c>
      <c r="J3120" s="14">
        <f t="shared" si="784"/>
        <v>0</v>
      </c>
      <c r="K3120" s="14">
        <f t="shared" si="784"/>
        <v>0</v>
      </c>
      <c r="L3120" s="14">
        <f t="shared" si="784"/>
        <v>0.03</v>
      </c>
      <c r="M3120" s="10">
        <v>2872</v>
      </c>
      <c r="N3120" s="69"/>
      <c r="O3120" s="11">
        <f>O3114+1</f>
        <v>753</v>
      </c>
    </row>
    <row r="3121" spans="1:15" x14ac:dyDescent="0.25">
      <c r="A3121" s="10"/>
      <c r="G3121" s="21"/>
      <c r="H3121" s="21"/>
      <c r="I3121" s="21"/>
      <c r="J3121" s="21"/>
      <c r="K3121" s="21"/>
      <c r="L3121" s="21"/>
      <c r="M3121" s="10"/>
      <c r="O3121" s="11"/>
    </row>
    <row r="3122" spans="1:15" s="4" customFormat="1" x14ac:dyDescent="0.25">
      <c r="A3122" s="6">
        <v>1546</v>
      </c>
      <c r="B3122" s="5" t="s">
        <v>550</v>
      </c>
      <c r="C3122" s="5" t="s">
        <v>17</v>
      </c>
      <c r="D3122" s="5" t="s">
        <v>631</v>
      </c>
      <c r="E3122" s="5" t="s">
        <v>406</v>
      </c>
      <c r="F3122" s="5" t="s">
        <v>551</v>
      </c>
      <c r="G3122" s="22">
        <v>0</v>
      </c>
      <c r="H3122" s="22">
        <v>0</v>
      </c>
      <c r="I3122" s="22">
        <v>93.26</v>
      </c>
      <c r="J3122" s="22">
        <v>0</v>
      </c>
      <c r="K3122" s="22">
        <v>-1.87</v>
      </c>
      <c r="L3122" s="22">
        <v>91.39</v>
      </c>
      <c r="M3122" s="10"/>
      <c r="N3122" s="67"/>
      <c r="O3122" s="11"/>
    </row>
    <row r="3123" spans="1:15" s="4" customFormat="1" x14ac:dyDescent="0.25">
      <c r="A3123" s="6">
        <v>1547</v>
      </c>
      <c r="B3123" s="5" t="s">
        <v>550</v>
      </c>
      <c r="C3123" s="5" t="s">
        <v>17</v>
      </c>
      <c r="D3123" s="5" t="s">
        <v>631</v>
      </c>
      <c r="E3123" s="5" t="s">
        <v>406</v>
      </c>
      <c r="F3123" s="5" t="s">
        <v>551</v>
      </c>
      <c r="G3123" s="22">
        <v>0</v>
      </c>
      <c r="H3123" s="22">
        <v>0</v>
      </c>
      <c r="I3123" s="22">
        <v>63.09</v>
      </c>
      <c r="J3123" s="22">
        <v>0</v>
      </c>
      <c r="K3123" s="22">
        <v>-1.26</v>
      </c>
      <c r="L3123" s="22">
        <v>61.83</v>
      </c>
      <c r="M3123" s="10"/>
      <c r="N3123" s="67"/>
      <c r="O3123" s="11"/>
    </row>
    <row r="3124" spans="1:15" x14ac:dyDescent="0.25">
      <c r="A3124" s="6"/>
      <c r="B3124" s="5"/>
      <c r="C3124" s="5"/>
      <c r="D3124" s="5" t="s">
        <v>405</v>
      </c>
      <c r="E3124" s="5" t="s">
        <v>406</v>
      </c>
      <c r="F3124" s="5" t="s">
        <v>551</v>
      </c>
      <c r="G3124" s="14">
        <f t="shared" ref="G3124:L3124" si="785">SUBTOTAL(9,G3122:G3123)</f>
        <v>0</v>
      </c>
      <c r="H3124" s="14">
        <f t="shared" si="785"/>
        <v>0</v>
      </c>
      <c r="I3124" s="14">
        <f t="shared" si="785"/>
        <v>156.35000000000002</v>
      </c>
      <c r="J3124" s="14">
        <f t="shared" si="785"/>
        <v>0</v>
      </c>
      <c r="K3124" s="14">
        <f t="shared" si="785"/>
        <v>-3.13</v>
      </c>
      <c r="L3124" s="14">
        <f t="shared" si="785"/>
        <v>153.22</v>
      </c>
      <c r="M3124" s="10">
        <v>2873</v>
      </c>
      <c r="N3124" s="69"/>
      <c r="O3124" s="11">
        <f>O3120+1</f>
        <v>754</v>
      </c>
    </row>
    <row r="3125" spans="1:15" x14ac:dyDescent="0.25">
      <c r="A3125" s="10"/>
      <c r="G3125" s="21"/>
      <c r="H3125" s="21"/>
      <c r="I3125" s="21"/>
      <c r="J3125" s="21"/>
      <c r="K3125" s="21"/>
      <c r="L3125" s="21"/>
      <c r="M3125" s="10"/>
      <c r="O3125" s="11"/>
    </row>
    <row r="3126" spans="1:15" s="4" customFormat="1" x14ac:dyDescent="0.25">
      <c r="A3126" s="6">
        <v>1548</v>
      </c>
      <c r="B3126" s="5" t="s">
        <v>550</v>
      </c>
      <c r="C3126" s="5" t="s">
        <v>17</v>
      </c>
      <c r="D3126" s="5" t="s">
        <v>631</v>
      </c>
      <c r="E3126" s="5" t="s">
        <v>406</v>
      </c>
      <c r="F3126" s="5" t="s">
        <v>552</v>
      </c>
      <c r="G3126" s="22">
        <v>0</v>
      </c>
      <c r="H3126" s="22">
        <v>0</v>
      </c>
      <c r="I3126" s="22">
        <v>0.01</v>
      </c>
      <c r="J3126" s="22">
        <v>0</v>
      </c>
      <c r="K3126" s="22">
        <v>0</v>
      </c>
      <c r="L3126" s="22">
        <v>0.01</v>
      </c>
      <c r="M3126" s="10"/>
      <c r="N3126" s="67"/>
      <c r="O3126" s="11"/>
    </row>
    <row r="3127" spans="1:15" s="4" customFormat="1" x14ac:dyDescent="0.25">
      <c r="A3127" s="6"/>
      <c r="B3127" s="5"/>
      <c r="C3127" s="5"/>
      <c r="D3127" s="5" t="s">
        <v>405</v>
      </c>
      <c r="E3127" s="5" t="s">
        <v>406</v>
      </c>
      <c r="F3127" s="5" t="s">
        <v>552</v>
      </c>
      <c r="G3127" s="14">
        <f t="shared" ref="G3127:L3127" si="786">SUBTOTAL(9,G3126:G3126)</f>
        <v>0</v>
      </c>
      <c r="H3127" s="14">
        <f t="shared" si="786"/>
        <v>0</v>
      </c>
      <c r="I3127" s="14">
        <f t="shared" si="786"/>
        <v>0.01</v>
      </c>
      <c r="J3127" s="14">
        <f t="shared" si="786"/>
        <v>0</v>
      </c>
      <c r="K3127" s="14">
        <f t="shared" si="786"/>
        <v>0</v>
      </c>
      <c r="L3127" s="14">
        <f t="shared" si="786"/>
        <v>0.01</v>
      </c>
      <c r="M3127" s="10">
        <v>2874</v>
      </c>
      <c r="N3127" s="69"/>
      <c r="O3127" s="11">
        <f>O3124+1</f>
        <v>755</v>
      </c>
    </row>
    <row r="3128" spans="1:15" x14ac:dyDescent="0.25">
      <c r="A3128" s="10"/>
      <c r="G3128" s="21"/>
      <c r="H3128" s="21"/>
      <c r="I3128" s="21"/>
      <c r="J3128" s="21"/>
      <c r="K3128" s="21"/>
      <c r="L3128" s="21"/>
      <c r="M3128" s="10"/>
      <c r="O3128" s="11"/>
    </row>
    <row r="3129" spans="1:15" x14ac:dyDescent="0.25">
      <c r="A3129" s="6">
        <v>1549</v>
      </c>
      <c r="B3129" s="5" t="s">
        <v>559</v>
      </c>
      <c r="C3129" s="5" t="s">
        <v>17</v>
      </c>
      <c r="D3129" s="5" t="s">
        <v>407</v>
      </c>
      <c r="E3129" s="5" t="s">
        <v>408</v>
      </c>
      <c r="F3129" s="5" t="s">
        <v>560</v>
      </c>
      <c r="G3129" s="22">
        <v>0.06</v>
      </c>
      <c r="H3129" s="22">
        <v>0</v>
      </c>
      <c r="I3129" s="22">
        <v>0</v>
      </c>
      <c r="J3129" s="22">
        <v>0</v>
      </c>
      <c r="K3129" s="22">
        <v>0</v>
      </c>
      <c r="L3129" s="22">
        <v>0.06</v>
      </c>
      <c r="M3129" s="10"/>
      <c r="O3129" s="11"/>
    </row>
    <row r="3130" spans="1:15" s="4" customFormat="1" x14ac:dyDescent="0.25">
      <c r="A3130" s="6">
        <v>1550</v>
      </c>
      <c r="B3130" s="5" t="s">
        <v>559</v>
      </c>
      <c r="C3130" s="5" t="s">
        <v>13</v>
      </c>
      <c r="D3130" s="5" t="s">
        <v>407</v>
      </c>
      <c r="E3130" s="5" t="s">
        <v>408</v>
      </c>
      <c r="F3130" s="5" t="s">
        <v>560</v>
      </c>
      <c r="G3130" s="22">
        <v>0</v>
      </c>
      <c r="H3130" s="22">
        <v>0</v>
      </c>
      <c r="I3130" s="22">
        <v>0</v>
      </c>
      <c r="J3130" s="22">
        <v>0.01</v>
      </c>
      <c r="K3130" s="22">
        <v>0</v>
      </c>
      <c r="L3130" s="22">
        <v>0.01</v>
      </c>
      <c r="M3130" s="10"/>
      <c r="N3130" s="67"/>
      <c r="O3130" s="11"/>
    </row>
    <row r="3131" spans="1:15" x14ac:dyDescent="0.25">
      <c r="A3131" s="6"/>
      <c r="B3131" s="5"/>
      <c r="C3131" s="5"/>
      <c r="D3131" s="5" t="s">
        <v>407</v>
      </c>
      <c r="E3131" s="5" t="s">
        <v>408</v>
      </c>
      <c r="F3131" s="5" t="s">
        <v>560</v>
      </c>
      <c r="G3131" s="14">
        <f t="shared" ref="G3131:L3131" si="787">SUBTOTAL(9,G3129:G3130)</f>
        <v>0.06</v>
      </c>
      <c r="H3131" s="14">
        <f t="shared" si="787"/>
        <v>0</v>
      </c>
      <c r="I3131" s="14">
        <f t="shared" si="787"/>
        <v>0</v>
      </c>
      <c r="J3131" s="14">
        <f t="shared" si="787"/>
        <v>0.01</v>
      </c>
      <c r="K3131" s="14">
        <f t="shared" si="787"/>
        <v>0</v>
      </c>
      <c r="L3131" s="14">
        <f t="shared" si="787"/>
        <v>6.9999999999999993E-2</v>
      </c>
      <c r="M3131" s="10">
        <v>2875</v>
      </c>
      <c r="N3131" s="69"/>
      <c r="O3131" s="11">
        <f>O3127+1</f>
        <v>756</v>
      </c>
    </row>
    <row r="3132" spans="1:15" x14ac:dyDescent="0.25">
      <c r="A3132" s="10"/>
      <c r="G3132" s="21"/>
      <c r="H3132" s="21"/>
      <c r="I3132" s="21"/>
      <c r="J3132" s="21"/>
      <c r="K3132" s="21"/>
      <c r="L3132" s="21"/>
      <c r="M3132" s="10"/>
      <c r="O3132" s="11"/>
    </row>
    <row r="3133" spans="1:15" s="4" customFormat="1" x14ac:dyDescent="0.25">
      <c r="A3133" s="6">
        <v>1551</v>
      </c>
      <c r="B3133" s="5" t="s">
        <v>18</v>
      </c>
      <c r="C3133" s="5" t="s">
        <v>17</v>
      </c>
      <c r="D3133" s="5" t="s">
        <v>407</v>
      </c>
      <c r="E3133" s="5" t="s">
        <v>408</v>
      </c>
      <c r="F3133" s="5" t="s">
        <v>19</v>
      </c>
      <c r="G3133" s="22">
        <v>0.03</v>
      </c>
      <c r="H3133" s="22">
        <v>0</v>
      </c>
      <c r="I3133" s="22">
        <v>0</v>
      </c>
      <c r="J3133" s="22">
        <v>0</v>
      </c>
      <c r="K3133" s="22">
        <v>-0.02</v>
      </c>
      <c r="L3133" s="22">
        <v>0.01</v>
      </c>
      <c r="M3133" s="10"/>
      <c r="N3133" s="67"/>
      <c r="O3133" s="11"/>
    </row>
    <row r="3134" spans="1:15" x14ac:dyDescent="0.25">
      <c r="A3134" s="6"/>
      <c r="B3134" s="5"/>
      <c r="C3134" s="5"/>
      <c r="D3134" s="5" t="s">
        <v>407</v>
      </c>
      <c r="E3134" s="5" t="s">
        <v>408</v>
      </c>
      <c r="F3134" s="5" t="s">
        <v>19</v>
      </c>
      <c r="G3134" s="14">
        <f t="shared" ref="G3134:L3134" si="788">SUBTOTAL(9,G3133:G3133)</f>
        <v>0.03</v>
      </c>
      <c r="H3134" s="14">
        <f t="shared" si="788"/>
        <v>0</v>
      </c>
      <c r="I3134" s="14">
        <f t="shared" si="788"/>
        <v>0</v>
      </c>
      <c r="J3134" s="14">
        <f t="shared" si="788"/>
        <v>0</v>
      </c>
      <c r="K3134" s="14">
        <f t="shared" si="788"/>
        <v>-0.02</v>
      </c>
      <c r="L3134" s="14">
        <f t="shared" si="788"/>
        <v>0.01</v>
      </c>
      <c r="M3134" s="10">
        <v>2876</v>
      </c>
      <c r="N3134" s="69"/>
      <c r="O3134" s="11">
        <f>O3131+1</f>
        <v>757</v>
      </c>
    </row>
    <row r="3135" spans="1:15" x14ac:dyDescent="0.25">
      <c r="A3135" s="10"/>
      <c r="G3135" s="21"/>
      <c r="H3135" s="21"/>
      <c r="I3135" s="21"/>
      <c r="J3135" s="21"/>
      <c r="K3135" s="21"/>
      <c r="L3135" s="21"/>
      <c r="M3135" s="10"/>
      <c r="O3135" s="11"/>
    </row>
    <row r="3136" spans="1:15" s="4" customFormat="1" x14ac:dyDescent="0.25">
      <c r="A3136" s="6">
        <v>1552</v>
      </c>
      <c r="B3136" s="5" t="s">
        <v>22</v>
      </c>
      <c r="C3136" s="5" t="s">
        <v>13</v>
      </c>
      <c r="D3136" s="5" t="s">
        <v>407</v>
      </c>
      <c r="E3136" s="5" t="s">
        <v>408</v>
      </c>
      <c r="F3136" s="5" t="s">
        <v>23</v>
      </c>
      <c r="G3136" s="22">
        <v>0</v>
      </c>
      <c r="H3136" s="22">
        <v>0</v>
      </c>
      <c r="I3136" s="22">
        <v>0</v>
      </c>
      <c r="J3136" s="22">
        <v>3.45</v>
      </c>
      <c r="K3136" s="22">
        <v>0</v>
      </c>
      <c r="L3136" s="22">
        <v>3.45</v>
      </c>
      <c r="M3136" s="10"/>
      <c r="N3136" s="67"/>
      <c r="O3136" s="11"/>
    </row>
    <row r="3137" spans="1:15" s="4" customFormat="1" x14ac:dyDescent="0.25">
      <c r="A3137" s="6"/>
      <c r="B3137" s="5"/>
      <c r="C3137" s="5"/>
      <c r="D3137" s="5" t="s">
        <v>407</v>
      </c>
      <c r="E3137" s="5" t="s">
        <v>408</v>
      </c>
      <c r="F3137" s="5" t="s">
        <v>23</v>
      </c>
      <c r="G3137" s="14">
        <f t="shared" ref="G3137:L3137" si="789">SUBTOTAL(9,G3136:G3136)</f>
        <v>0</v>
      </c>
      <c r="H3137" s="14">
        <f t="shared" si="789"/>
        <v>0</v>
      </c>
      <c r="I3137" s="14">
        <f t="shared" si="789"/>
        <v>0</v>
      </c>
      <c r="J3137" s="14">
        <f t="shared" si="789"/>
        <v>3.45</v>
      </c>
      <c r="K3137" s="14">
        <f t="shared" si="789"/>
        <v>0</v>
      </c>
      <c r="L3137" s="14">
        <f t="shared" si="789"/>
        <v>3.45</v>
      </c>
      <c r="M3137" s="10">
        <v>2877</v>
      </c>
      <c r="N3137" s="69"/>
      <c r="O3137" s="11">
        <f>O3134+1</f>
        <v>758</v>
      </c>
    </row>
    <row r="3138" spans="1:15" x14ac:dyDescent="0.25">
      <c r="A3138" s="10"/>
      <c r="G3138" s="21"/>
      <c r="H3138" s="21"/>
      <c r="I3138" s="21"/>
      <c r="J3138" s="21"/>
      <c r="K3138" s="21"/>
      <c r="L3138" s="21"/>
      <c r="M3138" s="10"/>
      <c r="O3138" s="11"/>
    </row>
    <row r="3139" spans="1:15" x14ac:dyDescent="0.25">
      <c r="A3139" s="6">
        <v>1553</v>
      </c>
      <c r="B3139" s="5" t="s">
        <v>22</v>
      </c>
      <c r="C3139" s="5" t="s">
        <v>13</v>
      </c>
      <c r="D3139" s="5" t="s">
        <v>407</v>
      </c>
      <c r="E3139" s="5" t="s">
        <v>408</v>
      </c>
      <c r="F3139" s="5" t="s">
        <v>24</v>
      </c>
      <c r="G3139" s="22">
        <v>0</v>
      </c>
      <c r="H3139" s="22">
        <v>0</v>
      </c>
      <c r="I3139" s="22">
        <v>0</v>
      </c>
      <c r="J3139" s="22">
        <v>0.01</v>
      </c>
      <c r="K3139" s="22">
        <v>0</v>
      </c>
      <c r="L3139" s="22">
        <v>0.01</v>
      </c>
      <c r="M3139" s="10"/>
      <c r="O3139" s="11"/>
    </row>
    <row r="3140" spans="1:15" s="4" customFormat="1" x14ac:dyDescent="0.25">
      <c r="A3140" s="6"/>
      <c r="B3140" s="5"/>
      <c r="C3140" s="5"/>
      <c r="D3140" s="5" t="s">
        <v>407</v>
      </c>
      <c r="E3140" s="5" t="s">
        <v>408</v>
      </c>
      <c r="F3140" s="5" t="s">
        <v>24</v>
      </c>
      <c r="G3140" s="14">
        <f t="shared" ref="G3140:L3140" si="790">SUBTOTAL(9,G3139:G3139)</f>
        <v>0</v>
      </c>
      <c r="H3140" s="14">
        <f t="shared" si="790"/>
        <v>0</v>
      </c>
      <c r="I3140" s="14">
        <f t="shared" si="790"/>
        <v>0</v>
      </c>
      <c r="J3140" s="14">
        <f t="shared" si="790"/>
        <v>0.01</v>
      </c>
      <c r="K3140" s="14">
        <f t="shared" si="790"/>
        <v>0</v>
      </c>
      <c r="L3140" s="14">
        <f t="shared" si="790"/>
        <v>0.01</v>
      </c>
      <c r="M3140" s="10">
        <v>2878</v>
      </c>
      <c r="N3140" s="69"/>
      <c r="O3140" s="11">
        <f>O3137+1</f>
        <v>759</v>
      </c>
    </row>
    <row r="3141" spans="1:15" s="4" customFormat="1" x14ac:dyDescent="0.25">
      <c r="A3141" s="10"/>
      <c r="B3141"/>
      <c r="C3141"/>
      <c r="D3141"/>
      <c r="E3141"/>
      <c r="F3141"/>
      <c r="G3141" s="21"/>
      <c r="H3141" s="21"/>
      <c r="I3141" s="21"/>
      <c r="J3141" s="21"/>
      <c r="K3141" s="21"/>
      <c r="L3141" s="21"/>
      <c r="M3141" s="10"/>
      <c r="N3141" s="67"/>
      <c r="O3141" s="11"/>
    </row>
    <row r="3142" spans="1:15" x14ac:dyDescent="0.25">
      <c r="A3142" s="6">
        <v>1554</v>
      </c>
      <c r="B3142" s="5" t="s">
        <v>550</v>
      </c>
      <c r="C3142" s="5" t="s">
        <v>13</v>
      </c>
      <c r="D3142" s="5" t="s">
        <v>407</v>
      </c>
      <c r="E3142" s="5" t="s">
        <v>408</v>
      </c>
      <c r="F3142" s="5" t="s">
        <v>551</v>
      </c>
      <c r="G3142" s="22">
        <v>0</v>
      </c>
      <c r="H3142" s="22">
        <v>0</v>
      </c>
      <c r="I3142" s="22">
        <v>0</v>
      </c>
      <c r="J3142" s="22">
        <v>454.14</v>
      </c>
      <c r="K3142" s="22">
        <v>0</v>
      </c>
      <c r="L3142" s="22">
        <v>454.14</v>
      </c>
      <c r="M3142" s="10"/>
      <c r="O3142" s="11"/>
    </row>
    <row r="3143" spans="1:15" x14ac:dyDescent="0.25">
      <c r="A3143" s="6">
        <v>1555</v>
      </c>
      <c r="B3143" s="5" t="s">
        <v>550</v>
      </c>
      <c r="C3143" s="5" t="s">
        <v>13</v>
      </c>
      <c r="D3143" s="5" t="s">
        <v>407</v>
      </c>
      <c r="E3143" s="5" t="s">
        <v>408</v>
      </c>
      <c r="F3143" s="5" t="s">
        <v>551</v>
      </c>
      <c r="G3143" s="22">
        <v>0</v>
      </c>
      <c r="H3143" s="22">
        <v>0</v>
      </c>
      <c r="I3143" s="22">
        <v>0</v>
      </c>
      <c r="J3143" s="22">
        <v>56.42</v>
      </c>
      <c r="K3143" s="22">
        <v>0</v>
      </c>
      <c r="L3143" s="22">
        <v>56.42</v>
      </c>
      <c r="M3143" s="10"/>
      <c r="O3143" s="11"/>
    </row>
    <row r="3144" spans="1:15" s="4" customFormat="1" x14ac:dyDescent="0.25">
      <c r="A3144" s="6">
        <v>1556</v>
      </c>
      <c r="B3144" s="5" t="s">
        <v>550</v>
      </c>
      <c r="C3144" s="5" t="s">
        <v>17</v>
      </c>
      <c r="D3144" s="5" t="s">
        <v>407</v>
      </c>
      <c r="E3144" s="5" t="s">
        <v>408</v>
      </c>
      <c r="F3144" s="5" t="s">
        <v>551</v>
      </c>
      <c r="G3144" s="22">
        <v>3784.52</v>
      </c>
      <c r="H3144" s="22">
        <v>0</v>
      </c>
      <c r="I3144" s="22">
        <v>0</v>
      </c>
      <c r="J3144" s="22">
        <v>0</v>
      </c>
      <c r="K3144" s="22">
        <v>-75.69</v>
      </c>
      <c r="L3144" s="22">
        <v>3708.83</v>
      </c>
      <c r="M3144" s="10"/>
      <c r="N3144" s="67"/>
      <c r="O3144" s="11"/>
    </row>
    <row r="3145" spans="1:15" s="4" customFormat="1" x14ac:dyDescent="0.25">
      <c r="A3145" s="6">
        <v>1557</v>
      </c>
      <c r="B3145" s="5" t="s">
        <v>550</v>
      </c>
      <c r="C3145" s="5" t="s">
        <v>17</v>
      </c>
      <c r="D3145" s="5" t="s">
        <v>407</v>
      </c>
      <c r="E3145" s="5" t="s">
        <v>408</v>
      </c>
      <c r="F3145" s="5" t="s">
        <v>551</v>
      </c>
      <c r="G3145" s="22">
        <v>470.14</v>
      </c>
      <c r="H3145" s="22">
        <v>0</v>
      </c>
      <c r="I3145" s="22">
        <v>0</v>
      </c>
      <c r="J3145" s="22">
        <v>0</v>
      </c>
      <c r="K3145" s="22">
        <v>-9.4</v>
      </c>
      <c r="L3145" s="22">
        <v>460.74</v>
      </c>
      <c r="M3145" s="10"/>
      <c r="N3145" s="67"/>
      <c r="O3145" s="11"/>
    </row>
    <row r="3146" spans="1:15" x14ac:dyDescent="0.25">
      <c r="A3146" s="6"/>
      <c r="B3146" s="5"/>
      <c r="C3146" s="5"/>
      <c r="D3146" s="5" t="s">
        <v>407</v>
      </c>
      <c r="E3146" s="5" t="s">
        <v>408</v>
      </c>
      <c r="F3146" s="5" t="s">
        <v>551</v>
      </c>
      <c r="G3146" s="14">
        <f t="shared" ref="G3146:L3146" si="791">SUBTOTAL(9,G3142:G3145)</f>
        <v>4254.66</v>
      </c>
      <c r="H3146" s="14">
        <f t="shared" si="791"/>
        <v>0</v>
      </c>
      <c r="I3146" s="14">
        <f t="shared" si="791"/>
        <v>0</v>
      </c>
      <c r="J3146" s="14">
        <f t="shared" si="791"/>
        <v>510.56</v>
      </c>
      <c r="K3146" s="14">
        <f t="shared" si="791"/>
        <v>-85.09</v>
      </c>
      <c r="L3146" s="14">
        <f t="shared" si="791"/>
        <v>4680.13</v>
      </c>
      <c r="M3146" s="10">
        <v>2879</v>
      </c>
      <c r="N3146" s="69"/>
      <c r="O3146" s="11">
        <f>O3140+1</f>
        <v>760</v>
      </c>
    </row>
    <row r="3147" spans="1:15" x14ac:dyDescent="0.25">
      <c r="A3147" s="10"/>
      <c r="G3147" s="21"/>
      <c r="H3147" s="21"/>
      <c r="I3147" s="21"/>
      <c r="J3147" s="21"/>
      <c r="K3147" s="21"/>
      <c r="L3147" s="21"/>
      <c r="M3147" s="10"/>
      <c r="O3147" s="11"/>
    </row>
    <row r="3148" spans="1:15" s="4" customFormat="1" x14ac:dyDescent="0.25">
      <c r="A3148" s="6">
        <v>1558</v>
      </c>
      <c r="B3148" s="5" t="s">
        <v>550</v>
      </c>
      <c r="C3148" s="5" t="s">
        <v>13</v>
      </c>
      <c r="D3148" s="5" t="s">
        <v>407</v>
      </c>
      <c r="E3148" s="5" t="s">
        <v>408</v>
      </c>
      <c r="F3148" s="5" t="s">
        <v>552</v>
      </c>
      <c r="G3148" s="22">
        <v>0</v>
      </c>
      <c r="H3148" s="22">
        <v>0</v>
      </c>
      <c r="I3148" s="22">
        <v>0</v>
      </c>
      <c r="J3148" s="22">
        <v>0.03</v>
      </c>
      <c r="K3148" s="22">
        <v>0</v>
      </c>
      <c r="L3148" s="22">
        <v>0.03</v>
      </c>
      <c r="M3148" s="10"/>
      <c r="N3148" s="67"/>
      <c r="O3148" s="11"/>
    </row>
    <row r="3149" spans="1:15" s="4" customFormat="1" x14ac:dyDescent="0.25">
      <c r="A3149" s="6">
        <v>1559</v>
      </c>
      <c r="B3149" s="5" t="s">
        <v>550</v>
      </c>
      <c r="C3149" s="5" t="s">
        <v>13</v>
      </c>
      <c r="D3149" s="5" t="s">
        <v>407</v>
      </c>
      <c r="E3149" s="5" t="s">
        <v>408</v>
      </c>
      <c r="F3149" s="5" t="s">
        <v>552</v>
      </c>
      <c r="G3149" s="22">
        <v>0</v>
      </c>
      <c r="H3149" s="22">
        <v>0</v>
      </c>
      <c r="I3149" s="22">
        <v>0</v>
      </c>
      <c r="J3149" s="22">
        <v>0</v>
      </c>
      <c r="K3149" s="22">
        <v>0</v>
      </c>
      <c r="L3149" s="22">
        <v>0</v>
      </c>
      <c r="M3149" s="10"/>
      <c r="N3149" s="67"/>
      <c r="O3149" s="11"/>
    </row>
    <row r="3150" spans="1:15" x14ac:dyDescent="0.25">
      <c r="A3150" s="6">
        <v>1560</v>
      </c>
      <c r="B3150" s="5" t="s">
        <v>550</v>
      </c>
      <c r="C3150" s="5" t="s">
        <v>17</v>
      </c>
      <c r="D3150" s="5" t="s">
        <v>407</v>
      </c>
      <c r="E3150" s="5" t="s">
        <v>408</v>
      </c>
      <c r="F3150" s="5" t="s">
        <v>552</v>
      </c>
      <c r="G3150" s="22">
        <v>0.27</v>
      </c>
      <c r="H3150" s="22">
        <v>0</v>
      </c>
      <c r="I3150" s="22">
        <v>0</v>
      </c>
      <c r="J3150" s="22">
        <v>0</v>
      </c>
      <c r="K3150" s="22">
        <v>-0.01</v>
      </c>
      <c r="L3150" s="22">
        <v>0.26</v>
      </c>
      <c r="M3150" s="10"/>
      <c r="O3150" s="11"/>
    </row>
    <row r="3151" spans="1:15" x14ac:dyDescent="0.25">
      <c r="A3151" s="6">
        <v>1561</v>
      </c>
      <c r="B3151" s="5" t="s">
        <v>550</v>
      </c>
      <c r="C3151" s="5" t="s">
        <v>17</v>
      </c>
      <c r="D3151" s="5" t="s">
        <v>407</v>
      </c>
      <c r="E3151" s="5" t="s">
        <v>408</v>
      </c>
      <c r="F3151" s="5" t="s">
        <v>552</v>
      </c>
      <c r="G3151" s="22">
        <v>0.03</v>
      </c>
      <c r="H3151" s="22">
        <v>0</v>
      </c>
      <c r="I3151" s="22">
        <v>0</v>
      </c>
      <c r="J3151" s="22">
        <v>0</v>
      </c>
      <c r="K3151" s="22">
        <v>0</v>
      </c>
      <c r="L3151" s="22">
        <v>0.03</v>
      </c>
      <c r="M3151" s="10"/>
      <c r="O3151" s="11"/>
    </row>
    <row r="3152" spans="1:15" s="4" customFormat="1" x14ac:dyDescent="0.25">
      <c r="A3152" s="6"/>
      <c r="B3152" s="5"/>
      <c r="C3152" s="5"/>
      <c r="D3152" s="5" t="s">
        <v>407</v>
      </c>
      <c r="E3152" s="5" t="s">
        <v>408</v>
      </c>
      <c r="F3152" s="5" t="s">
        <v>552</v>
      </c>
      <c r="G3152" s="14">
        <f t="shared" ref="G3152:L3152" si="792">SUBTOTAL(9,G3148:G3151)</f>
        <v>0.30000000000000004</v>
      </c>
      <c r="H3152" s="14">
        <f t="shared" si="792"/>
        <v>0</v>
      </c>
      <c r="I3152" s="14">
        <f t="shared" si="792"/>
        <v>0</v>
      </c>
      <c r="J3152" s="14">
        <f t="shared" si="792"/>
        <v>0.03</v>
      </c>
      <c r="K3152" s="14">
        <f t="shared" si="792"/>
        <v>-0.01</v>
      </c>
      <c r="L3152" s="14">
        <f t="shared" si="792"/>
        <v>0.32000000000000006</v>
      </c>
      <c r="M3152" s="10">
        <v>2880</v>
      </c>
      <c r="N3152" s="69"/>
      <c r="O3152" s="11">
        <f>O3146+1</f>
        <v>761</v>
      </c>
    </row>
    <row r="3153" spans="1:15" x14ac:dyDescent="0.25">
      <c r="A3153" s="10"/>
      <c r="G3153" s="21"/>
      <c r="H3153" s="21"/>
      <c r="I3153" s="21"/>
      <c r="J3153" s="21"/>
      <c r="K3153" s="21"/>
      <c r="L3153" s="21"/>
      <c r="M3153" s="10"/>
      <c r="O3153" s="11"/>
    </row>
    <row r="3154" spans="1:15" x14ac:dyDescent="0.25">
      <c r="A3154" s="6">
        <v>1562</v>
      </c>
      <c r="B3154" s="5" t="s">
        <v>29</v>
      </c>
      <c r="C3154" s="5" t="s">
        <v>13</v>
      </c>
      <c r="D3154" s="5" t="s">
        <v>409</v>
      </c>
      <c r="E3154" s="5" t="s">
        <v>410</v>
      </c>
      <c r="F3154" s="5" t="s">
        <v>30</v>
      </c>
      <c r="G3154" s="22">
        <v>0</v>
      </c>
      <c r="H3154" s="22">
        <v>0</v>
      </c>
      <c r="I3154" s="22">
        <v>0</v>
      </c>
      <c r="J3154" s="22">
        <v>0.32</v>
      </c>
      <c r="K3154" s="22">
        <v>0</v>
      </c>
      <c r="L3154" s="22">
        <v>0.32</v>
      </c>
      <c r="M3154" s="10"/>
      <c r="O3154" s="11"/>
    </row>
    <row r="3155" spans="1:15" s="4" customFormat="1" x14ac:dyDescent="0.25">
      <c r="A3155" s="6"/>
      <c r="B3155" s="5"/>
      <c r="C3155" s="5"/>
      <c r="D3155" s="5" t="s">
        <v>409</v>
      </c>
      <c r="E3155" s="5" t="s">
        <v>410</v>
      </c>
      <c r="F3155" s="5" t="s">
        <v>30</v>
      </c>
      <c r="G3155" s="14">
        <f t="shared" ref="G3155:L3155" si="793">SUBTOTAL(9,G3154:G3154)</f>
        <v>0</v>
      </c>
      <c r="H3155" s="14">
        <f t="shared" si="793"/>
        <v>0</v>
      </c>
      <c r="I3155" s="14">
        <f t="shared" si="793"/>
        <v>0</v>
      </c>
      <c r="J3155" s="14">
        <f t="shared" si="793"/>
        <v>0.32</v>
      </c>
      <c r="K3155" s="14">
        <f t="shared" si="793"/>
        <v>0</v>
      </c>
      <c r="L3155" s="14">
        <f t="shared" si="793"/>
        <v>0.32</v>
      </c>
      <c r="M3155" s="10">
        <v>2881</v>
      </c>
      <c r="N3155" s="69"/>
      <c r="O3155" s="11">
        <f>O3152+1</f>
        <v>762</v>
      </c>
    </row>
    <row r="3156" spans="1:15" x14ac:dyDescent="0.25">
      <c r="A3156" s="10"/>
      <c r="G3156" s="21"/>
      <c r="H3156" s="21"/>
      <c r="I3156" s="21"/>
      <c r="J3156" s="21"/>
      <c r="K3156" s="21"/>
      <c r="L3156" s="21"/>
      <c r="M3156" s="10"/>
      <c r="O3156" s="11"/>
    </row>
    <row r="3157" spans="1:15" x14ac:dyDescent="0.25">
      <c r="A3157" s="6">
        <v>1563</v>
      </c>
      <c r="B3157" s="5" t="s">
        <v>18</v>
      </c>
      <c r="C3157" s="5" t="s">
        <v>17</v>
      </c>
      <c r="D3157" s="5" t="s">
        <v>409</v>
      </c>
      <c r="E3157" s="5" t="s">
        <v>410</v>
      </c>
      <c r="F3157" s="5" t="s">
        <v>19</v>
      </c>
      <c r="G3157" s="22">
        <v>3.7</v>
      </c>
      <c r="H3157" s="22">
        <v>0</v>
      </c>
      <c r="I3157" s="22">
        <v>0</v>
      </c>
      <c r="J3157" s="22">
        <v>0</v>
      </c>
      <c r="K3157" s="22">
        <v>-3.28</v>
      </c>
      <c r="L3157" s="22">
        <v>0.42</v>
      </c>
      <c r="M3157" s="10"/>
      <c r="O3157" s="11"/>
    </row>
    <row r="3158" spans="1:15" s="4" customFormat="1" x14ac:dyDescent="0.25">
      <c r="A3158" s="6"/>
      <c r="B3158" s="5"/>
      <c r="C3158" s="5"/>
      <c r="D3158" s="5" t="s">
        <v>409</v>
      </c>
      <c r="E3158" s="5" t="s">
        <v>410</v>
      </c>
      <c r="F3158" s="5" t="s">
        <v>19</v>
      </c>
      <c r="G3158" s="14">
        <f t="shared" ref="G3158:L3158" si="794">SUBTOTAL(9,G3157:G3157)</f>
        <v>3.7</v>
      </c>
      <c r="H3158" s="14">
        <f t="shared" si="794"/>
        <v>0</v>
      </c>
      <c r="I3158" s="14">
        <f t="shared" si="794"/>
        <v>0</v>
      </c>
      <c r="J3158" s="14">
        <f t="shared" si="794"/>
        <v>0</v>
      </c>
      <c r="K3158" s="14">
        <f t="shared" si="794"/>
        <v>-3.28</v>
      </c>
      <c r="L3158" s="14">
        <f t="shared" si="794"/>
        <v>0.42</v>
      </c>
      <c r="M3158" s="10">
        <v>2882</v>
      </c>
      <c r="N3158" s="69"/>
      <c r="O3158" s="11">
        <f>O3155+1</f>
        <v>763</v>
      </c>
    </row>
    <row r="3159" spans="1:15" s="4" customFormat="1" x14ac:dyDescent="0.25">
      <c r="A3159" s="10"/>
      <c r="B3159"/>
      <c r="C3159"/>
      <c r="D3159"/>
      <c r="E3159"/>
      <c r="F3159"/>
      <c r="G3159" s="21"/>
      <c r="H3159" s="21"/>
      <c r="I3159" s="21"/>
      <c r="J3159" s="21"/>
      <c r="K3159" s="21"/>
      <c r="L3159" s="21"/>
      <c r="M3159" s="10"/>
      <c r="N3159" s="67"/>
      <c r="O3159" s="11"/>
    </row>
    <row r="3160" spans="1:15" x14ac:dyDescent="0.25">
      <c r="A3160" s="6">
        <v>1564</v>
      </c>
      <c r="B3160" s="5" t="s">
        <v>20</v>
      </c>
      <c r="C3160" s="5" t="s">
        <v>13</v>
      </c>
      <c r="D3160" s="5" t="s">
        <v>409</v>
      </c>
      <c r="E3160" s="5" t="s">
        <v>410</v>
      </c>
      <c r="F3160" s="5" t="s">
        <v>21</v>
      </c>
      <c r="G3160" s="22">
        <v>0</v>
      </c>
      <c r="H3160" s="22">
        <v>0</v>
      </c>
      <c r="I3160" s="22">
        <v>0</v>
      </c>
      <c r="J3160" s="22">
        <v>4.57</v>
      </c>
      <c r="K3160" s="22">
        <v>0</v>
      </c>
      <c r="L3160" s="22">
        <v>4.57</v>
      </c>
      <c r="M3160" s="10"/>
      <c r="O3160" s="11"/>
    </row>
    <row r="3161" spans="1:15" x14ac:dyDescent="0.25">
      <c r="A3161" s="6"/>
      <c r="B3161" s="5"/>
      <c r="C3161" s="5"/>
      <c r="D3161" s="5" t="s">
        <v>409</v>
      </c>
      <c r="E3161" s="5" t="s">
        <v>410</v>
      </c>
      <c r="F3161" s="5" t="s">
        <v>21</v>
      </c>
      <c r="G3161" s="14">
        <f t="shared" ref="G3161:L3161" si="795">SUBTOTAL(9,G3160:G3160)</f>
        <v>0</v>
      </c>
      <c r="H3161" s="14">
        <f t="shared" si="795"/>
        <v>0</v>
      </c>
      <c r="I3161" s="14">
        <f t="shared" si="795"/>
        <v>0</v>
      </c>
      <c r="J3161" s="14">
        <f t="shared" si="795"/>
        <v>4.57</v>
      </c>
      <c r="K3161" s="14">
        <f t="shared" si="795"/>
        <v>0</v>
      </c>
      <c r="L3161" s="14">
        <f t="shared" si="795"/>
        <v>4.57</v>
      </c>
      <c r="M3161" s="10">
        <v>2883</v>
      </c>
      <c r="N3161" s="69"/>
      <c r="O3161" s="11">
        <f>O3158+1</f>
        <v>764</v>
      </c>
    </row>
    <row r="3162" spans="1:15" s="4" customFormat="1" x14ac:dyDescent="0.25">
      <c r="A3162" s="10"/>
      <c r="B3162"/>
      <c r="C3162"/>
      <c r="D3162"/>
      <c r="E3162"/>
      <c r="F3162"/>
      <c r="G3162" s="21"/>
      <c r="H3162" s="21"/>
      <c r="I3162" s="21"/>
      <c r="J3162" s="21"/>
      <c r="K3162" s="21"/>
      <c r="L3162" s="21"/>
      <c r="M3162" s="10"/>
      <c r="N3162" s="67"/>
      <c r="O3162" s="11"/>
    </row>
    <row r="3163" spans="1:15" s="4" customFormat="1" x14ac:dyDescent="0.25">
      <c r="A3163" s="6">
        <v>1565</v>
      </c>
      <c r="B3163" s="5" t="s">
        <v>550</v>
      </c>
      <c r="C3163" s="5" t="s">
        <v>13</v>
      </c>
      <c r="D3163" s="5" t="s">
        <v>409</v>
      </c>
      <c r="E3163" s="5" t="s">
        <v>410</v>
      </c>
      <c r="F3163" s="5" t="s">
        <v>551</v>
      </c>
      <c r="G3163" s="22">
        <v>0</v>
      </c>
      <c r="H3163" s="22">
        <v>0</v>
      </c>
      <c r="I3163" s="22">
        <v>0</v>
      </c>
      <c r="J3163" s="22">
        <v>12381.54</v>
      </c>
      <c r="K3163" s="22">
        <v>0</v>
      </c>
      <c r="L3163" s="22">
        <v>12381.54</v>
      </c>
      <c r="M3163" s="10"/>
      <c r="N3163" s="67"/>
      <c r="O3163" s="11"/>
    </row>
    <row r="3164" spans="1:15" x14ac:dyDescent="0.25">
      <c r="A3164" s="6">
        <v>1566</v>
      </c>
      <c r="B3164" s="5" t="s">
        <v>550</v>
      </c>
      <c r="C3164" s="5" t="s">
        <v>17</v>
      </c>
      <c r="D3164" s="5" t="s">
        <v>409</v>
      </c>
      <c r="E3164" s="5" t="s">
        <v>410</v>
      </c>
      <c r="F3164" s="5" t="s">
        <v>551</v>
      </c>
      <c r="G3164" s="22">
        <v>103621.22</v>
      </c>
      <c r="H3164" s="22">
        <v>0</v>
      </c>
      <c r="I3164" s="22">
        <v>0</v>
      </c>
      <c r="J3164" s="22">
        <v>0</v>
      </c>
      <c r="K3164" s="22">
        <v>-2072.42</v>
      </c>
      <c r="L3164" s="22">
        <v>101548.8</v>
      </c>
      <c r="M3164" s="10"/>
      <c r="O3164" s="11"/>
    </row>
    <row r="3165" spans="1:15" x14ac:dyDescent="0.25">
      <c r="A3165" s="6"/>
      <c r="B3165" s="5"/>
      <c r="C3165" s="5"/>
      <c r="D3165" s="5" t="s">
        <v>409</v>
      </c>
      <c r="E3165" s="5" t="s">
        <v>410</v>
      </c>
      <c r="F3165" s="5" t="s">
        <v>551</v>
      </c>
      <c r="G3165" s="14">
        <f t="shared" ref="G3165:L3165" si="796">SUBTOTAL(9,G3163:G3164)</f>
        <v>103621.22</v>
      </c>
      <c r="H3165" s="14">
        <f t="shared" si="796"/>
        <v>0</v>
      </c>
      <c r="I3165" s="14">
        <f t="shared" si="796"/>
        <v>0</v>
      </c>
      <c r="J3165" s="14">
        <f t="shared" si="796"/>
        <v>12381.54</v>
      </c>
      <c r="K3165" s="14">
        <f t="shared" si="796"/>
        <v>-2072.42</v>
      </c>
      <c r="L3165" s="14">
        <f t="shared" si="796"/>
        <v>113930.34</v>
      </c>
      <c r="M3165" s="10">
        <v>2884</v>
      </c>
      <c r="N3165" s="69"/>
      <c r="O3165" s="11">
        <f>O3161+1</f>
        <v>765</v>
      </c>
    </row>
    <row r="3166" spans="1:15" s="4" customFormat="1" x14ac:dyDescent="0.25">
      <c r="A3166" s="10"/>
      <c r="B3166"/>
      <c r="C3166"/>
      <c r="D3166"/>
      <c r="E3166"/>
      <c r="F3166"/>
      <c r="G3166" s="21"/>
      <c r="H3166" s="21"/>
      <c r="I3166" s="21"/>
      <c r="J3166" s="21"/>
      <c r="K3166" s="21"/>
      <c r="L3166" s="21"/>
      <c r="M3166" s="10"/>
      <c r="N3166" s="67"/>
      <c r="O3166" s="11"/>
    </row>
    <row r="3167" spans="1:15" s="4" customFormat="1" x14ac:dyDescent="0.25">
      <c r="A3167" s="6">
        <v>1567</v>
      </c>
      <c r="B3167" s="5" t="s">
        <v>550</v>
      </c>
      <c r="C3167" s="5" t="s">
        <v>13</v>
      </c>
      <c r="D3167" s="5" t="s">
        <v>409</v>
      </c>
      <c r="E3167" s="5" t="s">
        <v>410</v>
      </c>
      <c r="F3167" s="5" t="s">
        <v>552</v>
      </c>
      <c r="G3167" s="22">
        <v>0</v>
      </c>
      <c r="H3167" s="22">
        <v>0</v>
      </c>
      <c r="I3167" s="22">
        <v>0</v>
      </c>
      <c r="J3167" s="22">
        <v>0.89</v>
      </c>
      <c r="K3167" s="22">
        <v>0</v>
      </c>
      <c r="L3167" s="22">
        <v>0.89</v>
      </c>
      <c r="M3167" s="10"/>
      <c r="N3167" s="67"/>
      <c r="O3167" s="11"/>
    </row>
    <row r="3168" spans="1:15" x14ac:dyDescent="0.25">
      <c r="A3168" s="6">
        <v>1568</v>
      </c>
      <c r="B3168" s="5" t="s">
        <v>550</v>
      </c>
      <c r="C3168" s="5" t="s">
        <v>17</v>
      </c>
      <c r="D3168" s="5" t="s">
        <v>409</v>
      </c>
      <c r="E3168" s="5" t="s">
        <v>410</v>
      </c>
      <c r="F3168" s="5" t="s">
        <v>552</v>
      </c>
      <c r="G3168" s="22">
        <v>7.45</v>
      </c>
      <c r="H3168" s="22">
        <v>0</v>
      </c>
      <c r="I3168" s="22">
        <v>0</v>
      </c>
      <c r="J3168" s="22">
        <v>0</v>
      </c>
      <c r="K3168" s="22">
        <v>-0.15</v>
      </c>
      <c r="L3168" s="22">
        <v>7.3</v>
      </c>
      <c r="M3168" s="10"/>
      <c r="O3168" s="11"/>
    </row>
    <row r="3169" spans="1:15" x14ac:dyDescent="0.25">
      <c r="A3169" s="6"/>
      <c r="B3169" s="5"/>
      <c r="C3169" s="5"/>
      <c r="D3169" s="5" t="s">
        <v>409</v>
      </c>
      <c r="E3169" s="5" t="s">
        <v>410</v>
      </c>
      <c r="F3169" s="5" t="s">
        <v>552</v>
      </c>
      <c r="G3169" s="14">
        <f t="shared" ref="G3169:L3169" si="797">SUBTOTAL(9,G3167:G3168)</f>
        <v>7.45</v>
      </c>
      <c r="H3169" s="14">
        <f t="shared" si="797"/>
        <v>0</v>
      </c>
      <c r="I3169" s="14">
        <f t="shared" si="797"/>
        <v>0</v>
      </c>
      <c r="J3169" s="14">
        <f t="shared" si="797"/>
        <v>0.89</v>
      </c>
      <c r="K3169" s="14">
        <f t="shared" si="797"/>
        <v>-0.15</v>
      </c>
      <c r="L3169" s="14">
        <f t="shared" si="797"/>
        <v>8.19</v>
      </c>
      <c r="M3169" s="10">
        <v>2885</v>
      </c>
      <c r="N3169" s="69"/>
      <c r="O3169" s="11">
        <f>O3165+1</f>
        <v>766</v>
      </c>
    </row>
    <row r="3170" spans="1:15" s="4" customFormat="1" x14ac:dyDescent="0.25">
      <c r="A3170" s="10"/>
      <c r="B3170"/>
      <c r="C3170"/>
      <c r="D3170"/>
      <c r="E3170"/>
      <c r="F3170"/>
      <c r="G3170" s="21"/>
      <c r="H3170" s="21"/>
      <c r="I3170" s="21"/>
      <c r="J3170" s="21"/>
      <c r="K3170" s="21"/>
      <c r="L3170" s="21"/>
      <c r="M3170" s="10"/>
      <c r="N3170" s="67"/>
      <c r="O3170" s="11"/>
    </row>
    <row r="3171" spans="1:15" s="4" customFormat="1" x14ac:dyDescent="0.25">
      <c r="A3171" s="6">
        <v>1569</v>
      </c>
      <c r="B3171" s="5" t="s">
        <v>18</v>
      </c>
      <c r="C3171" s="5" t="s">
        <v>17</v>
      </c>
      <c r="D3171" s="5" t="s">
        <v>411</v>
      </c>
      <c r="E3171" s="5" t="s">
        <v>412</v>
      </c>
      <c r="F3171" s="5" t="s">
        <v>19</v>
      </c>
      <c r="G3171" s="22">
        <v>0.27</v>
      </c>
      <c r="H3171" s="22">
        <v>0</v>
      </c>
      <c r="I3171" s="22">
        <v>0</v>
      </c>
      <c r="J3171" s="22">
        <v>0</v>
      </c>
      <c r="K3171" s="22">
        <v>-0.24</v>
      </c>
      <c r="L3171" s="22">
        <v>0.03</v>
      </c>
      <c r="M3171" s="10"/>
      <c r="N3171" s="67"/>
      <c r="O3171" s="11"/>
    </row>
    <row r="3172" spans="1:15" x14ac:dyDescent="0.25">
      <c r="A3172" s="6"/>
      <c r="B3172" s="5"/>
      <c r="C3172" s="5"/>
      <c r="D3172" s="5" t="s">
        <v>411</v>
      </c>
      <c r="E3172" s="5" t="s">
        <v>412</v>
      </c>
      <c r="F3172" s="5" t="s">
        <v>19</v>
      </c>
      <c r="G3172" s="14">
        <f t="shared" ref="G3172:L3172" si="798">SUBTOTAL(9,G3171:G3171)</f>
        <v>0.27</v>
      </c>
      <c r="H3172" s="14">
        <f t="shared" si="798"/>
        <v>0</v>
      </c>
      <c r="I3172" s="14">
        <f t="shared" si="798"/>
        <v>0</v>
      </c>
      <c r="J3172" s="14">
        <f t="shared" si="798"/>
        <v>0</v>
      </c>
      <c r="K3172" s="14">
        <f t="shared" si="798"/>
        <v>-0.24</v>
      </c>
      <c r="L3172" s="14">
        <f t="shared" si="798"/>
        <v>0.03</v>
      </c>
      <c r="M3172" s="10">
        <v>2886</v>
      </c>
      <c r="N3172" s="69"/>
      <c r="O3172" s="11">
        <f>O3169+1</f>
        <v>767</v>
      </c>
    </row>
    <row r="3173" spans="1:15" x14ac:dyDescent="0.25">
      <c r="A3173" s="10"/>
      <c r="G3173" s="21"/>
      <c r="H3173" s="21"/>
      <c r="I3173" s="21"/>
      <c r="J3173" s="21"/>
      <c r="K3173" s="21"/>
      <c r="L3173" s="21"/>
      <c r="M3173" s="10"/>
      <c r="O3173" s="11"/>
    </row>
    <row r="3174" spans="1:15" s="4" customFormat="1" x14ac:dyDescent="0.25">
      <c r="A3174" s="6">
        <v>1570</v>
      </c>
      <c r="B3174" s="5" t="s">
        <v>550</v>
      </c>
      <c r="C3174" s="5" t="s">
        <v>13</v>
      </c>
      <c r="D3174" s="5" t="s">
        <v>411</v>
      </c>
      <c r="E3174" s="5" t="s">
        <v>412</v>
      </c>
      <c r="F3174" s="5" t="s">
        <v>551</v>
      </c>
      <c r="G3174" s="22">
        <v>0</v>
      </c>
      <c r="H3174" s="22">
        <v>0</v>
      </c>
      <c r="I3174" s="22">
        <v>0</v>
      </c>
      <c r="J3174" s="22">
        <v>1104</v>
      </c>
      <c r="K3174" s="22">
        <v>0</v>
      </c>
      <c r="L3174" s="22">
        <v>1104</v>
      </c>
      <c r="M3174" s="10"/>
      <c r="N3174" s="67"/>
      <c r="O3174" s="11"/>
    </row>
    <row r="3175" spans="1:15" x14ac:dyDescent="0.25">
      <c r="A3175" s="6">
        <v>1571</v>
      </c>
      <c r="B3175" s="5" t="s">
        <v>550</v>
      </c>
      <c r="C3175" s="5" t="s">
        <v>17</v>
      </c>
      <c r="D3175" s="5" t="s">
        <v>411</v>
      </c>
      <c r="E3175" s="5" t="s">
        <v>412</v>
      </c>
      <c r="F3175" s="5" t="s">
        <v>551</v>
      </c>
      <c r="G3175" s="22">
        <v>9200.0300000000007</v>
      </c>
      <c r="H3175" s="22">
        <v>0</v>
      </c>
      <c r="I3175" s="22">
        <v>0</v>
      </c>
      <c r="J3175" s="22">
        <v>0</v>
      </c>
      <c r="K3175" s="22">
        <v>-184</v>
      </c>
      <c r="L3175" s="22">
        <v>9016.0300000000007</v>
      </c>
      <c r="M3175" s="10"/>
      <c r="O3175" s="11"/>
    </row>
    <row r="3176" spans="1:15" x14ac:dyDescent="0.25">
      <c r="A3176" s="6"/>
      <c r="B3176" s="5"/>
      <c r="C3176" s="5"/>
      <c r="D3176" s="5" t="s">
        <v>411</v>
      </c>
      <c r="E3176" s="5" t="s">
        <v>412</v>
      </c>
      <c r="F3176" s="5" t="s">
        <v>551</v>
      </c>
      <c r="G3176" s="14">
        <f t="shared" ref="G3176:L3176" si="799">SUBTOTAL(9,G3174:G3175)</f>
        <v>9200.0300000000007</v>
      </c>
      <c r="H3176" s="14">
        <f t="shared" si="799"/>
        <v>0</v>
      </c>
      <c r="I3176" s="14">
        <f t="shared" si="799"/>
        <v>0</v>
      </c>
      <c r="J3176" s="14">
        <f t="shared" si="799"/>
        <v>1104</v>
      </c>
      <c r="K3176" s="14">
        <f t="shared" si="799"/>
        <v>-184</v>
      </c>
      <c r="L3176" s="14">
        <f t="shared" si="799"/>
        <v>10120.030000000001</v>
      </c>
      <c r="M3176" s="10">
        <v>2887</v>
      </c>
      <c r="N3176" s="69"/>
      <c r="O3176" s="11">
        <f>O3172+1</f>
        <v>768</v>
      </c>
    </row>
    <row r="3177" spans="1:15" s="4" customFormat="1" x14ac:dyDescent="0.25">
      <c r="A3177" s="10"/>
      <c r="B3177"/>
      <c r="C3177"/>
      <c r="D3177"/>
      <c r="E3177"/>
      <c r="F3177"/>
      <c r="G3177" s="21"/>
      <c r="H3177" s="21"/>
      <c r="I3177" s="21"/>
      <c r="J3177" s="21"/>
      <c r="K3177" s="21"/>
      <c r="L3177" s="21"/>
      <c r="M3177" s="10"/>
      <c r="N3177" s="67"/>
      <c r="O3177" s="11"/>
    </row>
    <row r="3178" spans="1:15" x14ac:dyDescent="0.25">
      <c r="A3178" s="6">
        <v>1572</v>
      </c>
      <c r="B3178" s="5" t="s">
        <v>550</v>
      </c>
      <c r="C3178" s="5" t="s">
        <v>13</v>
      </c>
      <c r="D3178" s="5" t="s">
        <v>411</v>
      </c>
      <c r="E3178" s="5" t="s">
        <v>412</v>
      </c>
      <c r="F3178" s="5" t="s">
        <v>552</v>
      </c>
      <c r="G3178" s="22">
        <v>0</v>
      </c>
      <c r="H3178" s="22">
        <v>0</v>
      </c>
      <c r="I3178" s="22">
        <v>0</v>
      </c>
      <c r="J3178" s="22">
        <v>0.08</v>
      </c>
      <c r="K3178" s="22">
        <v>0</v>
      </c>
      <c r="L3178" s="22">
        <v>0.08</v>
      </c>
      <c r="M3178" s="10"/>
      <c r="O3178" s="11"/>
    </row>
    <row r="3179" spans="1:15" x14ac:dyDescent="0.25">
      <c r="A3179" s="6">
        <v>1573</v>
      </c>
      <c r="B3179" s="5" t="s">
        <v>550</v>
      </c>
      <c r="C3179" s="5" t="s">
        <v>17</v>
      </c>
      <c r="D3179" s="5" t="s">
        <v>411</v>
      </c>
      <c r="E3179" s="5" t="s">
        <v>412</v>
      </c>
      <c r="F3179" s="5" t="s">
        <v>552</v>
      </c>
      <c r="G3179" s="22">
        <v>0.66</v>
      </c>
      <c r="H3179" s="22">
        <v>0</v>
      </c>
      <c r="I3179" s="22">
        <v>0</v>
      </c>
      <c r="J3179" s="22">
        <v>0</v>
      </c>
      <c r="K3179" s="22">
        <v>-0.01</v>
      </c>
      <c r="L3179" s="22">
        <v>0.65</v>
      </c>
      <c r="M3179" s="10"/>
      <c r="O3179" s="11"/>
    </row>
    <row r="3180" spans="1:15" s="4" customFormat="1" x14ac:dyDescent="0.25">
      <c r="A3180" s="6"/>
      <c r="B3180" s="5"/>
      <c r="C3180" s="5"/>
      <c r="D3180" s="5" t="s">
        <v>411</v>
      </c>
      <c r="E3180" s="5" t="s">
        <v>412</v>
      </c>
      <c r="F3180" s="5" t="s">
        <v>552</v>
      </c>
      <c r="G3180" s="14">
        <f t="shared" ref="G3180:L3180" si="800">SUBTOTAL(9,G3178:G3179)</f>
        <v>0.66</v>
      </c>
      <c r="H3180" s="14">
        <f t="shared" si="800"/>
        <v>0</v>
      </c>
      <c r="I3180" s="14">
        <f t="shared" si="800"/>
        <v>0</v>
      </c>
      <c r="J3180" s="14">
        <f t="shared" si="800"/>
        <v>0.08</v>
      </c>
      <c r="K3180" s="14">
        <f t="shared" si="800"/>
        <v>-0.01</v>
      </c>
      <c r="L3180" s="14">
        <f t="shared" si="800"/>
        <v>0.73</v>
      </c>
      <c r="M3180" s="10">
        <v>2888</v>
      </c>
      <c r="N3180" s="69"/>
      <c r="O3180" s="11">
        <f>O3176+1</f>
        <v>769</v>
      </c>
    </row>
    <row r="3181" spans="1:15" s="4" customFormat="1" x14ac:dyDescent="0.25">
      <c r="A3181" s="10"/>
      <c r="B3181"/>
      <c r="C3181"/>
      <c r="D3181"/>
      <c r="E3181"/>
      <c r="F3181"/>
      <c r="G3181" s="21"/>
      <c r="H3181" s="21"/>
      <c r="I3181" s="21"/>
      <c r="J3181" s="21"/>
      <c r="K3181" s="21"/>
      <c r="L3181" s="21"/>
      <c r="M3181" s="10"/>
      <c r="N3181" s="67"/>
      <c r="O3181" s="11"/>
    </row>
    <row r="3182" spans="1:15" x14ac:dyDescent="0.25">
      <c r="A3182" s="6">
        <v>1574</v>
      </c>
      <c r="B3182" s="5" t="s">
        <v>550</v>
      </c>
      <c r="C3182" s="5" t="s">
        <v>17</v>
      </c>
      <c r="D3182" s="5" t="s">
        <v>632</v>
      </c>
      <c r="E3182" s="5" t="s">
        <v>414</v>
      </c>
      <c r="F3182" s="5" t="s">
        <v>551</v>
      </c>
      <c r="G3182" s="22">
        <v>0</v>
      </c>
      <c r="H3182" s="22">
        <v>0</v>
      </c>
      <c r="I3182" s="22">
        <v>6.47</v>
      </c>
      <c r="J3182" s="22">
        <v>0</v>
      </c>
      <c r="K3182" s="22">
        <v>-0.13</v>
      </c>
      <c r="L3182" s="22">
        <v>6.34</v>
      </c>
      <c r="M3182" s="10"/>
      <c r="O3182" s="11"/>
    </row>
    <row r="3183" spans="1:15" x14ac:dyDescent="0.25">
      <c r="A3183" s="6"/>
      <c r="B3183" s="5"/>
      <c r="C3183" s="5"/>
      <c r="D3183" s="5" t="s">
        <v>413</v>
      </c>
      <c r="E3183" s="5" t="s">
        <v>414</v>
      </c>
      <c r="F3183" s="5" t="s">
        <v>551</v>
      </c>
      <c r="G3183" s="14">
        <f t="shared" ref="G3183:L3183" si="801">SUBTOTAL(9,G3182:G3182)</f>
        <v>0</v>
      </c>
      <c r="H3183" s="14">
        <f t="shared" si="801"/>
        <v>0</v>
      </c>
      <c r="I3183" s="14">
        <f t="shared" si="801"/>
        <v>6.47</v>
      </c>
      <c r="J3183" s="14">
        <f t="shared" si="801"/>
        <v>0</v>
      </c>
      <c r="K3183" s="14">
        <f t="shared" si="801"/>
        <v>-0.13</v>
      </c>
      <c r="L3183" s="14">
        <f t="shared" si="801"/>
        <v>6.34</v>
      </c>
      <c r="M3183" s="10">
        <v>2889</v>
      </c>
      <c r="N3183" s="69"/>
      <c r="O3183" s="11">
        <f>O3180+1</f>
        <v>770</v>
      </c>
    </row>
    <row r="3184" spans="1:15" s="4" customFormat="1" x14ac:dyDescent="0.25">
      <c r="A3184" s="10"/>
      <c r="B3184"/>
      <c r="C3184"/>
      <c r="D3184"/>
      <c r="E3184"/>
      <c r="F3184"/>
      <c r="G3184" s="21"/>
      <c r="H3184" s="21"/>
      <c r="I3184" s="21"/>
      <c r="J3184" s="21"/>
      <c r="K3184" s="21"/>
      <c r="L3184" s="21"/>
      <c r="M3184" s="10"/>
      <c r="N3184" s="67"/>
      <c r="O3184" s="11"/>
    </row>
    <row r="3185" spans="1:15" s="4" customFormat="1" x14ac:dyDescent="0.25">
      <c r="A3185" s="6">
        <v>1575</v>
      </c>
      <c r="B3185" s="5" t="s">
        <v>18</v>
      </c>
      <c r="C3185" s="5" t="s">
        <v>17</v>
      </c>
      <c r="D3185" s="5" t="s">
        <v>415</v>
      </c>
      <c r="E3185" s="5" t="s">
        <v>416</v>
      </c>
      <c r="F3185" s="5" t="s">
        <v>19</v>
      </c>
      <c r="G3185" s="22">
        <v>0</v>
      </c>
      <c r="H3185" s="22">
        <v>0</v>
      </c>
      <c r="I3185" s="22">
        <v>0</v>
      </c>
      <c r="J3185" s="22">
        <v>0</v>
      </c>
      <c r="K3185" s="22">
        <v>0</v>
      </c>
      <c r="L3185" s="22">
        <v>0</v>
      </c>
      <c r="M3185" s="10"/>
      <c r="N3185" s="67"/>
      <c r="O3185" s="11"/>
    </row>
    <row r="3186" spans="1:15" x14ac:dyDescent="0.25">
      <c r="A3186" s="28"/>
      <c r="B3186" s="29"/>
      <c r="C3186" s="29"/>
      <c r="D3186" s="29"/>
      <c r="E3186" s="29"/>
      <c r="F3186" s="29" t="s">
        <v>657</v>
      </c>
      <c r="G3186" s="31">
        <f t="shared" ref="G3186:L3186" si="802">SUBTOTAL(9,G3185:G3185)</f>
        <v>0</v>
      </c>
      <c r="H3186" s="31">
        <f t="shared" si="802"/>
        <v>0</v>
      </c>
      <c r="I3186" s="31">
        <f t="shared" si="802"/>
        <v>0</v>
      </c>
      <c r="J3186" s="31">
        <f t="shared" si="802"/>
        <v>0</v>
      </c>
      <c r="K3186" s="31">
        <f t="shared" si="802"/>
        <v>0</v>
      </c>
      <c r="L3186" s="31">
        <f t="shared" si="802"/>
        <v>0</v>
      </c>
      <c r="M3186" s="42"/>
      <c r="O3186" s="50"/>
    </row>
    <row r="3187" spans="1:15" x14ac:dyDescent="0.25">
      <c r="A3187" s="10"/>
      <c r="G3187" s="21"/>
      <c r="H3187" s="21"/>
      <c r="I3187" s="21"/>
      <c r="J3187" s="21"/>
      <c r="K3187" s="21"/>
      <c r="L3187" s="21"/>
      <c r="M3187" s="10"/>
      <c r="O3187" s="11"/>
    </row>
    <row r="3188" spans="1:15" s="4" customFormat="1" x14ac:dyDescent="0.25">
      <c r="A3188" s="6">
        <v>1576</v>
      </c>
      <c r="B3188" s="5" t="s">
        <v>550</v>
      </c>
      <c r="C3188" s="5" t="s">
        <v>17</v>
      </c>
      <c r="D3188" s="5" t="s">
        <v>633</v>
      </c>
      <c r="E3188" s="5" t="s">
        <v>414</v>
      </c>
      <c r="F3188" s="5" t="s">
        <v>551</v>
      </c>
      <c r="G3188" s="22">
        <v>0</v>
      </c>
      <c r="H3188" s="22">
        <v>0</v>
      </c>
      <c r="I3188" s="22">
        <v>9.15</v>
      </c>
      <c r="J3188" s="22">
        <v>0</v>
      </c>
      <c r="K3188" s="22">
        <v>-0.18</v>
      </c>
      <c r="L3188" s="22">
        <v>8.9700000000000006</v>
      </c>
      <c r="M3188" s="10"/>
      <c r="N3188" s="67"/>
      <c r="O3188" s="11"/>
    </row>
    <row r="3189" spans="1:15" s="4" customFormat="1" x14ac:dyDescent="0.25">
      <c r="A3189" s="6"/>
      <c r="B3189" s="5"/>
      <c r="C3189" s="5"/>
      <c r="D3189" s="5" t="s">
        <v>417</v>
      </c>
      <c r="E3189" s="5" t="s">
        <v>414</v>
      </c>
      <c r="F3189" s="5" t="s">
        <v>551</v>
      </c>
      <c r="G3189" s="14">
        <f t="shared" ref="G3189:L3189" si="803">SUBTOTAL(9,G3188:G3188)</f>
        <v>0</v>
      </c>
      <c r="H3189" s="14">
        <f t="shared" si="803"/>
        <v>0</v>
      </c>
      <c r="I3189" s="14">
        <f t="shared" si="803"/>
        <v>9.15</v>
      </c>
      <c r="J3189" s="14">
        <f t="shared" si="803"/>
        <v>0</v>
      </c>
      <c r="K3189" s="14">
        <f t="shared" si="803"/>
        <v>-0.18</v>
      </c>
      <c r="L3189" s="14">
        <f t="shared" si="803"/>
        <v>8.9700000000000006</v>
      </c>
      <c r="M3189" s="10">
        <v>2890</v>
      </c>
      <c r="N3189" s="69"/>
      <c r="O3189" s="11">
        <f>O3183+1</f>
        <v>771</v>
      </c>
    </row>
    <row r="3190" spans="1:15" x14ac:dyDescent="0.25">
      <c r="A3190" s="10"/>
      <c r="G3190" s="21"/>
      <c r="H3190" s="21"/>
      <c r="I3190" s="21"/>
      <c r="J3190" s="21"/>
      <c r="K3190" s="21"/>
      <c r="L3190" s="21"/>
      <c r="M3190" s="10"/>
      <c r="O3190" s="11"/>
    </row>
    <row r="3191" spans="1:15" x14ac:dyDescent="0.25">
      <c r="A3191" s="6">
        <v>1577</v>
      </c>
      <c r="B3191" s="5" t="s">
        <v>18</v>
      </c>
      <c r="C3191" s="5" t="s">
        <v>17</v>
      </c>
      <c r="D3191" s="5" t="s">
        <v>418</v>
      </c>
      <c r="E3191" s="5" t="s">
        <v>419</v>
      </c>
      <c r="F3191" s="5" t="s">
        <v>19</v>
      </c>
      <c r="G3191" s="22">
        <v>0</v>
      </c>
      <c r="H3191" s="22">
        <v>0</v>
      </c>
      <c r="I3191" s="22">
        <v>0.14000000000000001</v>
      </c>
      <c r="J3191" s="22">
        <v>0</v>
      </c>
      <c r="K3191" s="22">
        <v>-0.02</v>
      </c>
      <c r="L3191" s="22">
        <v>0.12</v>
      </c>
      <c r="M3191" s="10"/>
      <c r="O3191" s="11"/>
    </row>
    <row r="3192" spans="1:15" s="4" customFormat="1" x14ac:dyDescent="0.25">
      <c r="A3192" s="6">
        <v>1578</v>
      </c>
      <c r="B3192" s="5" t="s">
        <v>18</v>
      </c>
      <c r="C3192" s="5" t="s">
        <v>17</v>
      </c>
      <c r="D3192" s="5" t="s">
        <v>418</v>
      </c>
      <c r="E3192" s="5" t="s">
        <v>419</v>
      </c>
      <c r="F3192" s="5" t="s">
        <v>19</v>
      </c>
      <c r="G3192" s="22">
        <v>0</v>
      </c>
      <c r="H3192" s="22">
        <v>0</v>
      </c>
      <c r="I3192" s="22">
        <v>7.0000000000000007E-2</v>
      </c>
      <c r="J3192" s="22">
        <v>0</v>
      </c>
      <c r="K3192" s="22">
        <v>0</v>
      </c>
      <c r="L3192" s="22">
        <v>7.0000000000000007E-2</v>
      </c>
      <c r="M3192" s="10"/>
      <c r="N3192" s="67"/>
      <c r="O3192" s="11"/>
    </row>
    <row r="3193" spans="1:15" s="4" customFormat="1" x14ac:dyDescent="0.25">
      <c r="A3193" s="6">
        <v>1579</v>
      </c>
      <c r="B3193" s="5" t="s">
        <v>18</v>
      </c>
      <c r="C3193" s="5" t="s">
        <v>17</v>
      </c>
      <c r="D3193" s="5" t="s">
        <v>418</v>
      </c>
      <c r="E3193" s="5" t="s">
        <v>419</v>
      </c>
      <c r="F3193" s="5" t="s">
        <v>19</v>
      </c>
      <c r="G3193" s="22">
        <v>0</v>
      </c>
      <c r="H3193" s="22">
        <v>0</v>
      </c>
      <c r="I3193" s="22">
        <v>0.08</v>
      </c>
      <c r="J3193" s="22">
        <v>0</v>
      </c>
      <c r="K3193" s="22">
        <v>0</v>
      </c>
      <c r="L3193" s="22">
        <v>0.08</v>
      </c>
      <c r="M3193" s="10"/>
      <c r="N3193" s="67"/>
      <c r="O3193" s="11"/>
    </row>
    <row r="3194" spans="1:15" x14ac:dyDescent="0.25">
      <c r="A3194" s="6"/>
      <c r="B3194" s="5"/>
      <c r="C3194" s="5"/>
      <c r="D3194" s="5" t="s">
        <v>418</v>
      </c>
      <c r="E3194" s="5" t="s">
        <v>419</v>
      </c>
      <c r="F3194" s="5" t="s">
        <v>19</v>
      </c>
      <c r="G3194" s="14">
        <f t="shared" ref="G3194:L3194" si="804">SUBTOTAL(9,G3191:G3193)</f>
        <v>0</v>
      </c>
      <c r="H3194" s="14">
        <f t="shared" si="804"/>
        <v>0</v>
      </c>
      <c r="I3194" s="14">
        <f t="shared" si="804"/>
        <v>0.29000000000000004</v>
      </c>
      <c r="J3194" s="14">
        <f t="shared" si="804"/>
        <v>0</v>
      </c>
      <c r="K3194" s="14">
        <f t="shared" si="804"/>
        <v>-0.02</v>
      </c>
      <c r="L3194" s="14">
        <f t="shared" si="804"/>
        <v>0.27</v>
      </c>
      <c r="M3194" s="10">
        <v>2891</v>
      </c>
      <c r="N3194" s="69"/>
      <c r="O3194" s="11">
        <f>O3189+1</f>
        <v>772</v>
      </c>
    </row>
    <row r="3195" spans="1:15" x14ac:dyDescent="0.25">
      <c r="A3195" s="10"/>
      <c r="G3195" s="21"/>
      <c r="H3195" s="21"/>
      <c r="I3195" s="21"/>
      <c r="J3195" s="21"/>
      <c r="K3195" s="21"/>
      <c r="L3195" s="21"/>
      <c r="M3195" s="10"/>
      <c r="O3195" s="11"/>
    </row>
    <row r="3196" spans="1:15" s="4" customFormat="1" x14ac:dyDescent="0.25">
      <c r="A3196" s="6">
        <v>1580</v>
      </c>
      <c r="B3196" s="5" t="s">
        <v>12</v>
      </c>
      <c r="C3196" s="5" t="s">
        <v>17</v>
      </c>
      <c r="D3196" s="5" t="s">
        <v>634</v>
      </c>
      <c r="E3196" s="5" t="s">
        <v>419</v>
      </c>
      <c r="F3196" s="5" t="s">
        <v>16</v>
      </c>
      <c r="G3196" s="22">
        <v>0</v>
      </c>
      <c r="H3196" s="22">
        <v>0</v>
      </c>
      <c r="I3196" s="22">
        <v>0.86</v>
      </c>
      <c r="J3196" s="22">
        <v>0</v>
      </c>
      <c r="K3196" s="22">
        <v>-0.02</v>
      </c>
      <c r="L3196" s="22">
        <v>0.84</v>
      </c>
      <c r="M3196" s="10"/>
      <c r="N3196" s="67"/>
      <c r="O3196" s="11"/>
    </row>
    <row r="3197" spans="1:15" x14ac:dyDescent="0.25">
      <c r="A3197" s="6"/>
      <c r="B3197" s="5"/>
      <c r="C3197" s="5"/>
      <c r="D3197" s="5" t="s">
        <v>418</v>
      </c>
      <c r="E3197" s="5" t="s">
        <v>419</v>
      </c>
      <c r="F3197" s="5" t="s">
        <v>16</v>
      </c>
      <c r="G3197" s="14">
        <f t="shared" ref="G3197:L3197" si="805">SUBTOTAL(9,G3196:G3196)</f>
        <v>0</v>
      </c>
      <c r="H3197" s="14">
        <f t="shared" si="805"/>
        <v>0</v>
      </c>
      <c r="I3197" s="14">
        <f t="shared" si="805"/>
        <v>0.86</v>
      </c>
      <c r="J3197" s="14">
        <f t="shared" si="805"/>
        <v>0</v>
      </c>
      <c r="K3197" s="14">
        <f t="shared" si="805"/>
        <v>-0.02</v>
      </c>
      <c r="L3197" s="14">
        <f t="shared" si="805"/>
        <v>0.84</v>
      </c>
      <c r="M3197" s="10">
        <v>2892</v>
      </c>
      <c r="N3197" s="69"/>
      <c r="O3197" s="11">
        <f>O3194+1</f>
        <v>773</v>
      </c>
    </row>
    <row r="3198" spans="1:15" x14ac:dyDescent="0.25">
      <c r="A3198" s="10"/>
      <c r="G3198" s="21"/>
      <c r="H3198" s="21"/>
      <c r="I3198" s="21"/>
      <c r="J3198" s="21"/>
      <c r="K3198" s="21"/>
      <c r="L3198" s="21"/>
      <c r="M3198" s="10"/>
      <c r="O3198" s="11"/>
    </row>
    <row r="3199" spans="1:15" s="4" customFormat="1" x14ac:dyDescent="0.25">
      <c r="A3199" s="6">
        <v>1581</v>
      </c>
      <c r="B3199" s="5" t="s">
        <v>33</v>
      </c>
      <c r="C3199" s="5" t="s">
        <v>17</v>
      </c>
      <c r="D3199" s="5" t="s">
        <v>634</v>
      </c>
      <c r="E3199" s="5" t="s">
        <v>419</v>
      </c>
      <c r="F3199" s="5" t="s">
        <v>34</v>
      </c>
      <c r="G3199" s="22">
        <v>0</v>
      </c>
      <c r="H3199" s="22">
        <v>0</v>
      </c>
      <c r="I3199" s="22">
        <v>3.06</v>
      </c>
      <c r="J3199" s="22">
        <v>0</v>
      </c>
      <c r="K3199" s="22">
        <v>-0.06</v>
      </c>
      <c r="L3199" s="22">
        <v>3</v>
      </c>
      <c r="M3199" s="10"/>
      <c r="N3199" s="67"/>
      <c r="O3199" s="11"/>
    </row>
    <row r="3200" spans="1:15" x14ac:dyDescent="0.25">
      <c r="A3200" s="6">
        <v>1582</v>
      </c>
      <c r="B3200" s="5" t="s">
        <v>33</v>
      </c>
      <c r="C3200" s="5" t="s">
        <v>49</v>
      </c>
      <c r="D3200" s="5" t="s">
        <v>634</v>
      </c>
      <c r="E3200" s="5" t="s">
        <v>419</v>
      </c>
      <c r="F3200" s="5" t="s">
        <v>34</v>
      </c>
      <c r="G3200" s="22">
        <v>0</v>
      </c>
      <c r="H3200" s="22">
        <v>0</v>
      </c>
      <c r="I3200" s="22">
        <v>0.01</v>
      </c>
      <c r="J3200" s="22">
        <v>0</v>
      </c>
      <c r="K3200" s="22">
        <v>0</v>
      </c>
      <c r="L3200" s="22">
        <v>0.01</v>
      </c>
      <c r="M3200" s="10"/>
      <c r="N3200" s="70">
        <v>0.01</v>
      </c>
      <c r="O3200" s="11"/>
    </row>
    <row r="3201" spans="1:15" x14ac:dyDescent="0.25">
      <c r="A3201" s="6"/>
      <c r="B3201" s="5"/>
      <c r="C3201" s="5"/>
      <c r="D3201" s="5" t="s">
        <v>418</v>
      </c>
      <c r="E3201" s="5" t="s">
        <v>419</v>
      </c>
      <c r="F3201" s="5" t="s">
        <v>34</v>
      </c>
      <c r="G3201" s="14">
        <f t="shared" ref="G3201:L3201" si="806">SUBTOTAL(9,G3199:G3200)</f>
        <v>0</v>
      </c>
      <c r="H3201" s="14">
        <f t="shared" si="806"/>
        <v>0</v>
      </c>
      <c r="I3201" s="14">
        <f t="shared" si="806"/>
        <v>3.07</v>
      </c>
      <c r="J3201" s="14">
        <f t="shared" si="806"/>
        <v>0</v>
      </c>
      <c r="K3201" s="14">
        <f t="shared" si="806"/>
        <v>-0.06</v>
      </c>
      <c r="L3201" s="14">
        <f t="shared" si="806"/>
        <v>3.01</v>
      </c>
      <c r="M3201" s="10">
        <v>2893</v>
      </c>
      <c r="N3201" s="71">
        <f>SUBTOTAL(9,N3199:N3200)</f>
        <v>0.01</v>
      </c>
      <c r="O3201" s="11">
        <f>O3197+1</f>
        <v>774</v>
      </c>
    </row>
    <row r="3202" spans="1:15" s="4" customFormat="1" x14ac:dyDescent="0.25">
      <c r="A3202" s="10"/>
      <c r="B3202"/>
      <c r="C3202"/>
      <c r="D3202"/>
      <c r="E3202"/>
      <c r="F3202"/>
      <c r="G3202" s="21"/>
      <c r="H3202" s="21"/>
      <c r="I3202" s="21"/>
      <c r="J3202" s="21"/>
      <c r="K3202" s="21"/>
      <c r="L3202" s="21"/>
      <c r="M3202" s="10"/>
      <c r="N3202" s="67"/>
      <c r="O3202" s="11"/>
    </row>
    <row r="3203" spans="1:15" s="4" customFormat="1" x14ac:dyDescent="0.25">
      <c r="A3203" s="6">
        <v>1583</v>
      </c>
      <c r="B3203" s="5" t="s">
        <v>22</v>
      </c>
      <c r="C3203" s="5" t="s">
        <v>17</v>
      </c>
      <c r="D3203" s="5" t="s">
        <v>634</v>
      </c>
      <c r="E3203" s="5" t="s">
        <v>419</v>
      </c>
      <c r="F3203" s="5" t="s">
        <v>23</v>
      </c>
      <c r="G3203" s="22">
        <v>0</v>
      </c>
      <c r="H3203" s="22">
        <v>0</v>
      </c>
      <c r="I3203" s="22">
        <v>0</v>
      </c>
      <c r="J3203" s="22">
        <v>0</v>
      </c>
      <c r="K3203" s="22">
        <v>0</v>
      </c>
      <c r="L3203" s="22">
        <v>0</v>
      </c>
      <c r="M3203" s="10"/>
      <c r="N3203" s="67"/>
      <c r="O3203" s="11"/>
    </row>
    <row r="3204" spans="1:15" x14ac:dyDescent="0.25">
      <c r="A3204" s="28"/>
      <c r="B3204" s="29"/>
      <c r="C3204" s="29"/>
      <c r="D3204" s="29"/>
      <c r="E3204" s="29"/>
      <c r="F3204" s="29" t="s">
        <v>666</v>
      </c>
      <c r="G3204" s="31">
        <f t="shared" ref="G3204:L3204" si="807">SUBTOTAL(9,G3203:G3203)</f>
        <v>0</v>
      </c>
      <c r="H3204" s="31">
        <f t="shared" si="807"/>
        <v>0</v>
      </c>
      <c r="I3204" s="31">
        <f t="shared" si="807"/>
        <v>0</v>
      </c>
      <c r="J3204" s="31">
        <f t="shared" si="807"/>
        <v>0</v>
      </c>
      <c r="K3204" s="31">
        <f t="shared" si="807"/>
        <v>0</v>
      </c>
      <c r="L3204" s="31">
        <f t="shared" si="807"/>
        <v>0</v>
      </c>
      <c r="M3204" s="42"/>
      <c r="O3204" s="50"/>
    </row>
    <row r="3205" spans="1:15" x14ac:dyDescent="0.25">
      <c r="A3205" s="10"/>
      <c r="G3205" s="21"/>
      <c r="H3205" s="21"/>
      <c r="I3205" s="21"/>
      <c r="J3205" s="21"/>
      <c r="K3205" s="21"/>
      <c r="L3205" s="21"/>
      <c r="M3205" s="10"/>
      <c r="O3205" s="11"/>
    </row>
    <row r="3206" spans="1:15" s="4" customFormat="1" x14ac:dyDescent="0.25">
      <c r="A3206" s="6">
        <v>1584</v>
      </c>
      <c r="B3206" s="5" t="s">
        <v>22</v>
      </c>
      <c r="C3206" s="5" t="s">
        <v>17</v>
      </c>
      <c r="D3206" s="5" t="s">
        <v>634</v>
      </c>
      <c r="E3206" s="5" t="s">
        <v>419</v>
      </c>
      <c r="F3206" s="5" t="s">
        <v>24</v>
      </c>
      <c r="G3206" s="22">
        <v>0</v>
      </c>
      <c r="H3206" s="22">
        <v>0</v>
      </c>
      <c r="I3206" s="22">
        <v>0</v>
      </c>
      <c r="J3206" s="22">
        <v>0</v>
      </c>
      <c r="K3206" s="22">
        <v>0</v>
      </c>
      <c r="L3206" s="22">
        <v>0</v>
      </c>
      <c r="M3206" s="10"/>
      <c r="N3206" s="67"/>
      <c r="O3206" s="11"/>
    </row>
    <row r="3207" spans="1:15" s="4" customFormat="1" x14ac:dyDescent="0.25">
      <c r="A3207" s="28"/>
      <c r="B3207" s="29"/>
      <c r="C3207" s="29"/>
      <c r="D3207" s="29"/>
      <c r="E3207" s="29"/>
      <c r="F3207" s="29" t="s">
        <v>660</v>
      </c>
      <c r="G3207" s="31">
        <f t="shared" ref="G3207:L3207" si="808">SUBTOTAL(9,G3206:G3206)</f>
        <v>0</v>
      </c>
      <c r="H3207" s="31">
        <f t="shared" si="808"/>
        <v>0</v>
      </c>
      <c r="I3207" s="31">
        <f t="shared" si="808"/>
        <v>0</v>
      </c>
      <c r="J3207" s="31">
        <f t="shared" si="808"/>
        <v>0</v>
      </c>
      <c r="K3207" s="31">
        <f t="shared" si="808"/>
        <v>0</v>
      </c>
      <c r="L3207" s="31">
        <f t="shared" si="808"/>
        <v>0</v>
      </c>
      <c r="M3207" s="42"/>
      <c r="N3207" s="67"/>
      <c r="O3207" s="50"/>
    </row>
    <row r="3208" spans="1:15" x14ac:dyDescent="0.25">
      <c r="A3208" s="10"/>
      <c r="G3208" s="21"/>
      <c r="H3208" s="21"/>
      <c r="I3208" s="21"/>
      <c r="J3208" s="21"/>
      <c r="K3208" s="21"/>
      <c r="L3208" s="21"/>
      <c r="M3208" s="10"/>
      <c r="O3208" s="11"/>
    </row>
    <row r="3209" spans="1:15" x14ac:dyDescent="0.25">
      <c r="A3209" s="6">
        <v>1585</v>
      </c>
      <c r="B3209" s="5" t="s">
        <v>550</v>
      </c>
      <c r="C3209" s="5" t="s">
        <v>17</v>
      </c>
      <c r="D3209" s="5" t="s">
        <v>634</v>
      </c>
      <c r="E3209" s="5" t="s">
        <v>419</v>
      </c>
      <c r="F3209" s="5" t="s">
        <v>551</v>
      </c>
      <c r="G3209" s="22">
        <v>0</v>
      </c>
      <c r="H3209" s="22">
        <v>0</v>
      </c>
      <c r="I3209" s="22">
        <v>17.829999999999998</v>
      </c>
      <c r="J3209" s="22">
        <v>0</v>
      </c>
      <c r="K3209" s="22">
        <v>-0.36</v>
      </c>
      <c r="L3209" s="22">
        <v>17.47</v>
      </c>
      <c r="M3209" s="10"/>
      <c r="O3209" s="11"/>
    </row>
    <row r="3210" spans="1:15" s="4" customFormat="1" x14ac:dyDescent="0.25">
      <c r="A3210" s="6">
        <v>1586</v>
      </c>
      <c r="B3210" s="5" t="s">
        <v>550</v>
      </c>
      <c r="C3210" s="5" t="s">
        <v>17</v>
      </c>
      <c r="D3210" s="5" t="s">
        <v>634</v>
      </c>
      <c r="E3210" s="5" t="s">
        <v>419</v>
      </c>
      <c r="F3210" s="5" t="s">
        <v>551</v>
      </c>
      <c r="G3210" s="22">
        <v>0</v>
      </c>
      <c r="H3210" s="22">
        <v>0</v>
      </c>
      <c r="I3210" s="22">
        <v>290.85000000000002</v>
      </c>
      <c r="J3210" s="22">
        <v>0</v>
      </c>
      <c r="K3210" s="22">
        <v>-5.82</v>
      </c>
      <c r="L3210" s="22">
        <v>285.02999999999997</v>
      </c>
      <c r="M3210" s="10"/>
      <c r="N3210" s="67"/>
      <c r="O3210" s="11"/>
    </row>
    <row r="3211" spans="1:15" s="4" customFormat="1" x14ac:dyDescent="0.25">
      <c r="A3211" s="6"/>
      <c r="B3211" s="5"/>
      <c r="C3211" s="5"/>
      <c r="D3211" s="5" t="s">
        <v>418</v>
      </c>
      <c r="E3211" s="5" t="s">
        <v>419</v>
      </c>
      <c r="F3211" s="5" t="s">
        <v>551</v>
      </c>
      <c r="G3211" s="14">
        <f t="shared" ref="G3211:L3211" si="809">SUBTOTAL(9,G3209:G3210)</f>
        <v>0</v>
      </c>
      <c r="H3211" s="14">
        <f t="shared" si="809"/>
        <v>0</v>
      </c>
      <c r="I3211" s="14">
        <f t="shared" si="809"/>
        <v>308.68</v>
      </c>
      <c r="J3211" s="14">
        <f t="shared" si="809"/>
        <v>0</v>
      </c>
      <c r="K3211" s="14">
        <f t="shared" si="809"/>
        <v>-6.1800000000000006</v>
      </c>
      <c r="L3211" s="14">
        <f t="shared" si="809"/>
        <v>302.5</v>
      </c>
      <c r="M3211" s="10">
        <v>2894</v>
      </c>
      <c r="N3211" s="69"/>
      <c r="O3211" s="11">
        <f>O3201+1</f>
        <v>775</v>
      </c>
    </row>
    <row r="3212" spans="1:15" x14ac:dyDescent="0.25">
      <c r="A3212" s="10"/>
      <c r="G3212" s="21"/>
      <c r="H3212" s="21"/>
      <c r="I3212" s="21"/>
      <c r="J3212" s="21"/>
      <c r="K3212" s="21"/>
      <c r="L3212" s="21"/>
      <c r="M3212" s="10"/>
      <c r="O3212" s="11"/>
    </row>
    <row r="3213" spans="1:15" x14ac:dyDescent="0.25">
      <c r="A3213" s="6">
        <v>1587</v>
      </c>
      <c r="B3213" s="5" t="s">
        <v>550</v>
      </c>
      <c r="C3213" s="5" t="s">
        <v>17</v>
      </c>
      <c r="D3213" s="5" t="s">
        <v>634</v>
      </c>
      <c r="E3213" s="5" t="s">
        <v>419</v>
      </c>
      <c r="F3213" s="5" t="s">
        <v>552</v>
      </c>
      <c r="G3213" s="22">
        <v>0</v>
      </c>
      <c r="H3213" s="22">
        <v>0</v>
      </c>
      <c r="I3213" s="22">
        <v>0.02</v>
      </c>
      <c r="J3213" s="22">
        <v>0</v>
      </c>
      <c r="K3213" s="22">
        <v>0</v>
      </c>
      <c r="L3213" s="22">
        <v>0.02</v>
      </c>
      <c r="M3213" s="10"/>
      <c r="O3213" s="11"/>
    </row>
    <row r="3214" spans="1:15" s="4" customFormat="1" x14ac:dyDescent="0.25">
      <c r="A3214" s="6"/>
      <c r="B3214" s="5"/>
      <c r="C3214" s="5"/>
      <c r="D3214" s="5" t="s">
        <v>418</v>
      </c>
      <c r="E3214" s="5" t="s">
        <v>419</v>
      </c>
      <c r="F3214" s="5" t="s">
        <v>552</v>
      </c>
      <c r="G3214" s="14">
        <f t="shared" ref="G3214:L3214" si="810">SUBTOTAL(9,G3213:G3213)</f>
        <v>0</v>
      </c>
      <c r="H3214" s="14">
        <f t="shared" si="810"/>
        <v>0</v>
      </c>
      <c r="I3214" s="14">
        <f t="shared" si="810"/>
        <v>0.02</v>
      </c>
      <c r="J3214" s="14">
        <f t="shared" si="810"/>
        <v>0</v>
      </c>
      <c r="K3214" s="14">
        <f t="shared" si="810"/>
        <v>0</v>
      </c>
      <c r="L3214" s="14">
        <f t="shared" si="810"/>
        <v>0.02</v>
      </c>
      <c r="M3214" s="10">
        <v>2895</v>
      </c>
      <c r="N3214" s="69"/>
      <c r="O3214" s="11">
        <f>O3211+1</f>
        <v>776</v>
      </c>
    </row>
    <row r="3215" spans="1:15" x14ac:dyDescent="0.25">
      <c r="A3215" s="10"/>
      <c r="G3215" s="21"/>
      <c r="H3215" s="21"/>
      <c r="I3215" s="21"/>
      <c r="J3215" s="21"/>
      <c r="K3215" s="21"/>
      <c r="L3215" s="21"/>
      <c r="M3215" s="10"/>
      <c r="O3215" s="11"/>
    </row>
    <row r="3216" spans="1:15" x14ac:dyDescent="0.25">
      <c r="A3216" s="6">
        <v>1588</v>
      </c>
      <c r="B3216" s="5" t="s">
        <v>18</v>
      </c>
      <c r="C3216" s="5" t="s">
        <v>17</v>
      </c>
      <c r="D3216" s="5" t="s">
        <v>420</v>
      </c>
      <c r="E3216" s="5" t="s">
        <v>421</v>
      </c>
      <c r="F3216" s="5" t="s">
        <v>19</v>
      </c>
      <c r="G3216" s="22">
        <v>0</v>
      </c>
      <c r="H3216" s="22">
        <v>0</v>
      </c>
      <c r="I3216" s="22">
        <v>0.12</v>
      </c>
      <c r="J3216" s="22">
        <v>0</v>
      </c>
      <c r="K3216" s="22">
        <v>-0.01</v>
      </c>
      <c r="L3216" s="22">
        <v>0.11</v>
      </c>
      <c r="M3216" s="10"/>
      <c r="O3216" s="11"/>
    </row>
    <row r="3217" spans="1:15" s="4" customFormat="1" x14ac:dyDescent="0.25">
      <c r="A3217" s="6"/>
      <c r="B3217" s="5"/>
      <c r="C3217" s="5"/>
      <c r="D3217" s="5" t="s">
        <v>420</v>
      </c>
      <c r="E3217" s="5" t="s">
        <v>421</v>
      </c>
      <c r="F3217" s="5" t="s">
        <v>19</v>
      </c>
      <c r="G3217" s="14">
        <f t="shared" ref="G3217:L3217" si="811">SUBTOTAL(9,G3216:G3216)</f>
        <v>0</v>
      </c>
      <c r="H3217" s="14">
        <f t="shared" si="811"/>
        <v>0</v>
      </c>
      <c r="I3217" s="14">
        <f t="shared" si="811"/>
        <v>0.12</v>
      </c>
      <c r="J3217" s="14">
        <f t="shared" si="811"/>
        <v>0</v>
      </c>
      <c r="K3217" s="14">
        <f t="shared" si="811"/>
        <v>-0.01</v>
      </c>
      <c r="L3217" s="14">
        <f t="shared" si="811"/>
        <v>0.11</v>
      </c>
      <c r="M3217" s="10">
        <v>2896</v>
      </c>
      <c r="N3217" s="69"/>
      <c r="O3217" s="11">
        <f>O3214+1</f>
        <v>777</v>
      </c>
    </row>
    <row r="3218" spans="1:15" x14ac:dyDescent="0.25">
      <c r="A3218" s="10"/>
      <c r="G3218" s="21"/>
      <c r="H3218" s="21"/>
      <c r="I3218" s="21"/>
      <c r="J3218" s="21"/>
      <c r="K3218" s="21"/>
      <c r="L3218" s="21"/>
      <c r="M3218" s="10"/>
      <c r="O3218" s="11"/>
    </row>
    <row r="3219" spans="1:15" x14ac:dyDescent="0.25">
      <c r="A3219" s="6">
        <v>1589</v>
      </c>
      <c r="B3219" s="5" t="s">
        <v>12</v>
      </c>
      <c r="C3219" s="5" t="s">
        <v>17</v>
      </c>
      <c r="D3219" s="5" t="s">
        <v>635</v>
      </c>
      <c r="E3219" s="5" t="s">
        <v>419</v>
      </c>
      <c r="F3219" s="5" t="s">
        <v>16</v>
      </c>
      <c r="G3219" s="22">
        <v>0</v>
      </c>
      <c r="H3219" s="22">
        <v>0</v>
      </c>
      <c r="I3219" s="22">
        <v>2.1800000000000002</v>
      </c>
      <c r="J3219" s="22">
        <v>0</v>
      </c>
      <c r="K3219" s="22">
        <v>-0.04</v>
      </c>
      <c r="L3219" s="22">
        <v>2.14</v>
      </c>
      <c r="M3219" s="10"/>
      <c r="O3219" s="11"/>
    </row>
    <row r="3220" spans="1:15" s="4" customFormat="1" x14ac:dyDescent="0.25">
      <c r="A3220" s="6"/>
      <c r="B3220" s="5"/>
      <c r="C3220" s="5"/>
      <c r="D3220" s="5" t="s">
        <v>420</v>
      </c>
      <c r="E3220" s="5" t="s">
        <v>419</v>
      </c>
      <c r="F3220" s="5" t="s">
        <v>16</v>
      </c>
      <c r="G3220" s="14">
        <f t="shared" ref="G3220:L3220" si="812">SUBTOTAL(9,G3219:G3219)</f>
        <v>0</v>
      </c>
      <c r="H3220" s="14">
        <f t="shared" si="812"/>
        <v>0</v>
      </c>
      <c r="I3220" s="14">
        <f t="shared" si="812"/>
        <v>2.1800000000000002</v>
      </c>
      <c r="J3220" s="14">
        <f t="shared" si="812"/>
        <v>0</v>
      </c>
      <c r="K3220" s="14">
        <f t="shared" si="812"/>
        <v>-0.04</v>
      </c>
      <c r="L3220" s="14">
        <f t="shared" si="812"/>
        <v>2.14</v>
      </c>
      <c r="M3220" s="10">
        <v>2897</v>
      </c>
      <c r="N3220" s="69"/>
      <c r="O3220" s="11">
        <f>O3217+1</f>
        <v>778</v>
      </c>
    </row>
    <row r="3221" spans="1:15" x14ac:dyDescent="0.25">
      <c r="A3221" s="10"/>
      <c r="G3221" s="21"/>
      <c r="H3221" s="21"/>
      <c r="I3221" s="21"/>
      <c r="J3221" s="21"/>
      <c r="K3221" s="21"/>
      <c r="L3221" s="21"/>
      <c r="M3221" s="10"/>
      <c r="O3221" s="11"/>
    </row>
    <row r="3222" spans="1:15" x14ac:dyDescent="0.25">
      <c r="A3222" s="6">
        <v>1590</v>
      </c>
      <c r="B3222" s="5" t="s">
        <v>33</v>
      </c>
      <c r="C3222" s="5" t="s">
        <v>17</v>
      </c>
      <c r="D3222" s="5" t="s">
        <v>635</v>
      </c>
      <c r="E3222" s="5" t="s">
        <v>419</v>
      </c>
      <c r="F3222" s="5" t="s">
        <v>34</v>
      </c>
      <c r="G3222" s="22">
        <v>0</v>
      </c>
      <c r="H3222" s="22">
        <v>0</v>
      </c>
      <c r="I3222" s="22">
        <v>2.42</v>
      </c>
      <c r="J3222" s="22">
        <v>0</v>
      </c>
      <c r="K3222" s="22">
        <v>-0.05</v>
      </c>
      <c r="L3222" s="22">
        <v>2.37</v>
      </c>
      <c r="M3222" s="10"/>
      <c r="O3222" s="11"/>
    </row>
    <row r="3223" spans="1:15" s="4" customFormat="1" x14ac:dyDescent="0.25">
      <c r="A3223" s="6"/>
      <c r="B3223" s="5"/>
      <c r="C3223" s="5"/>
      <c r="D3223" s="5" t="s">
        <v>420</v>
      </c>
      <c r="E3223" s="5" t="s">
        <v>419</v>
      </c>
      <c r="F3223" s="5" t="s">
        <v>34</v>
      </c>
      <c r="G3223" s="14">
        <f t="shared" ref="G3223:L3223" si="813">SUBTOTAL(9,G3222:G3222)</f>
        <v>0</v>
      </c>
      <c r="H3223" s="14">
        <f t="shared" si="813"/>
        <v>0</v>
      </c>
      <c r="I3223" s="14">
        <f t="shared" si="813"/>
        <v>2.42</v>
      </c>
      <c r="J3223" s="14">
        <f t="shared" si="813"/>
        <v>0</v>
      </c>
      <c r="K3223" s="14">
        <f t="shared" si="813"/>
        <v>-0.05</v>
      </c>
      <c r="L3223" s="14">
        <f t="shared" si="813"/>
        <v>2.37</v>
      </c>
      <c r="M3223" s="10">
        <v>2898</v>
      </c>
      <c r="N3223" s="69"/>
      <c r="O3223" s="11">
        <f>O3220+1</f>
        <v>779</v>
      </c>
    </row>
    <row r="3224" spans="1:15" x14ac:dyDescent="0.25">
      <c r="A3224" s="10"/>
      <c r="G3224" s="21"/>
      <c r="H3224" s="21"/>
      <c r="I3224" s="21"/>
      <c r="J3224" s="21"/>
      <c r="K3224" s="21"/>
      <c r="L3224" s="21"/>
      <c r="M3224" s="10"/>
      <c r="O3224" s="11"/>
    </row>
    <row r="3225" spans="1:15" x14ac:dyDescent="0.25">
      <c r="A3225" s="6">
        <v>1591</v>
      </c>
      <c r="B3225" s="5" t="s">
        <v>22</v>
      </c>
      <c r="C3225" s="5" t="s">
        <v>17</v>
      </c>
      <c r="D3225" s="5" t="s">
        <v>635</v>
      </c>
      <c r="E3225" s="5" t="s">
        <v>419</v>
      </c>
      <c r="F3225" s="5" t="s">
        <v>23</v>
      </c>
      <c r="G3225" s="22">
        <v>0</v>
      </c>
      <c r="H3225" s="22">
        <v>0</v>
      </c>
      <c r="I3225" s="22">
        <v>0</v>
      </c>
      <c r="J3225" s="22">
        <v>0</v>
      </c>
      <c r="K3225" s="22">
        <v>0</v>
      </c>
      <c r="L3225" s="22">
        <v>0</v>
      </c>
      <c r="M3225" s="10"/>
      <c r="O3225" s="11"/>
    </row>
    <row r="3226" spans="1:15" s="4" customFormat="1" x14ac:dyDescent="0.25">
      <c r="A3226" s="28"/>
      <c r="B3226" s="29"/>
      <c r="C3226" s="29"/>
      <c r="D3226" s="29"/>
      <c r="E3226" s="29"/>
      <c r="F3226" s="29" t="s">
        <v>666</v>
      </c>
      <c r="G3226" s="31">
        <f t="shared" ref="G3226:L3226" si="814">SUBTOTAL(9,G3225:G3225)</f>
        <v>0</v>
      </c>
      <c r="H3226" s="31">
        <f t="shared" si="814"/>
        <v>0</v>
      </c>
      <c r="I3226" s="31">
        <f t="shared" si="814"/>
        <v>0</v>
      </c>
      <c r="J3226" s="31">
        <f t="shared" si="814"/>
        <v>0</v>
      </c>
      <c r="K3226" s="31">
        <f t="shared" si="814"/>
        <v>0</v>
      </c>
      <c r="L3226" s="31">
        <f t="shared" si="814"/>
        <v>0</v>
      </c>
      <c r="M3226" s="42"/>
      <c r="N3226" s="67"/>
      <c r="O3226" s="11"/>
    </row>
    <row r="3227" spans="1:15" x14ac:dyDescent="0.25">
      <c r="A3227" s="10"/>
      <c r="G3227" s="21"/>
      <c r="H3227" s="21"/>
      <c r="I3227" s="21"/>
      <c r="J3227" s="21"/>
      <c r="K3227" s="21"/>
      <c r="L3227" s="21"/>
      <c r="M3227" s="10"/>
      <c r="O3227" s="11"/>
    </row>
    <row r="3228" spans="1:15" x14ac:dyDescent="0.25">
      <c r="A3228" s="6">
        <v>1592</v>
      </c>
      <c r="B3228" s="5" t="s">
        <v>22</v>
      </c>
      <c r="C3228" s="5" t="s">
        <v>17</v>
      </c>
      <c r="D3228" s="5" t="s">
        <v>635</v>
      </c>
      <c r="E3228" s="5" t="s">
        <v>419</v>
      </c>
      <c r="F3228" s="5" t="s">
        <v>24</v>
      </c>
      <c r="G3228" s="22">
        <v>0</v>
      </c>
      <c r="H3228" s="22">
        <v>0</v>
      </c>
      <c r="I3228" s="22">
        <v>0</v>
      </c>
      <c r="J3228" s="22">
        <v>0</v>
      </c>
      <c r="K3228" s="22">
        <v>0</v>
      </c>
      <c r="L3228" s="22">
        <v>0</v>
      </c>
      <c r="M3228" s="10"/>
      <c r="O3228" s="11"/>
    </row>
    <row r="3229" spans="1:15" s="4" customFormat="1" x14ac:dyDescent="0.25">
      <c r="A3229" s="28"/>
      <c r="B3229" s="29"/>
      <c r="C3229" s="29"/>
      <c r="D3229" s="29"/>
      <c r="E3229" s="29"/>
      <c r="F3229" s="29" t="s">
        <v>660</v>
      </c>
      <c r="G3229" s="31">
        <f t="shared" ref="G3229:L3229" si="815">SUBTOTAL(9,G3228:G3228)</f>
        <v>0</v>
      </c>
      <c r="H3229" s="31">
        <f t="shared" si="815"/>
        <v>0</v>
      </c>
      <c r="I3229" s="31">
        <f t="shared" si="815"/>
        <v>0</v>
      </c>
      <c r="J3229" s="31">
        <f t="shared" si="815"/>
        <v>0</v>
      </c>
      <c r="K3229" s="31">
        <f t="shared" si="815"/>
        <v>0</v>
      </c>
      <c r="L3229" s="31">
        <f t="shared" si="815"/>
        <v>0</v>
      </c>
      <c r="M3229" s="42"/>
      <c r="N3229" s="67"/>
      <c r="O3229" s="11"/>
    </row>
    <row r="3230" spans="1:15" x14ac:dyDescent="0.25">
      <c r="A3230" s="10"/>
      <c r="G3230" s="21"/>
      <c r="H3230" s="21"/>
      <c r="I3230" s="21"/>
      <c r="J3230" s="21"/>
      <c r="K3230" s="21"/>
      <c r="L3230" s="21"/>
      <c r="M3230" s="10"/>
      <c r="O3230" s="11"/>
    </row>
    <row r="3231" spans="1:15" x14ac:dyDescent="0.25">
      <c r="A3231" s="6">
        <v>1593</v>
      </c>
      <c r="B3231" s="5" t="s">
        <v>550</v>
      </c>
      <c r="C3231" s="5" t="s">
        <v>17</v>
      </c>
      <c r="D3231" s="5" t="s">
        <v>635</v>
      </c>
      <c r="E3231" s="5" t="s">
        <v>419</v>
      </c>
      <c r="F3231" s="5" t="s">
        <v>551</v>
      </c>
      <c r="G3231" s="22">
        <v>0</v>
      </c>
      <c r="H3231" s="22">
        <v>0</v>
      </c>
      <c r="I3231" s="22">
        <v>18.05</v>
      </c>
      <c r="J3231" s="22">
        <v>0</v>
      </c>
      <c r="K3231" s="22">
        <v>-0.36</v>
      </c>
      <c r="L3231" s="22">
        <v>17.690000000000001</v>
      </c>
      <c r="M3231" s="10"/>
      <c r="O3231" s="11"/>
    </row>
    <row r="3232" spans="1:15" s="4" customFormat="1" x14ac:dyDescent="0.25">
      <c r="A3232" s="6">
        <v>1594</v>
      </c>
      <c r="B3232" s="5" t="s">
        <v>550</v>
      </c>
      <c r="C3232" s="5" t="s">
        <v>17</v>
      </c>
      <c r="D3232" s="5" t="s">
        <v>635</v>
      </c>
      <c r="E3232" s="5" t="s">
        <v>419</v>
      </c>
      <c r="F3232" s="5" t="s">
        <v>551</v>
      </c>
      <c r="G3232" s="22">
        <v>0</v>
      </c>
      <c r="H3232" s="22">
        <v>0</v>
      </c>
      <c r="I3232" s="22">
        <v>267.14999999999998</v>
      </c>
      <c r="J3232" s="22">
        <v>0</v>
      </c>
      <c r="K3232" s="22">
        <v>-5.34</v>
      </c>
      <c r="L3232" s="22">
        <v>261.81</v>
      </c>
      <c r="M3232" s="10"/>
      <c r="N3232" s="67"/>
      <c r="O3232" s="11"/>
    </row>
    <row r="3233" spans="1:15" x14ac:dyDescent="0.25">
      <c r="A3233" s="6"/>
      <c r="B3233" s="5"/>
      <c r="C3233" s="5"/>
      <c r="D3233" s="5" t="s">
        <v>420</v>
      </c>
      <c r="E3233" s="5" t="s">
        <v>419</v>
      </c>
      <c r="F3233" s="5" t="s">
        <v>551</v>
      </c>
      <c r="G3233" s="14">
        <f t="shared" ref="G3233:L3233" si="816">SUBTOTAL(9,G3231:G3232)</f>
        <v>0</v>
      </c>
      <c r="H3233" s="14">
        <f t="shared" si="816"/>
        <v>0</v>
      </c>
      <c r="I3233" s="14">
        <f t="shared" si="816"/>
        <v>285.2</v>
      </c>
      <c r="J3233" s="14">
        <f t="shared" si="816"/>
        <v>0</v>
      </c>
      <c r="K3233" s="14">
        <f t="shared" si="816"/>
        <v>-5.7</v>
      </c>
      <c r="L3233" s="14">
        <f t="shared" si="816"/>
        <v>279.5</v>
      </c>
      <c r="M3233" s="10">
        <v>2899</v>
      </c>
      <c r="N3233" s="69"/>
      <c r="O3233" s="11">
        <f>O3223+1</f>
        <v>780</v>
      </c>
    </row>
    <row r="3234" spans="1:15" x14ac:dyDescent="0.25">
      <c r="A3234" s="10"/>
      <c r="G3234" s="21"/>
      <c r="H3234" s="21"/>
      <c r="I3234" s="21"/>
      <c r="J3234" s="21"/>
      <c r="K3234" s="21"/>
      <c r="L3234" s="21"/>
      <c r="M3234" s="10"/>
      <c r="O3234" s="11"/>
    </row>
    <row r="3235" spans="1:15" s="4" customFormat="1" x14ac:dyDescent="0.25">
      <c r="A3235" s="6">
        <v>1595</v>
      </c>
      <c r="B3235" s="5" t="s">
        <v>550</v>
      </c>
      <c r="C3235" s="5" t="s">
        <v>17</v>
      </c>
      <c r="D3235" s="5" t="s">
        <v>635</v>
      </c>
      <c r="E3235" s="5" t="s">
        <v>419</v>
      </c>
      <c r="F3235" s="5" t="s">
        <v>552</v>
      </c>
      <c r="G3235" s="22">
        <v>0</v>
      </c>
      <c r="H3235" s="22">
        <v>0</v>
      </c>
      <c r="I3235" s="22">
        <v>0.02</v>
      </c>
      <c r="J3235" s="22">
        <v>0</v>
      </c>
      <c r="K3235" s="22">
        <v>0</v>
      </c>
      <c r="L3235" s="22">
        <v>0.02</v>
      </c>
      <c r="M3235" s="10"/>
      <c r="N3235" s="67"/>
      <c r="O3235" s="11"/>
    </row>
    <row r="3236" spans="1:15" s="4" customFormat="1" x14ac:dyDescent="0.25">
      <c r="A3236" s="6"/>
      <c r="B3236" s="5"/>
      <c r="C3236" s="5"/>
      <c r="D3236" s="5" t="s">
        <v>420</v>
      </c>
      <c r="E3236" s="5" t="s">
        <v>419</v>
      </c>
      <c r="F3236" s="5" t="s">
        <v>552</v>
      </c>
      <c r="G3236" s="14">
        <f t="shared" ref="G3236:L3236" si="817">SUBTOTAL(9,G3235:G3235)</f>
        <v>0</v>
      </c>
      <c r="H3236" s="14">
        <f t="shared" si="817"/>
        <v>0</v>
      </c>
      <c r="I3236" s="14">
        <f t="shared" si="817"/>
        <v>0.02</v>
      </c>
      <c r="J3236" s="14">
        <f t="shared" si="817"/>
        <v>0</v>
      </c>
      <c r="K3236" s="14">
        <f t="shared" si="817"/>
        <v>0</v>
      </c>
      <c r="L3236" s="14">
        <f t="shared" si="817"/>
        <v>0.02</v>
      </c>
      <c r="M3236" s="10">
        <v>2900</v>
      </c>
      <c r="N3236" s="69"/>
      <c r="O3236" s="11">
        <f>O3233+1</f>
        <v>781</v>
      </c>
    </row>
    <row r="3237" spans="1:15" s="4" customFormat="1" x14ac:dyDescent="0.25">
      <c r="A3237" s="10"/>
      <c r="B3237"/>
      <c r="C3237"/>
      <c r="D3237"/>
      <c r="E3237"/>
      <c r="F3237"/>
      <c r="G3237" s="21"/>
      <c r="H3237" s="21"/>
      <c r="I3237" s="21"/>
      <c r="J3237" s="21"/>
      <c r="K3237" s="21"/>
      <c r="L3237" s="21"/>
      <c r="M3237" s="10"/>
      <c r="N3237" s="67"/>
      <c r="O3237" s="11"/>
    </row>
    <row r="3238" spans="1:15" s="4" customFormat="1" x14ac:dyDescent="0.25">
      <c r="A3238" s="6">
        <v>1596</v>
      </c>
      <c r="B3238" s="5" t="s">
        <v>555</v>
      </c>
      <c r="C3238" s="5" t="s">
        <v>17</v>
      </c>
      <c r="D3238" s="5" t="s">
        <v>422</v>
      </c>
      <c r="E3238" s="5" t="s">
        <v>423</v>
      </c>
      <c r="F3238" s="5" t="s">
        <v>556</v>
      </c>
      <c r="G3238" s="22">
        <v>0</v>
      </c>
      <c r="H3238" s="22">
        <v>0</v>
      </c>
      <c r="I3238" s="22">
        <v>3.19</v>
      </c>
      <c r="J3238" s="22">
        <v>0</v>
      </c>
      <c r="K3238" s="22">
        <v>-0.06</v>
      </c>
      <c r="L3238" s="22">
        <v>3.13</v>
      </c>
      <c r="M3238" s="10"/>
      <c r="N3238" s="67"/>
      <c r="O3238" s="11"/>
    </row>
    <row r="3239" spans="1:15" x14ac:dyDescent="0.25">
      <c r="A3239" s="6"/>
      <c r="B3239" s="5"/>
      <c r="C3239" s="5"/>
      <c r="D3239" s="5" t="s">
        <v>422</v>
      </c>
      <c r="E3239" s="5" t="s">
        <v>423</v>
      </c>
      <c r="F3239" s="5" t="s">
        <v>556</v>
      </c>
      <c r="G3239" s="14">
        <f t="shared" ref="G3239:L3239" si="818">SUBTOTAL(9,G3238:G3238)</f>
        <v>0</v>
      </c>
      <c r="H3239" s="14">
        <f t="shared" si="818"/>
        <v>0</v>
      </c>
      <c r="I3239" s="14">
        <f t="shared" si="818"/>
        <v>3.19</v>
      </c>
      <c r="J3239" s="14">
        <f t="shared" si="818"/>
        <v>0</v>
      </c>
      <c r="K3239" s="14">
        <f t="shared" si="818"/>
        <v>-0.06</v>
      </c>
      <c r="L3239" s="14">
        <f t="shared" si="818"/>
        <v>3.13</v>
      </c>
      <c r="M3239" s="10">
        <v>2901</v>
      </c>
      <c r="N3239" s="69"/>
      <c r="O3239" s="11">
        <f>O3236+1</f>
        <v>782</v>
      </c>
    </row>
    <row r="3240" spans="1:15" x14ac:dyDescent="0.25">
      <c r="A3240" s="10"/>
      <c r="G3240" s="21"/>
      <c r="H3240" s="21"/>
      <c r="I3240" s="21"/>
      <c r="J3240" s="21"/>
      <c r="K3240" s="21"/>
      <c r="L3240" s="21"/>
      <c r="M3240" s="10"/>
      <c r="O3240" s="11"/>
    </row>
    <row r="3241" spans="1:15" s="4" customFormat="1" x14ac:dyDescent="0.25">
      <c r="A3241" s="6">
        <v>1597</v>
      </c>
      <c r="B3241" s="5" t="s">
        <v>557</v>
      </c>
      <c r="C3241" s="5" t="s">
        <v>17</v>
      </c>
      <c r="D3241" s="5" t="s">
        <v>422</v>
      </c>
      <c r="E3241" s="5" t="s">
        <v>423</v>
      </c>
      <c r="F3241" s="5" t="s">
        <v>558</v>
      </c>
      <c r="G3241" s="22">
        <v>0</v>
      </c>
      <c r="H3241" s="22">
        <v>0</v>
      </c>
      <c r="I3241" s="22">
        <v>2.97</v>
      </c>
      <c r="J3241" s="22">
        <v>0</v>
      </c>
      <c r="K3241" s="22">
        <v>-0.06</v>
      </c>
      <c r="L3241" s="22">
        <v>2.91</v>
      </c>
      <c r="M3241" s="10"/>
      <c r="N3241" s="67"/>
      <c r="O3241" s="11"/>
    </row>
    <row r="3242" spans="1:15" s="4" customFormat="1" x14ac:dyDescent="0.25">
      <c r="A3242" s="6"/>
      <c r="B3242" s="5"/>
      <c r="C3242" s="5"/>
      <c r="D3242" s="5" t="s">
        <v>422</v>
      </c>
      <c r="E3242" s="5" t="s">
        <v>423</v>
      </c>
      <c r="F3242" s="5" t="s">
        <v>558</v>
      </c>
      <c r="G3242" s="14">
        <f t="shared" ref="G3242:L3242" si="819">SUBTOTAL(9,G3241:G3241)</f>
        <v>0</v>
      </c>
      <c r="H3242" s="14">
        <f t="shared" si="819"/>
        <v>0</v>
      </c>
      <c r="I3242" s="14">
        <f t="shared" si="819"/>
        <v>2.97</v>
      </c>
      <c r="J3242" s="14">
        <f t="shared" si="819"/>
        <v>0</v>
      </c>
      <c r="K3242" s="14">
        <f t="shared" si="819"/>
        <v>-0.06</v>
      </c>
      <c r="L3242" s="14">
        <f t="shared" si="819"/>
        <v>2.91</v>
      </c>
      <c r="M3242" s="10">
        <v>2902</v>
      </c>
      <c r="N3242" s="69"/>
      <c r="O3242" s="11">
        <f>O3239+1</f>
        <v>783</v>
      </c>
    </row>
    <row r="3243" spans="1:15" s="4" customFormat="1" x14ac:dyDescent="0.25">
      <c r="A3243" s="10"/>
      <c r="B3243"/>
      <c r="C3243"/>
      <c r="D3243"/>
      <c r="E3243"/>
      <c r="F3243"/>
      <c r="G3243" s="21"/>
      <c r="H3243" s="21"/>
      <c r="I3243" s="21"/>
      <c r="J3243" s="21"/>
      <c r="K3243" s="21"/>
      <c r="L3243" s="21"/>
      <c r="M3243" s="10"/>
      <c r="N3243" s="67"/>
      <c r="O3243" s="11"/>
    </row>
    <row r="3244" spans="1:15" x14ac:dyDescent="0.25">
      <c r="A3244" s="6">
        <v>1598</v>
      </c>
      <c r="B3244" s="5" t="s">
        <v>559</v>
      </c>
      <c r="C3244" s="5" t="s">
        <v>17</v>
      </c>
      <c r="D3244" s="5" t="s">
        <v>422</v>
      </c>
      <c r="E3244" s="5" t="s">
        <v>423</v>
      </c>
      <c r="F3244" s="5" t="s">
        <v>560</v>
      </c>
      <c r="G3244" s="22">
        <v>0</v>
      </c>
      <c r="H3244" s="22">
        <v>0</v>
      </c>
      <c r="I3244" s="22">
        <v>0.01</v>
      </c>
      <c r="J3244" s="22">
        <v>0</v>
      </c>
      <c r="K3244" s="22">
        <v>0</v>
      </c>
      <c r="L3244" s="22">
        <v>0.01</v>
      </c>
      <c r="M3244" s="10"/>
      <c r="O3244" s="11"/>
    </row>
    <row r="3245" spans="1:15" x14ac:dyDescent="0.25">
      <c r="A3245" s="6"/>
      <c r="B3245" s="5"/>
      <c r="C3245" s="5"/>
      <c r="D3245" s="5" t="s">
        <v>422</v>
      </c>
      <c r="E3245" s="5" t="s">
        <v>423</v>
      </c>
      <c r="F3245" s="5" t="s">
        <v>560</v>
      </c>
      <c r="G3245" s="14">
        <f t="shared" ref="G3245:L3245" si="820">SUBTOTAL(9,G3244:G3244)</f>
        <v>0</v>
      </c>
      <c r="H3245" s="14">
        <f t="shared" si="820"/>
        <v>0</v>
      </c>
      <c r="I3245" s="14">
        <f t="shared" si="820"/>
        <v>0.01</v>
      </c>
      <c r="J3245" s="14">
        <f t="shared" si="820"/>
        <v>0</v>
      </c>
      <c r="K3245" s="14">
        <f t="shared" si="820"/>
        <v>0</v>
      </c>
      <c r="L3245" s="14">
        <f t="shared" si="820"/>
        <v>0.01</v>
      </c>
      <c r="M3245" s="10">
        <v>2903</v>
      </c>
      <c r="N3245" s="69"/>
      <c r="O3245" s="11">
        <f>O3242+1</f>
        <v>784</v>
      </c>
    </row>
    <row r="3246" spans="1:15" s="4" customFormat="1" x14ac:dyDescent="0.25">
      <c r="A3246" s="10"/>
      <c r="B3246"/>
      <c r="C3246"/>
      <c r="D3246"/>
      <c r="E3246"/>
      <c r="F3246"/>
      <c r="G3246" s="21"/>
      <c r="H3246" s="21"/>
      <c r="I3246" s="21"/>
      <c r="J3246" s="21"/>
      <c r="K3246" s="21"/>
      <c r="L3246" s="21"/>
      <c r="M3246" s="10"/>
      <c r="N3246" s="67"/>
      <c r="O3246" s="11"/>
    </row>
    <row r="3247" spans="1:15" x14ac:dyDescent="0.25">
      <c r="A3247" s="6">
        <v>1599</v>
      </c>
      <c r="B3247" s="5" t="s">
        <v>18</v>
      </c>
      <c r="C3247" s="5" t="s">
        <v>17</v>
      </c>
      <c r="D3247" s="5" t="s">
        <v>422</v>
      </c>
      <c r="E3247" s="5" t="s">
        <v>423</v>
      </c>
      <c r="F3247" s="5" t="s">
        <v>19</v>
      </c>
      <c r="G3247" s="22">
        <v>0</v>
      </c>
      <c r="H3247" s="22">
        <v>0</v>
      </c>
      <c r="I3247" s="22">
        <v>0.2</v>
      </c>
      <c r="J3247" s="22">
        <v>0</v>
      </c>
      <c r="K3247" s="22">
        <v>-0.02</v>
      </c>
      <c r="L3247" s="22">
        <v>0.18</v>
      </c>
      <c r="M3247" s="10"/>
      <c r="O3247" s="11"/>
    </row>
    <row r="3248" spans="1:15" x14ac:dyDescent="0.25">
      <c r="A3248" s="6"/>
      <c r="B3248" s="5"/>
      <c r="C3248" s="5"/>
      <c r="D3248" s="5" t="s">
        <v>422</v>
      </c>
      <c r="E3248" s="5" t="s">
        <v>423</v>
      </c>
      <c r="F3248" s="5" t="s">
        <v>19</v>
      </c>
      <c r="G3248" s="14">
        <f t="shared" ref="G3248:L3248" si="821">SUBTOTAL(9,G3247:G3247)</f>
        <v>0</v>
      </c>
      <c r="H3248" s="14">
        <f t="shared" si="821"/>
        <v>0</v>
      </c>
      <c r="I3248" s="14">
        <f t="shared" si="821"/>
        <v>0.2</v>
      </c>
      <c r="J3248" s="14">
        <f t="shared" si="821"/>
        <v>0</v>
      </c>
      <c r="K3248" s="14">
        <f t="shared" si="821"/>
        <v>-0.02</v>
      </c>
      <c r="L3248" s="14">
        <f t="shared" si="821"/>
        <v>0.18</v>
      </c>
      <c r="M3248" s="10">
        <v>2904</v>
      </c>
      <c r="N3248" s="69"/>
      <c r="O3248" s="11">
        <f>O3245+1</f>
        <v>785</v>
      </c>
    </row>
    <row r="3249" spans="1:15" s="4" customFormat="1" x14ac:dyDescent="0.25">
      <c r="A3249" s="10"/>
      <c r="B3249"/>
      <c r="C3249"/>
      <c r="D3249"/>
      <c r="E3249"/>
      <c r="F3249"/>
      <c r="G3249" s="21"/>
      <c r="H3249" s="21"/>
      <c r="I3249" s="21"/>
      <c r="J3249" s="21"/>
      <c r="K3249" s="21"/>
      <c r="L3249" s="21"/>
      <c r="M3249" s="10"/>
      <c r="N3249" s="67"/>
      <c r="O3249" s="11"/>
    </row>
    <row r="3250" spans="1:15" s="4" customFormat="1" x14ac:dyDescent="0.25">
      <c r="A3250" s="6">
        <v>1600</v>
      </c>
      <c r="B3250" s="5" t="s">
        <v>550</v>
      </c>
      <c r="C3250" s="5" t="s">
        <v>17</v>
      </c>
      <c r="D3250" s="5" t="s">
        <v>422</v>
      </c>
      <c r="E3250" s="5" t="s">
        <v>423</v>
      </c>
      <c r="F3250" s="5" t="s">
        <v>551</v>
      </c>
      <c r="G3250" s="22">
        <v>0</v>
      </c>
      <c r="H3250" s="22">
        <v>0</v>
      </c>
      <c r="I3250" s="22">
        <v>45.24</v>
      </c>
      <c r="J3250" s="22">
        <v>0</v>
      </c>
      <c r="K3250" s="22">
        <v>-0.9</v>
      </c>
      <c r="L3250" s="22">
        <v>44.34</v>
      </c>
      <c r="M3250" s="10"/>
      <c r="N3250" s="67"/>
      <c r="O3250" s="11"/>
    </row>
    <row r="3251" spans="1:15" x14ac:dyDescent="0.25">
      <c r="A3251" s="6">
        <v>1601</v>
      </c>
      <c r="B3251" s="5" t="s">
        <v>550</v>
      </c>
      <c r="C3251" s="5" t="s">
        <v>17</v>
      </c>
      <c r="D3251" s="5" t="s">
        <v>422</v>
      </c>
      <c r="E3251" s="5" t="s">
        <v>423</v>
      </c>
      <c r="F3251" s="5" t="s">
        <v>551</v>
      </c>
      <c r="G3251" s="22">
        <v>0</v>
      </c>
      <c r="H3251" s="22">
        <v>0</v>
      </c>
      <c r="I3251" s="22">
        <v>398.08</v>
      </c>
      <c r="J3251" s="22">
        <v>0</v>
      </c>
      <c r="K3251" s="22">
        <v>-7.96</v>
      </c>
      <c r="L3251" s="22">
        <v>390.12</v>
      </c>
      <c r="M3251" s="10"/>
      <c r="O3251" s="11"/>
    </row>
    <row r="3252" spans="1:15" x14ac:dyDescent="0.25">
      <c r="A3252" s="6"/>
      <c r="B3252" s="5"/>
      <c r="C3252" s="5"/>
      <c r="D3252" s="5" t="s">
        <v>422</v>
      </c>
      <c r="E3252" s="5" t="s">
        <v>423</v>
      </c>
      <c r="F3252" s="5" t="s">
        <v>551</v>
      </c>
      <c r="G3252" s="14">
        <f t="shared" ref="G3252:L3252" si="822">SUBTOTAL(9,G3250:G3251)</f>
        <v>0</v>
      </c>
      <c r="H3252" s="14">
        <f t="shared" si="822"/>
        <v>0</v>
      </c>
      <c r="I3252" s="14">
        <f t="shared" si="822"/>
        <v>443.32</v>
      </c>
      <c r="J3252" s="14">
        <f t="shared" si="822"/>
        <v>0</v>
      </c>
      <c r="K3252" s="14">
        <f t="shared" si="822"/>
        <v>-8.86</v>
      </c>
      <c r="L3252" s="14">
        <f t="shared" si="822"/>
        <v>434.46000000000004</v>
      </c>
      <c r="M3252" s="10">
        <v>2905</v>
      </c>
      <c r="N3252" s="69"/>
      <c r="O3252" s="11">
        <f>O3248+1</f>
        <v>786</v>
      </c>
    </row>
    <row r="3253" spans="1:15" s="4" customFormat="1" x14ac:dyDescent="0.25">
      <c r="A3253" s="10"/>
      <c r="B3253"/>
      <c r="C3253"/>
      <c r="D3253"/>
      <c r="E3253"/>
      <c r="F3253"/>
      <c r="G3253" s="21"/>
      <c r="H3253" s="21"/>
      <c r="I3253" s="21"/>
      <c r="J3253" s="21"/>
      <c r="K3253" s="21"/>
      <c r="L3253" s="21"/>
      <c r="M3253" s="10"/>
      <c r="N3253" s="67"/>
      <c r="O3253" s="11"/>
    </row>
    <row r="3254" spans="1:15" s="4" customFormat="1" x14ac:dyDescent="0.25">
      <c r="A3254" s="6">
        <v>1602</v>
      </c>
      <c r="B3254" s="5" t="s">
        <v>550</v>
      </c>
      <c r="C3254" s="5" t="s">
        <v>17</v>
      </c>
      <c r="D3254" s="5" t="s">
        <v>422</v>
      </c>
      <c r="E3254" s="5" t="s">
        <v>423</v>
      </c>
      <c r="F3254" s="5" t="s">
        <v>552</v>
      </c>
      <c r="G3254" s="22">
        <v>0</v>
      </c>
      <c r="H3254" s="22">
        <v>0</v>
      </c>
      <c r="I3254" s="22">
        <v>0.03</v>
      </c>
      <c r="J3254" s="22">
        <v>0</v>
      </c>
      <c r="K3254" s="22">
        <v>0</v>
      </c>
      <c r="L3254" s="22">
        <v>0.03</v>
      </c>
      <c r="M3254" s="10"/>
      <c r="N3254" s="67"/>
      <c r="O3254" s="11"/>
    </row>
    <row r="3255" spans="1:15" x14ac:dyDescent="0.25">
      <c r="A3255" s="6"/>
      <c r="B3255" s="5"/>
      <c r="C3255" s="5"/>
      <c r="D3255" s="5" t="s">
        <v>422</v>
      </c>
      <c r="E3255" s="5" t="s">
        <v>423</v>
      </c>
      <c r="F3255" s="5" t="s">
        <v>552</v>
      </c>
      <c r="G3255" s="14">
        <f t="shared" ref="G3255:L3255" si="823">SUBTOTAL(9,G3254:G3254)</f>
        <v>0</v>
      </c>
      <c r="H3255" s="14">
        <f t="shared" si="823"/>
        <v>0</v>
      </c>
      <c r="I3255" s="14">
        <f t="shared" si="823"/>
        <v>0.03</v>
      </c>
      <c r="J3255" s="14">
        <f t="shared" si="823"/>
        <v>0</v>
      </c>
      <c r="K3255" s="14">
        <f t="shared" si="823"/>
        <v>0</v>
      </c>
      <c r="L3255" s="14">
        <f t="shared" si="823"/>
        <v>0.03</v>
      </c>
      <c r="M3255" s="10">
        <v>2906</v>
      </c>
      <c r="N3255" s="69"/>
      <c r="O3255" s="11">
        <f>O3252+1</f>
        <v>787</v>
      </c>
    </row>
    <row r="3256" spans="1:15" x14ac:dyDescent="0.25">
      <c r="A3256" s="10"/>
      <c r="G3256" s="21"/>
      <c r="H3256" s="21"/>
      <c r="I3256" s="21"/>
      <c r="J3256" s="21"/>
      <c r="K3256" s="21"/>
      <c r="L3256" s="21"/>
      <c r="M3256" s="10"/>
      <c r="O3256" s="11"/>
    </row>
    <row r="3257" spans="1:15" s="4" customFormat="1" x14ac:dyDescent="0.25">
      <c r="A3257" s="6">
        <v>1603</v>
      </c>
      <c r="B3257" s="5" t="s">
        <v>555</v>
      </c>
      <c r="C3257" s="5" t="s">
        <v>17</v>
      </c>
      <c r="D3257" s="5" t="s">
        <v>424</v>
      </c>
      <c r="E3257" s="5" t="s">
        <v>425</v>
      </c>
      <c r="F3257" s="5" t="s">
        <v>556</v>
      </c>
      <c r="G3257" s="22">
        <v>484.39</v>
      </c>
      <c r="H3257" s="22">
        <v>0</v>
      </c>
      <c r="I3257" s="22">
        <v>0</v>
      </c>
      <c r="J3257" s="22">
        <v>0</v>
      </c>
      <c r="K3257" s="22">
        <v>-9.69</v>
      </c>
      <c r="L3257" s="22">
        <v>474.7</v>
      </c>
      <c r="M3257" s="10"/>
      <c r="N3257" s="67"/>
      <c r="O3257" s="11"/>
    </row>
    <row r="3258" spans="1:15" s="4" customFormat="1" x14ac:dyDescent="0.25">
      <c r="A3258" s="6">
        <v>1604</v>
      </c>
      <c r="B3258" s="5" t="s">
        <v>555</v>
      </c>
      <c r="C3258" s="5" t="s">
        <v>13</v>
      </c>
      <c r="D3258" s="5" t="s">
        <v>424</v>
      </c>
      <c r="E3258" s="5" t="s">
        <v>425</v>
      </c>
      <c r="F3258" s="5" t="s">
        <v>556</v>
      </c>
      <c r="G3258" s="22">
        <v>0</v>
      </c>
      <c r="H3258" s="22">
        <v>0</v>
      </c>
      <c r="I3258" s="22">
        <v>0</v>
      </c>
      <c r="J3258" s="22">
        <v>58.13</v>
      </c>
      <c r="K3258" s="22">
        <v>0</v>
      </c>
      <c r="L3258" s="22">
        <v>58.13</v>
      </c>
      <c r="M3258" s="10"/>
      <c r="N3258" s="67"/>
      <c r="O3258" s="11"/>
    </row>
    <row r="3259" spans="1:15" x14ac:dyDescent="0.25">
      <c r="A3259" s="6"/>
      <c r="B3259" s="5"/>
      <c r="C3259" s="5"/>
      <c r="D3259" s="5" t="s">
        <v>424</v>
      </c>
      <c r="E3259" s="5" t="s">
        <v>425</v>
      </c>
      <c r="F3259" s="5" t="s">
        <v>556</v>
      </c>
      <c r="G3259" s="14">
        <f t="shared" ref="G3259:L3259" si="824">SUBTOTAL(9,G3257:G3258)</f>
        <v>484.39</v>
      </c>
      <c r="H3259" s="14">
        <f t="shared" si="824"/>
        <v>0</v>
      </c>
      <c r="I3259" s="14">
        <f t="shared" si="824"/>
        <v>0</v>
      </c>
      <c r="J3259" s="14">
        <f t="shared" si="824"/>
        <v>58.13</v>
      </c>
      <c r="K3259" s="14">
        <f t="shared" si="824"/>
        <v>-9.69</v>
      </c>
      <c r="L3259" s="14">
        <f t="shared" si="824"/>
        <v>532.83000000000004</v>
      </c>
      <c r="M3259" s="10">
        <v>2907</v>
      </c>
      <c r="N3259" s="69"/>
      <c r="O3259" s="11">
        <f>O3255+1</f>
        <v>788</v>
      </c>
    </row>
    <row r="3260" spans="1:15" x14ac:dyDescent="0.25">
      <c r="A3260" s="10"/>
      <c r="G3260" s="21"/>
      <c r="H3260" s="21"/>
      <c r="I3260" s="21"/>
      <c r="J3260" s="21"/>
      <c r="K3260" s="21"/>
      <c r="L3260" s="21"/>
      <c r="M3260" s="10"/>
      <c r="O3260" s="11"/>
    </row>
    <row r="3261" spans="1:15" s="4" customFormat="1" x14ac:dyDescent="0.25">
      <c r="A3261" s="6">
        <v>1605</v>
      </c>
      <c r="B3261" s="5" t="s">
        <v>557</v>
      </c>
      <c r="C3261" s="5" t="s">
        <v>17</v>
      </c>
      <c r="D3261" s="5" t="s">
        <v>424</v>
      </c>
      <c r="E3261" s="5" t="s">
        <v>425</v>
      </c>
      <c r="F3261" s="5" t="s">
        <v>558</v>
      </c>
      <c r="G3261" s="22">
        <v>335.73</v>
      </c>
      <c r="H3261" s="22">
        <v>0</v>
      </c>
      <c r="I3261" s="22">
        <v>0</v>
      </c>
      <c r="J3261" s="22">
        <v>0</v>
      </c>
      <c r="K3261" s="22">
        <v>-6.71</v>
      </c>
      <c r="L3261" s="22">
        <v>329.02</v>
      </c>
      <c r="M3261" s="10"/>
      <c r="N3261" s="67"/>
      <c r="O3261" s="11"/>
    </row>
    <row r="3262" spans="1:15" s="4" customFormat="1" x14ac:dyDescent="0.25">
      <c r="A3262" s="6">
        <v>1606</v>
      </c>
      <c r="B3262" s="5" t="s">
        <v>557</v>
      </c>
      <c r="C3262" s="5" t="s">
        <v>13</v>
      </c>
      <c r="D3262" s="5" t="s">
        <v>424</v>
      </c>
      <c r="E3262" s="5" t="s">
        <v>425</v>
      </c>
      <c r="F3262" s="5" t="s">
        <v>558</v>
      </c>
      <c r="G3262" s="22">
        <v>0</v>
      </c>
      <c r="H3262" s="22">
        <v>0</v>
      </c>
      <c r="I3262" s="22">
        <v>0</v>
      </c>
      <c r="J3262" s="22">
        <v>40.29</v>
      </c>
      <c r="K3262" s="22">
        <v>0</v>
      </c>
      <c r="L3262" s="22">
        <v>40.29</v>
      </c>
      <c r="M3262" s="10"/>
      <c r="N3262" s="67"/>
      <c r="O3262" s="11"/>
    </row>
    <row r="3263" spans="1:15" x14ac:dyDescent="0.25">
      <c r="A3263" s="6"/>
      <c r="B3263" s="5"/>
      <c r="C3263" s="5"/>
      <c r="D3263" s="5" t="s">
        <v>424</v>
      </c>
      <c r="E3263" s="5" t="s">
        <v>425</v>
      </c>
      <c r="F3263" s="5" t="s">
        <v>558</v>
      </c>
      <c r="G3263" s="14">
        <f t="shared" ref="G3263:L3263" si="825">SUBTOTAL(9,G3261:G3262)</f>
        <v>335.73</v>
      </c>
      <c r="H3263" s="14">
        <f t="shared" si="825"/>
        <v>0</v>
      </c>
      <c r="I3263" s="14">
        <f t="shared" si="825"/>
        <v>0</v>
      </c>
      <c r="J3263" s="14">
        <f t="shared" si="825"/>
        <v>40.29</v>
      </c>
      <c r="K3263" s="14">
        <f t="shared" si="825"/>
        <v>-6.71</v>
      </c>
      <c r="L3263" s="14">
        <f t="shared" si="825"/>
        <v>369.31</v>
      </c>
      <c r="M3263" s="10">
        <v>2908</v>
      </c>
      <c r="N3263" s="69"/>
      <c r="O3263" s="11">
        <f>O3259+1</f>
        <v>789</v>
      </c>
    </row>
    <row r="3264" spans="1:15" x14ac:dyDescent="0.25">
      <c r="A3264" s="10"/>
      <c r="G3264" s="21"/>
      <c r="H3264" s="21"/>
      <c r="I3264" s="21"/>
      <c r="J3264" s="21"/>
      <c r="K3264" s="21"/>
      <c r="L3264" s="21"/>
      <c r="M3264" s="10"/>
      <c r="O3264" s="11"/>
    </row>
    <row r="3265" spans="1:15" s="4" customFormat="1" x14ac:dyDescent="0.25">
      <c r="A3265" s="6">
        <v>1607</v>
      </c>
      <c r="B3265" s="5" t="s">
        <v>566</v>
      </c>
      <c r="C3265" s="5" t="s">
        <v>17</v>
      </c>
      <c r="D3265" s="5" t="s">
        <v>424</v>
      </c>
      <c r="E3265" s="5" t="s">
        <v>425</v>
      </c>
      <c r="F3265" s="5" t="s">
        <v>567</v>
      </c>
      <c r="G3265" s="22">
        <v>0.23</v>
      </c>
      <c r="H3265" s="22">
        <v>0</v>
      </c>
      <c r="I3265" s="22">
        <v>0</v>
      </c>
      <c r="J3265" s="22">
        <v>0</v>
      </c>
      <c r="K3265" s="22">
        <v>0</v>
      </c>
      <c r="L3265" s="22">
        <v>0.23</v>
      </c>
      <c r="M3265" s="10"/>
      <c r="N3265" s="67"/>
      <c r="O3265" s="11"/>
    </row>
    <row r="3266" spans="1:15" s="4" customFormat="1" x14ac:dyDescent="0.25">
      <c r="A3266" s="6">
        <v>1608</v>
      </c>
      <c r="B3266" s="5" t="s">
        <v>566</v>
      </c>
      <c r="C3266" s="5" t="s">
        <v>13</v>
      </c>
      <c r="D3266" s="5" t="s">
        <v>424</v>
      </c>
      <c r="E3266" s="5" t="s">
        <v>425</v>
      </c>
      <c r="F3266" s="5" t="s">
        <v>567</v>
      </c>
      <c r="G3266" s="22">
        <v>0</v>
      </c>
      <c r="H3266" s="22">
        <v>0</v>
      </c>
      <c r="I3266" s="22">
        <v>0</v>
      </c>
      <c r="J3266" s="22">
        <v>0.02</v>
      </c>
      <c r="K3266" s="22">
        <v>0</v>
      </c>
      <c r="L3266" s="22">
        <v>0.02</v>
      </c>
      <c r="M3266" s="10"/>
      <c r="N3266" s="67"/>
      <c r="O3266" s="11"/>
    </row>
    <row r="3267" spans="1:15" x14ac:dyDescent="0.25">
      <c r="A3267" s="6"/>
      <c r="B3267" s="5"/>
      <c r="C3267" s="5"/>
      <c r="D3267" s="5" t="s">
        <v>424</v>
      </c>
      <c r="E3267" s="5" t="s">
        <v>425</v>
      </c>
      <c r="F3267" s="5" t="s">
        <v>567</v>
      </c>
      <c r="G3267" s="14">
        <f t="shared" ref="G3267:L3267" si="826">SUBTOTAL(9,G3265:G3266)</f>
        <v>0.23</v>
      </c>
      <c r="H3267" s="14">
        <f t="shared" si="826"/>
        <v>0</v>
      </c>
      <c r="I3267" s="14">
        <f t="shared" si="826"/>
        <v>0</v>
      </c>
      <c r="J3267" s="14">
        <f t="shared" si="826"/>
        <v>0.02</v>
      </c>
      <c r="K3267" s="14">
        <f t="shared" si="826"/>
        <v>0</v>
      </c>
      <c r="L3267" s="14">
        <f t="shared" si="826"/>
        <v>0.25</v>
      </c>
      <c r="M3267" s="10">
        <v>2909</v>
      </c>
      <c r="N3267" s="69"/>
      <c r="O3267" s="11">
        <f>O3263+1</f>
        <v>790</v>
      </c>
    </row>
    <row r="3268" spans="1:15" x14ac:dyDescent="0.25">
      <c r="A3268" s="10"/>
      <c r="G3268" s="21"/>
      <c r="H3268" s="21"/>
      <c r="I3268" s="21"/>
      <c r="J3268" s="21"/>
      <c r="K3268" s="21"/>
      <c r="L3268" s="21"/>
      <c r="M3268" s="10"/>
      <c r="O3268" s="11"/>
    </row>
    <row r="3269" spans="1:15" s="4" customFormat="1" x14ac:dyDescent="0.25">
      <c r="A3269" s="6">
        <v>1609</v>
      </c>
      <c r="B3269" s="5" t="s">
        <v>18</v>
      </c>
      <c r="C3269" s="5" t="s">
        <v>17</v>
      </c>
      <c r="D3269" s="5" t="s">
        <v>424</v>
      </c>
      <c r="E3269" s="5" t="s">
        <v>425</v>
      </c>
      <c r="F3269" s="5" t="s">
        <v>19</v>
      </c>
      <c r="G3269" s="22">
        <v>1.38</v>
      </c>
      <c r="H3269" s="22">
        <v>0</v>
      </c>
      <c r="I3269" s="22">
        <v>0</v>
      </c>
      <c r="J3269" s="22">
        <v>0</v>
      </c>
      <c r="K3269" s="22">
        <v>-1.23</v>
      </c>
      <c r="L3269" s="22">
        <v>0.15</v>
      </c>
      <c r="M3269" s="10"/>
      <c r="N3269" s="67"/>
      <c r="O3269" s="11"/>
    </row>
    <row r="3270" spans="1:15" x14ac:dyDescent="0.25">
      <c r="A3270" s="6"/>
      <c r="B3270" s="5"/>
      <c r="C3270" s="5"/>
      <c r="D3270" s="5" t="s">
        <v>424</v>
      </c>
      <c r="E3270" s="5" t="s">
        <v>425</v>
      </c>
      <c r="F3270" s="5" t="s">
        <v>19</v>
      </c>
      <c r="G3270" s="14">
        <f t="shared" ref="G3270:L3270" si="827">SUBTOTAL(9,G3269:G3269)</f>
        <v>1.38</v>
      </c>
      <c r="H3270" s="14">
        <f t="shared" si="827"/>
        <v>0</v>
      </c>
      <c r="I3270" s="14">
        <f t="shared" si="827"/>
        <v>0</v>
      </c>
      <c r="J3270" s="14">
        <f t="shared" si="827"/>
        <v>0</v>
      </c>
      <c r="K3270" s="14">
        <f t="shared" si="827"/>
        <v>-1.23</v>
      </c>
      <c r="L3270" s="14">
        <f t="shared" si="827"/>
        <v>0.15</v>
      </c>
      <c r="M3270" s="10">
        <v>2910</v>
      </c>
      <c r="N3270" s="69"/>
      <c r="O3270" s="11">
        <f>O3267+1</f>
        <v>791</v>
      </c>
    </row>
    <row r="3271" spans="1:15" x14ac:dyDescent="0.25">
      <c r="A3271" s="10"/>
      <c r="G3271" s="21"/>
      <c r="H3271" s="21"/>
      <c r="I3271" s="21"/>
      <c r="J3271" s="21"/>
      <c r="K3271" s="21"/>
      <c r="L3271" s="21"/>
      <c r="M3271" s="10"/>
      <c r="O3271" s="11"/>
    </row>
    <row r="3272" spans="1:15" s="4" customFormat="1" x14ac:dyDescent="0.25">
      <c r="A3272" s="6">
        <v>1610</v>
      </c>
      <c r="B3272" s="5" t="s">
        <v>550</v>
      </c>
      <c r="C3272" s="5" t="s">
        <v>13</v>
      </c>
      <c r="D3272" s="5" t="s">
        <v>424</v>
      </c>
      <c r="E3272" s="5" t="s">
        <v>425</v>
      </c>
      <c r="F3272" s="5" t="s">
        <v>551</v>
      </c>
      <c r="G3272" s="22">
        <v>0</v>
      </c>
      <c r="H3272" s="22">
        <v>0</v>
      </c>
      <c r="I3272" s="22">
        <v>0</v>
      </c>
      <c r="J3272" s="22">
        <v>1856.31</v>
      </c>
      <c r="K3272" s="22">
        <v>0</v>
      </c>
      <c r="L3272" s="22">
        <v>1856.31</v>
      </c>
      <c r="M3272" s="10"/>
      <c r="N3272" s="67"/>
      <c r="O3272" s="11"/>
    </row>
    <row r="3273" spans="1:15" x14ac:dyDescent="0.25">
      <c r="A3273" s="6">
        <v>1611</v>
      </c>
      <c r="B3273" s="5" t="s">
        <v>550</v>
      </c>
      <c r="C3273" s="5" t="s">
        <v>17</v>
      </c>
      <c r="D3273" s="5" t="s">
        <v>424</v>
      </c>
      <c r="E3273" s="5" t="s">
        <v>425</v>
      </c>
      <c r="F3273" s="5" t="s">
        <v>551</v>
      </c>
      <c r="G3273" s="22">
        <v>15469.28</v>
      </c>
      <c r="H3273" s="22">
        <v>0</v>
      </c>
      <c r="I3273" s="22">
        <v>0</v>
      </c>
      <c r="J3273" s="22">
        <v>0</v>
      </c>
      <c r="K3273" s="22">
        <v>-309.39</v>
      </c>
      <c r="L3273" s="22">
        <v>15159.89</v>
      </c>
      <c r="M3273" s="10"/>
      <c r="O3273" s="11"/>
    </row>
    <row r="3274" spans="1:15" x14ac:dyDescent="0.25">
      <c r="A3274" s="6"/>
      <c r="B3274" s="5"/>
      <c r="C3274" s="5"/>
      <c r="D3274" s="5" t="s">
        <v>424</v>
      </c>
      <c r="E3274" s="5" t="s">
        <v>425</v>
      </c>
      <c r="F3274" s="5" t="s">
        <v>551</v>
      </c>
      <c r="G3274" s="14">
        <f t="shared" ref="G3274:L3274" si="828">SUBTOTAL(9,G3272:G3273)</f>
        <v>15469.28</v>
      </c>
      <c r="H3274" s="14">
        <f t="shared" si="828"/>
        <v>0</v>
      </c>
      <c r="I3274" s="14">
        <f t="shared" si="828"/>
        <v>0</v>
      </c>
      <c r="J3274" s="14">
        <f t="shared" si="828"/>
        <v>1856.31</v>
      </c>
      <c r="K3274" s="14">
        <f t="shared" si="828"/>
        <v>-309.39</v>
      </c>
      <c r="L3274" s="14">
        <f t="shared" si="828"/>
        <v>17016.2</v>
      </c>
      <c r="M3274" s="10">
        <v>2911</v>
      </c>
      <c r="N3274" s="69"/>
      <c r="O3274" s="11">
        <f>O3270+1</f>
        <v>792</v>
      </c>
    </row>
    <row r="3275" spans="1:15" s="4" customFormat="1" x14ac:dyDescent="0.25">
      <c r="A3275" s="10"/>
      <c r="B3275"/>
      <c r="C3275"/>
      <c r="D3275"/>
      <c r="E3275"/>
      <c r="F3275"/>
      <c r="G3275" s="21"/>
      <c r="H3275" s="21"/>
      <c r="I3275" s="21"/>
      <c r="J3275" s="21"/>
      <c r="K3275" s="21"/>
      <c r="L3275" s="21"/>
      <c r="M3275" s="10"/>
      <c r="N3275" s="67"/>
      <c r="O3275" s="11"/>
    </row>
    <row r="3276" spans="1:15" x14ac:dyDescent="0.25">
      <c r="A3276" s="6">
        <v>1612</v>
      </c>
      <c r="B3276" s="5" t="s">
        <v>550</v>
      </c>
      <c r="C3276" s="5" t="s">
        <v>13</v>
      </c>
      <c r="D3276" s="5" t="s">
        <v>424</v>
      </c>
      <c r="E3276" s="5" t="s">
        <v>425</v>
      </c>
      <c r="F3276" s="5" t="s">
        <v>552</v>
      </c>
      <c r="G3276" s="22">
        <v>0</v>
      </c>
      <c r="H3276" s="22">
        <v>0</v>
      </c>
      <c r="I3276" s="22">
        <v>0</v>
      </c>
      <c r="J3276" s="22">
        <v>0.13</v>
      </c>
      <c r="K3276" s="22">
        <v>0</v>
      </c>
      <c r="L3276" s="22">
        <v>0.13</v>
      </c>
      <c r="M3276" s="10"/>
      <c r="O3276" s="11"/>
    </row>
    <row r="3277" spans="1:15" x14ac:dyDescent="0.25">
      <c r="A3277" s="6">
        <v>1613</v>
      </c>
      <c r="B3277" s="5" t="s">
        <v>550</v>
      </c>
      <c r="C3277" s="5" t="s">
        <v>17</v>
      </c>
      <c r="D3277" s="5" t="s">
        <v>424</v>
      </c>
      <c r="E3277" s="5" t="s">
        <v>425</v>
      </c>
      <c r="F3277" s="5" t="s">
        <v>552</v>
      </c>
      <c r="G3277" s="22">
        <v>1.1100000000000001</v>
      </c>
      <c r="H3277" s="22">
        <v>0</v>
      </c>
      <c r="I3277" s="22">
        <v>0</v>
      </c>
      <c r="J3277" s="22">
        <v>0</v>
      </c>
      <c r="K3277" s="22">
        <v>-0.02</v>
      </c>
      <c r="L3277" s="22">
        <v>1.0900000000000001</v>
      </c>
      <c r="M3277" s="10"/>
      <c r="O3277" s="11"/>
    </row>
    <row r="3278" spans="1:15" s="4" customFormat="1" x14ac:dyDescent="0.25">
      <c r="A3278" s="6"/>
      <c r="B3278" s="5"/>
      <c r="C3278" s="5"/>
      <c r="D3278" s="5" t="s">
        <v>424</v>
      </c>
      <c r="E3278" s="5" t="s">
        <v>425</v>
      </c>
      <c r="F3278" s="5" t="s">
        <v>552</v>
      </c>
      <c r="G3278" s="14">
        <f t="shared" ref="G3278:L3278" si="829">SUBTOTAL(9,G3276:G3277)</f>
        <v>1.1100000000000001</v>
      </c>
      <c r="H3278" s="14">
        <f t="shared" si="829"/>
        <v>0</v>
      </c>
      <c r="I3278" s="14">
        <f t="shared" si="829"/>
        <v>0</v>
      </c>
      <c r="J3278" s="14">
        <f t="shared" si="829"/>
        <v>0.13</v>
      </c>
      <c r="K3278" s="14">
        <f t="shared" si="829"/>
        <v>-0.02</v>
      </c>
      <c r="L3278" s="14">
        <f t="shared" si="829"/>
        <v>1.2200000000000002</v>
      </c>
      <c r="M3278" s="10">
        <v>2912</v>
      </c>
      <c r="N3278" s="69"/>
      <c r="O3278" s="11">
        <f>O3274+1</f>
        <v>793</v>
      </c>
    </row>
    <row r="3279" spans="1:15" x14ac:dyDescent="0.25">
      <c r="A3279" s="10"/>
      <c r="G3279" s="21"/>
      <c r="H3279" s="21"/>
      <c r="I3279" s="21"/>
      <c r="J3279" s="21"/>
      <c r="K3279" s="21"/>
      <c r="L3279" s="21"/>
      <c r="M3279" s="10"/>
      <c r="O3279" s="11"/>
    </row>
    <row r="3280" spans="1:15" x14ac:dyDescent="0.25">
      <c r="A3280" s="6">
        <v>1614</v>
      </c>
      <c r="B3280" s="5" t="s">
        <v>555</v>
      </c>
      <c r="C3280" s="5" t="s">
        <v>17</v>
      </c>
      <c r="D3280" s="5" t="s">
        <v>426</v>
      </c>
      <c r="E3280" s="5" t="s">
        <v>427</v>
      </c>
      <c r="F3280" s="5" t="s">
        <v>556</v>
      </c>
      <c r="G3280" s="22">
        <v>556.55999999999995</v>
      </c>
      <c r="H3280" s="22">
        <v>0</v>
      </c>
      <c r="I3280" s="22">
        <v>0</v>
      </c>
      <c r="J3280" s="22">
        <v>0</v>
      </c>
      <c r="K3280" s="22">
        <v>-11.13</v>
      </c>
      <c r="L3280" s="22">
        <v>545.42999999999995</v>
      </c>
      <c r="M3280" s="10"/>
      <c r="O3280" s="11"/>
    </row>
    <row r="3281" spans="1:15" s="4" customFormat="1" x14ac:dyDescent="0.25">
      <c r="A3281" s="6">
        <v>1615</v>
      </c>
      <c r="B3281" s="5" t="s">
        <v>555</v>
      </c>
      <c r="C3281" s="5" t="s">
        <v>49</v>
      </c>
      <c r="D3281" s="5" t="s">
        <v>426</v>
      </c>
      <c r="E3281" s="5" t="s">
        <v>427</v>
      </c>
      <c r="F3281" s="5" t="s">
        <v>556</v>
      </c>
      <c r="G3281" s="22">
        <v>0.17</v>
      </c>
      <c r="H3281" s="22">
        <v>0</v>
      </c>
      <c r="I3281" s="22">
        <v>0</v>
      </c>
      <c r="J3281" s="22">
        <v>0</v>
      </c>
      <c r="K3281" s="22">
        <v>0</v>
      </c>
      <c r="L3281" s="22">
        <v>0.17</v>
      </c>
      <c r="M3281" s="10"/>
      <c r="N3281" s="70">
        <v>0.17</v>
      </c>
      <c r="O3281" s="11"/>
    </row>
    <row r="3282" spans="1:15" x14ac:dyDescent="0.25">
      <c r="A3282" s="6">
        <v>1616</v>
      </c>
      <c r="B3282" s="5" t="s">
        <v>555</v>
      </c>
      <c r="C3282" s="5" t="s">
        <v>13</v>
      </c>
      <c r="D3282" s="5" t="s">
        <v>426</v>
      </c>
      <c r="E3282" s="5" t="s">
        <v>427</v>
      </c>
      <c r="F3282" s="5" t="s">
        <v>556</v>
      </c>
      <c r="G3282" s="22">
        <v>0</v>
      </c>
      <c r="H3282" s="22">
        <v>0</v>
      </c>
      <c r="I3282" s="22">
        <v>0</v>
      </c>
      <c r="J3282" s="22">
        <v>66.790000000000006</v>
      </c>
      <c r="K3282" s="22">
        <v>0</v>
      </c>
      <c r="L3282" s="22">
        <v>66.790000000000006</v>
      </c>
      <c r="M3282" s="10"/>
      <c r="O3282" s="11"/>
    </row>
    <row r="3283" spans="1:15" x14ac:dyDescent="0.25">
      <c r="A3283" s="6"/>
      <c r="B3283" s="5"/>
      <c r="C3283" s="5"/>
      <c r="D3283" s="5" t="s">
        <v>426</v>
      </c>
      <c r="E3283" s="5" t="s">
        <v>427</v>
      </c>
      <c r="F3283" s="5" t="s">
        <v>556</v>
      </c>
      <c r="G3283" s="14">
        <f t="shared" ref="G3283:L3283" si="830">SUBTOTAL(9,G3280:G3282)</f>
        <v>556.7299999999999</v>
      </c>
      <c r="H3283" s="14">
        <f t="shared" si="830"/>
        <v>0</v>
      </c>
      <c r="I3283" s="14">
        <f t="shared" si="830"/>
        <v>0</v>
      </c>
      <c r="J3283" s="14">
        <f t="shared" si="830"/>
        <v>66.790000000000006</v>
      </c>
      <c r="K3283" s="14">
        <f t="shared" si="830"/>
        <v>-11.13</v>
      </c>
      <c r="L3283" s="14">
        <f t="shared" si="830"/>
        <v>612.38999999999987</v>
      </c>
      <c r="M3283" s="10">
        <v>2913</v>
      </c>
      <c r="N3283" s="71">
        <f>SUBTOTAL(9,N3280:N3282)</f>
        <v>0.17</v>
      </c>
      <c r="O3283" s="11">
        <f>O3278+1</f>
        <v>794</v>
      </c>
    </row>
    <row r="3284" spans="1:15" s="4" customFormat="1" x14ac:dyDescent="0.25">
      <c r="A3284" s="10"/>
      <c r="B3284"/>
      <c r="C3284"/>
      <c r="D3284"/>
      <c r="E3284"/>
      <c r="F3284"/>
      <c r="G3284" s="21"/>
      <c r="H3284" s="21"/>
      <c r="I3284" s="21"/>
      <c r="J3284" s="21"/>
      <c r="K3284" s="21"/>
      <c r="L3284" s="21"/>
      <c r="M3284" s="10"/>
      <c r="N3284" s="67"/>
      <c r="O3284" s="11"/>
    </row>
    <row r="3285" spans="1:15" x14ac:dyDescent="0.25">
      <c r="A3285" s="6">
        <v>1617</v>
      </c>
      <c r="B3285" s="5" t="s">
        <v>557</v>
      </c>
      <c r="C3285" s="5" t="s">
        <v>17</v>
      </c>
      <c r="D3285" s="5" t="s">
        <v>426</v>
      </c>
      <c r="E3285" s="5" t="s">
        <v>427</v>
      </c>
      <c r="F3285" s="5" t="s">
        <v>558</v>
      </c>
      <c r="G3285" s="22">
        <v>386.43</v>
      </c>
      <c r="H3285" s="22">
        <v>0</v>
      </c>
      <c r="I3285" s="22">
        <v>0</v>
      </c>
      <c r="J3285" s="22">
        <v>0</v>
      </c>
      <c r="K3285" s="22">
        <v>-7.73</v>
      </c>
      <c r="L3285" s="22">
        <v>378.7</v>
      </c>
      <c r="M3285" s="10"/>
      <c r="O3285" s="11"/>
    </row>
    <row r="3286" spans="1:15" x14ac:dyDescent="0.25">
      <c r="A3286" s="6">
        <v>1618</v>
      </c>
      <c r="B3286" s="5" t="s">
        <v>557</v>
      </c>
      <c r="C3286" s="5" t="s">
        <v>49</v>
      </c>
      <c r="D3286" s="5" t="s">
        <v>426</v>
      </c>
      <c r="E3286" s="5" t="s">
        <v>427</v>
      </c>
      <c r="F3286" s="5" t="s">
        <v>558</v>
      </c>
      <c r="G3286" s="22">
        <v>0.12</v>
      </c>
      <c r="H3286" s="22">
        <v>0</v>
      </c>
      <c r="I3286" s="22">
        <v>0</v>
      </c>
      <c r="J3286" s="22">
        <v>0</v>
      </c>
      <c r="K3286" s="22">
        <v>0</v>
      </c>
      <c r="L3286" s="22">
        <v>0.12</v>
      </c>
      <c r="M3286" s="10"/>
      <c r="N3286" s="70">
        <v>0.12</v>
      </c>
      <c r="O3286" s="11"/>
    </row>
    <row r="3287" spans="1:15" s="4" customFormat="1" x14ac:dyDescent="0.25">
      <c r="A3287" s="6">
        <v>1619</v>
      </c>
      <c r="B3287" s="5" t="s">
        <v>557</v>
      </c>
      <c r="C3287" s="5" t="s">
        <v>13</v>
      </c>
      <c r="D3287" s="5" t="s">
        <v>426</v>
      </c>
      <c r="E3287" s="5" t="s">
        <v>427</v>
      </c>
      <c r="F3287" s="5" t="s">
        <v>558</v>
      </c>
      <c r="G3287" s="22">
        <v>0</v>
      </c>
      <c r="H3287" s="22">
        <v>0</v>
      </c>
      <c r="I3287" s="22">
        <v>0</v>
      </c>
      <c r="J3287" s="22">
        <v>46.37</v>
      </c>
      <c r="K3287" s="22">
        <v>0</v>
      </c>
      <c r="L3287" s="22">
        <v>46.37</v>
      </c>
      <c r="M3287" s="10"/>
      <c r="N3287" s="67"/>
      <c r="O3287" s="11"/>
    </row>
    <row r="3288" spans="1:15" s="4" customFormat="1" x14ac:dyDescent="0.25">
      <c r="A3288" s="6"/>
      <c r="B3288" s="5"/>
      <c r="C3288" s="5"/>
      <c r="D3288" s="5" t="s">
        <v>426</v>
      </c>
      <c r="E3288" s="5" t="s">
        <v>427</v>
      </c>
      <c r="F3288" s="5" t="s">
        <v>558</v>
      </c>
      <c r="G3288" s="14">
        <f t="shared" ref="G3288:L3288" si="831">SUBTOTAL(9,G3285:G3287)</f>
        <v>386.55</v>
      </c>
      <c r="H3288" s="14">
        <f t="shared" si="831"/>
        <v>0</v>
      </c>
      <c r="I3288" s="14">
        <f t="shared" si="831"/>
        <v>0</v>
      </c>
      <c r="J3288" s="14">
        <f t="shared" si="831"/>
        <v>46.37</v>
      </c>
      <c r="K3288" s="14">
        <f t="shared" si="831"/>
        <v>-7.73</v>
      </c>
      <c r="L3288" s="14">
        <f t="shared" si="831"/>
        <v>425.19</v>
      </c>
      <c r="M3288" s="10">
        <v>2914</v>
      </c>
      <c r="N3288" s="71">
        <f>SUBTOTAL(9,N3285:N3287)</f>
        <v>0.12</v>
      </c>
      <c r="O3288" s="11">
        <f>O3283+1</f>
        <v>795</v>
      </c>
    </row>
    <row r="3289" spans="1:15" x14ac:dyDescent="0.25">
      <c r="A3289" s="10"/>
      <c r="G3289" s="21"/>
      <c r="H3289" s="21"/>
      <c r="I3289" s="21"/>
      <c r="J3289" s="21"/>
      <c r="K3289" s="21"/>
      <c r="L3289" s="21"/>
      <c r="M3289" s="10"/>
      <c r="O3289" s="11"/>
    </row>
    <row r="3290" spans="1:15" x14ac:dyDescent="0.25">
      <c r="A3290" s="6">
        <v>1620</v>
      </c>
      <c r="B3290" s="5" t="s">
        <v>18</v>
      </c>
      <c r="C3290" s="5" t="s">
        <v>17</v>
      </c>
      <c r="D3290" s="5" t="s">
        <v>426</v>
      </c>
      <c r="E3290" s="5" t="s">
        <v>427</v>
      </c>
      <c r="F3290" s="5" t="s">
        <v>19</v>
      </c>
      <c r="G3290" s="22">
        <v>0.18</v>
      </c>
      <c r="H3290" s="22">
        <v>0</v>
      </c>
      <c r="I3290" s="22">
        <v>0</v>
      </c>
      <c r="J3290" s="22">
        <v>0</v>
      </c>
      <c r="K3290" s="22">
        <v>-0.16</v>
      </c>
      <c r="L3290" s="22">
        <v>0.02</v>
      </c>
      <c r="M3290" s="10"/>
      <c r="O3290" s="11"/>
    </row>
    <row r="3291" spans="1:15" s="4" customFormat="1" x14ac:dyDescent="0.25">
      <c r="A3291" s="6"/>
      <c r="B3291" s="5"/>
      <c r="C3291" s="5"/>
      <c r="D3291" s="5" t="s">
        <v>426</v>
      </c>
      <c r="E3291" s="5" t="s">
        <v>427</v>
      </c>
      <c r="F3291" s="5" t="s">
        <v>19</v>
      </c>
      <c r="G3291" s="14">
        <f t="shared" ref="G3291:L3291" si="832">SUBTOTAL(9,G3290:G3290)</f>
        <v>0.18</v>
      </c>
      <c r="H3291" s="14">
        <f t="shared" si="832"/>
        <v>0</v>
      </c>
      <c r="I3291" s="14">
        <f t="shared" si="832"/>
        <v>0</v>
      </c>
      <c r="J3291" s="14">
        <f t="shared" si="832"/>
        <v>0</v>
      </c>
      <c r="K3291" s="14">
        <f t="shared" si="832"/>
        <v>-0.16</v>
      </c>
      <c r="L3291" s="14">
        <f t="shared" si="832"/>
        <v>0.02</v>
      </c>
      <c r="M3291" s="10">
        <v>2915</v>
      </c>
      <c r="N3291" s="69"/>
      <c r="O3291" s="11">
        <f>O3288+1</f>
        <v>796</v>
      </c>
    </row>
    <row r="3292" spans="1:15" s="4" customFormat="1" x14ac:dyDescent="0.25">
      <c r="A3292" s="10"/>
      <c r="B3292"/>
      <c r="C3292"/>
      <c r="D3292"/>
      <c r="E3292"/>
      <c r="F3292"/>
      <c r="G3292" s="21"/>
      <c r="H3292" s="21"/>
      <c r="I3292" s="21"/>
      <c r="J3292" s="21"/>
      <c r="K3292" s="21"/>
      <c r="L3292" s="21"/>
      <c r="M3292" s="10"/>
      <c r="N3292" s="67"/>
      <c r="O3292" s="11"/>
    </row>
    <row r="3293" spans="1:15" x14ac:dyDescent="0.25">
      <c r="A3293" s="6">
        <v>1621</v>
      </c>
      <c r="B3293" s="5" t="s">
        <v>22</v>
      </c>
      <c r="C3293" s="5" t="s">
        <v>13</v>
      </c>
      <c r="D3293" s="5" t="s">
        <v>426</v>
      </c>
      <c r="E3293" s="5" t="s">
        <v>427</v>
      </c>
      <c r="F3293" s="5" t="s">
        <v>23</v>
      </c>
      <c r="G3293" s="22">
        <v>0</v>
      </c>
      <c r="H3293" s="22">
        <v>0</v>
      </c>
      <c r="I3293" s="22">
        <v>0</v>
      </c>
      <c r="J3293" s="22">
        <v>0.46</v>
      </c>
      <c r="K3293" s="22">
        <v>0</v>
      </c>
      <c r="L3293" s="22">
        <v>0.46</v>
      </c>
      <c r="M3293" s="10"/>
      <c r="O3293" s="11"/>
    </row>
    <row r="3294" spans="1:15" x14ac:dyDescent="0.25">
      <c r="A3294" s="6"/>
      <c r="B3294" s="5"/>
      <c r="C3294" s="5"/>
      <c r="D3294" s="5" t="s">
        <v>426</v>
      </c>
      <c r="E3294" s="5" t="s">
        <v>427</v>
      </c>
      <c r="F3294" s="5" t="s">
        <v>23</v>
      </c>
      <c r="G3294" s="14">
        <f t="shared" ref="G3294:L3294" si="833">SUBTOTAL(9,G3293:G3293)</f>
        <v>0</v>
      </c>
      <c r="H3294" s="14">
        <f t="shared" si="833"/>
        <v>0</v>
      </c>
      <c r="I3294" s="14">
        <f t="shared" si="833"/>
        <v>0</v>
      </c>
      <c r="J3294" s="14">
        <f t="shared" si="833"/>
        <v>0.46</v>
      </c>
      <c r="K3294" s="14">
        <f t="shared" si="833"/>
        <v>0</v>
      </c>
      <c r="L3294" s="14">
        <f t="shared" si="833"/>
        <v>0.46</v>
      </c>
      <c r="M3294" s="10">
        <v>2916</v>
      </c>
      <c r="N3294" s="69"/>
      <c r="O3294" s="11">
        <f>O3291+1</f>
        <v>797</v>
      </c>
    </row>
    <row r="3295" spans="1:15" s="4" customFormat="1" x14ac:dyDescent="0.25">
      <c r="A3295" s="10"/>
      <c r="B3295"/>
      <c r="C3295"/>
      <c r="D3295"/>
      <c r="E3295"/>
      <c r="F3295"/>
      <c r="G3295" s="21"/>
      <c r="H3295" s="21"/>
      <c r="I3295" s="21"/>
      <c r="J3295" s="21"/>
      <c r="K3295" s="21"/>
      <c r="L3295" s="21"/>
      <c r="M3295" s="10"/>
      <c r="N3295" s="67"/>
      <c r="O3295" s="11"/>
    </row>
    <row r="3296" spans="1:15" s="4" customFormat="1" x14ac:dyDescent="0.25">
      <c r="A3296" s="6">
        <v>1622</v>
      </c>
      <c r="B3296" s="5" t="s">
        <v>22</v>
      </c>
      <c r="C3296" s="5" t="s">
        <v>13</v>
      </c>
      <c r="D3296" s="5" t="s">
        <v>426</v>
      </c>
      <c r="E3296" s="5" t="s">
        <v>427</v>
      </c>
      <c r="F3296" s="5" t="s">
        <v>24</v>
      </c>
      <c r="G3296" s="22">
        <v>0</v>
      </c>
      <c r="H3296" s="22">
        <v>0</v>
      </c>
      <c r="I3296" s="22">
        <v>0</v>
      </c>
      <c r="J3296" s="22">
        <v>0</v>
      </c>
      <c r="K3296" s="22">
        <v>0</v>
      </c>
      <c r="L3296" s="22">
        <v>0</v>
      </c>
      <c r="M3296" s="10"/>
      <c r="N3296" s="67"/>
      <c r="O3296" s="11"/>
    </row>
    <row r="3297" spans="1:15" x14ac:dyDescent="0.25">
      <c r="A3297" s="28"/>
      <c r="B3297" s="29"/>
      <c r="C3297" s="29"/>
      <c r="D3297" s="29"/>
      <c r="E3297" s="29"/>
      <c r="F3297" s="29" t="s">
        <v>660</v>
      </c>
      <c r="G3297" s="31">
        <f t="shared" ref="G3297:L3297" si="834">SUBTOTAL(9,G3296:G3296)</f>
        <v>0</v>
      </c>
      <c r="H3297" s="31">
        <f t="shared" si="834"/>
        <v>0</v>
      </c>
      <c r="I3297" s="31">
        <f t="shared" si="834"/>
        <v>0</v>
      </c>
      <c r="J3297" s="31">
        <f t="shared" si="834"/>
        <v>0</v>
      </c>
      <c r="K3297" s="31">
        <f t="shared" si="834"/>
        <v>0</v>
      </c>
      <c r="L3297" s="31">
        <f t="shared" si="834"/>
        <v>0</v>
      </c>
      <c r="M3297" s="42"/>
      <c r="O3297" s="50"/>
    </row>
    <row r="3298" spans="1:15" x14ac:dyDescent="0.25">
      <c r="A3298" s="10"/>
      <c r="G3298" s="21"/>
      <c r="H3298" s="21"/>
      <c r="I3298" s="21"/>
      <c r="J3298" s="21"/>
      <c r="K3298" s="21"/>
      <c r="L3298" s="21"/>
      <c r="M3298" s="10"/>
      <c r="O3298" s="11"/>
    </row>
    <row r="3299" spans="1:15" s="4" customFormat="1" x14ac:dyDescent="0.25">
      <c r="A3299" s="6">
        <v>1623</v>
      </c>
      <c r="B3299" s="5" t="s">
        <v>550</v>
      </c>
      <c r="C3299" s="5" t="s">
        <v>17</v>
      </c>
      <c r="D3299" s="5" t="s">
        <v>426</v>
      </c>
      <c r="E3299" s="5" t="s">
        <v>427</v>
      </c>
      <c r="F3299" s="5" t="s">
        <v>551</v>
      </c>
      <c r="G3299" s="22">
        <v>10603.96</v>
      </c>
      <c r="H3299" s="22">
        <v>0</v>
      </c>
      <c r="I3299" s="22">
        <v>0</v>
      </c>
      <c r="J3299" s="22">
        <v>0</v>
      </c>
      <c r="K3299" s="22">
        <v>-212.08</v>
      </c>
      <c r="L3299" s="22">
        <v>10391.879999999999</v>
      </c>
      <c r="M3299" s="10"/>
      <c r="N3299" s="67"/>
      <c r="O3299" s="11"/>
    </row>
    <row r="3300" spans="1:15" x14ac:dyDescent="0.25">
      <c r="A3300" s="6">
        <v>1624</v>
      </c>
      <c r="B3300" s="5" t="s">
        <v>550</v>
      </c>
      <c r="C3300" s="5" t="s">
        <v>49</v>
      </c>
      <c r="D3300" s="5" t="s">
        <v>426</v>
      </c>
      <c r="E3300" s="5" t="s">
        <v>427</v>
      </c>
      <c r="F3300" s="5" t="s">
        <v>551</v>
      </c>
      <c r="G3300" s="22">
        <v>3.32</v>
      </c>
      <c r="H3300" s="22">
        <v>0</v>
      </c>
      <c r="I3300" s="22">
        <v>0</v>
      </c>
      <c r="J3300" s="22">
        <v>0</v>
      </c>
      <c r="K3300" s="22">
        <v>0</v>
      </c>
      <c r="L3300" s="22">
        <v>3.32</v>
      </c>
      <c r="M3300" s="10"/>
      <c r="N3300" s="70">
        <v>3.32</v>
      </c>
      <c r="O3300" s="11"/>
    </row>
    <row r="3301" spans="1:15" x14ac:dyDescent="0.25">
      <c r="A3301" s="6">
        <v>1625</v>
      </c>
      <c r="B3301" s="5" t="s">
        <v>550</v>
      </c>
      <c r="C3301" s="5" t="s">
        <v>13</v>
      </c>
      <c r="D3301" s="5" t="s">
        <v>426</v>
      </c>
      <c r="E3301" s="5" t="s">
        <v>427</v>
      </c>
      <c r="F3301" s="5" t="s">
        <v>551</v>
      </c>
      <c r="G3301" s="22">
        <v>0</v>
      </c>
      <c r="H3301" s="22">
        <v>0</v>
      </c>
      <c r="I3301" s="22">
        <v>0</v>
      </c>
      <c r="J3301" s="22">
        <v>1263.8699999999999</v>
      </c>
      <c r="K3301" s="22">
        <v>0</v>
      </c>
      <c r="L3301" s="22">
        <v>1263.8699999999999</v>
      </c>
      <c r="M3301" s="10"/>
      <c r="O3301" s="11"/>
    </row>
    <row r="3302" spans="1:15" s="4" customFormat="1" x14ac:dyDescent="0.25">
      <c r="A3302" s="6"/>
      <c r="B3302" s="5"/>
      <c r="C3302" s="5"/>
      <c r="D3302" s="5" t="s">
        <v>426</v>
      </c>
      <c r="E3302" s="5" t="s">
        <v>427</v>
      </c>
      <c r="F3302" s="5" t="s">
        <v>551</v>
      </c>
      <c r="G3302" s="14">
        <f t="shared" ref="G3302:L3302" si="835">SUBTOTAL(9,G3299:G3301)</f>
        <v>10607.279999999999</v>
      </c>
      <c r="H3302" s="14">
        <f t="shared" si="835"/>
        <v>0</v>
      </c>
      <c r="I3302" s="14">
        <f t="shared" si="835"/>
        <v>0</v>
      </c>
      <c r="J3302" s="14">
        <f t="shared" si="835"/>
        <v>1263.8699999999999</v>
      </c>
      <c r="K3302" s="14">
        <f t="shared" si="835"/>
        <v>-212.08</v>
      </c>
      <c r="L3302" s="14">
        <f t="shared" si="835"/>
        <v>11659.07</v>
      </c>
      <c r="M3302" s="10">
        <v>2917</v>
      </c>
      <c r="N3302" s="71">
        <f>SUBTOTAL(9,N3299:N3301)</f>
        <v>3.32</v>
      </c>
      <c r="O3302" s="11">
        <f>O3294+1</f>
        <v>798</v>
      </c>
    </row>
    <row r="3303" spans="1:15" x14ac:dyDescent="0.25">
      <c r="A3303" s="10"/>
      <c r="G3303" s="21"/>
      <c r="H3303" s="21"/>
      <c r="I3303" s="21"/>
      <c r="J3303" s="21"/>
      <c r="K3303" s="21"/>
      <c r="L3303" s="21"/>
      <c r="M3303" s="10"/>
      <c r="O3303" s="11"/>
    </row>
    <row r="3304" spans="1:15" x14ac:dyDescent="0.25">
      <c r="A3304" s="6">
        <v>1626</v>
      </c>
      <c r="B3304" s="5" t="s">
        <v>550</v>
      </c>
      <c r="C3304" s="5" t="s">
        <v>17</v>
      </c>
      <c r="D3304" s="5" t="s">
        <v>426</v>
      </c>
      <c r="E3304" s="5" t="s">
        <v>427</v>
      </c>
      <c r="F3304" s="5" t="s">
        <v>552</v>
      </c>
      <c r="G3304" s="22">
        <v>0.76</v>
      </c>
      <c r="H3304" s="22">
        <v>0</v>
      </c>
      <c r="I3304" s="22">
        <v>0</v>
      </c>
      <c r="J3304" s="22">
        <v>0</v>
      </c>
      <c r="K3304" s="22">
        <v>-0.02</v>
      </c>
      <c r="L3304" s="22">
        <v>0.74</v>
      </c>
      <c r="M3304" s="10"/>
      <c r="O3304" s="11"/>
    </row>
    <row r="3305" spans="1:15" s="4" customFormat="1" x14ac:dyDescent="0.25">
      <c r="A3305" s="6">
        <v>1627</v>
      </c>
      <c r="B3305" s="5" t="s">
        <v>550</v>
      </c>
      <c r="C3305" s="5" t="s">
        <v>13</v>
      </c>
      <c r="D3305" s="5" t="s">
        <v>426</v>
      </c>
      <c r="E3305" s="5" t="s">
        <v>427</v>
      </c>
      <c r="F3305" s="5" t="s">
        <v>552</v>
      </c>
      <c r="G3305" s="22">
        <v>0</v>
      </c>
      <c r="H3305" s="22">
        <v>0</v>
      </c>
      <c r="I3305" s="22">
        <v>0</v>
      </c>
      <c r="J3305" s="22">
        <v>0.09</v>
      </c>
      <c r="K3305" s="22">
        <v>0</v>
      </c>
      <c r="L3305" s="22">
        <v>0.09</v>
      </c>
      <c r="M3305" s="10"/>
      <c r="N3305" s="67"/>
      <c r="O3305" s="11"/>
    </row>
    <row r="3306" spans="1:15" s="4" customFormat="1" x14ac:dyDescent="0.25">
      <c r="A3306" s="6"/>
      <c r="B3306" s="5"/>
      <c r="C3306" s="5"/>
      <c r="D3306" s="5" t="s">
        <v>426</v>
      </c>
      <c r="E3306" s="5" t="s">
        <v>427</v>
      </c>
      <c r="F3306" s="5" t="s">
        <v>552</v>
      </c>
      <c r="G3306" s="14">
        <f t="shared" ref="G3306:L3306" si="836">SUBTOTAL(9,G3304:G3305)</f>
        <v>0.76</v>
      </c>
      <c r="H3306" s="14">
        <f t="shared" si="836"/>
        <v>0</v>
      </c>
      <c r="I3306" s="14">
        <f t="shared" si="836"/>
        <v>0</v>
      </c>
      <c r="J3306" s="14">
        <f t="shared" si="836"/>
        <v>0.09</v>
      </c>
      <c r="K3306" s="14">
        <f t="shared" si="836"/>
        <v>-0.02</v>
      </c>
      <c r="L3306" s="14">
        <f t="shared" si="836"/>
        <v>0.83</v>
      </c>
      <c r="M3306" s="10">
        <v>2918</v>
      </c>
      <c r="N3306" s="69"/>
      <c r="O3306" s="11">
        <f>O3302+1</f>
        <v>799</v>
      </c>
    </row>
    <row r="3307" spans="1:15" x14ac:dyDescent="0.25">
      <c r="A3307" s="10"/>
      <c r="G3307" s="21"/>
      <c r="H3307" s="21"/>
      <c r="I3307" s="21"/>
      <c r="J3307" s="21"/>
      <c r="K3307" s="21"/>
      <c r="L3307" s="21"/>
      <c r="M3307" s="10"/>
      <c r="O3307" s="11"/>
    </row>
    <row r="3308" spans="1:15" x14ac:dyDescent="0.25">
      <c r="A3308" s="6">
        <v>1628</v>
      </c>
      <c r="B3308" s="5" t="s">
        <v>559</v>
      </c>
      <c r="C3308" s="5" t="s">
        <v>17</v>
      </c>
      <c r="D3308" s="5" t="s">
        <v>428</v>
      </c>
      <c r="E3308" s="5" t="s">
        <v>429</v>
      </c>
      <c r="F3308" s="5" t="s">
        <v>560</v>
      </c>
      <c r="G3308" s="22">
        <v>7.0000000000000007E-2</v>
      </c>
      <c r="H3308" s="22">
        <v>0</v>
      </c>
      <c r="I3308" s="22">
        <v>0</v>
      </c>
      <c r="J3308" s="22">
        <v>0</v>
      </c>
      <c r="K3308" s="22">
        <v>0</v>
      </c>
      <c r="L3308" s="22">
        <v>7.0000000000000007E-2</v>
      </c>
      <c r="M3308" s="10"/>
      <c r="O3308" s="11"/>
    </row>
    <row r="3309" spans="1:15" s="4" customFormat="1" x14ac:dyDescent="0.25">
      <c r="A3309" s="6">
        <v>1629</v>
      </c>
      <c r="B3309" s="5" t="s">
        <v>559</v>
      </c>
      <c r="C3309" s="5" t="s">
        <v>13</v>
      </c>
      <c r="D3309" s="5" t="s">
        <v>428</v>
      </c>
      <c r="E3309" s="5" t="s">
        <v>429</v>
      </c>
      <c r="F3309" s="5" t="s">
        <v>560</v>
      </c>
      <c r="G3309" s="22">
        <v>0</v>
      </c>
      <c r="H3309" s="22">
        <v>0</v>
      </c>
      <c r="I3309" s="22">
        <v>0</v>
      </c>
      <c r="J3309" s="22">
        <v>0.01</v>
      </c>
      <c r="K3309" s="22">
        <v>0</v>
      </c>
      <c r="L3309" s="22">
        <v>0.01</v>
      </c>
      <c r="M3309" s="10"/>
      <c r="N3309" s="67"/>
      <c r="O3309" s="11"/>
    </row>
    <row r="3310" spans="1:15" s="4" customFormat="1" x14ac:dyDescent="0.25">
      <c r="A3310" s="6"/>
      <c r="B3310" s="5"/>
      <c r="C3310" s="5"/>
      <c r="D3310" s="5" t="s">
        <v>428</v>
      </c>
      <c r="E3310" s="5" t="s">
        <v>429</v>
      </c>
      <c r="F3310" s="5" t="s">
        <v>560</v>
      </c>
      <c r="G3310" s="14">
        <f t="shared" ref="G3310:L3310" si="837">SUBTOTAL(9,G3308:G3309)</f>
        <v>7.0000000000000007E-2</v>
      </c>
      <c r="H3310" s="14">
        <f t="shared" si="837"/>
        <v>0</v>
      </c>
      <c r="I3310" s="14">
        <f t="shared" si="837"/>
        <v>0</v>
      </c>
      <c r="J3310" s="14">
        <f t="shared" si="837"/>
        <v>0.01</v>
      </c>
      <c r="K3310" s="14">
        <f t="shared" si="837"/>
        <v>0</v>
      </c>
      <c r="L3310" s="14">
        <f t="shared" si="837"/>
        <v>0.08</v>
      </c>
      <c r="M3310" s="10">
        <v>2919</v>
      </c>
      <c r="N3310" s="69"/>
      <c r="O3310" s="11">
        <f>O3306+1</f>
        <v>800</v>
      </c>
    </row>
    <row r="3311" spans="1:15" x14ac:dyDescent="0.25">
      <c r="A3311" s="10"/>
      <c r="G3311" s="21"/>
      <c r="H3311" s="21"/>
      <c r="I3311" s="21"/>
      <c r="J3311" s="21"/>
      <c r="K3311" s="21"/>
      <c r="L3311" s="21"/>
      <c r="M3311" s="10"/>
      <c r="O3311" s="11"/>
    </row>
    <row r="3312" spans="1:15" x14ac:dyDescent="0.25">
      <c r="A3312" s="6">
        <v>1630</v>
      </c>
      <c r="B3312" s="5" t="s">
        <v>18</v>
      </c>
      <c r="C3312" s="5" t="s">
        <v>17</v>
      </c>
      <c r="D3312" s="5" t="s">
        <v>428</v>
      </c>
      <c r="E3312" s="5" t="s">
        <v>429</v>
      </c>
      <c r="F3312" s="5" t="s">
        <v>19</v>
      </c>
      <c r="G3312" s="22">
        <v>0.02</v>
      </c>
      <c r="H3312" s="22">
        <v>0</v>
      </c>
      <c r="I3312" s="22">
        <v>0</v>
      </c>
      <c r="J3312" s="22">
        <v>0</v>
      </c>
      <c r="K3312" s="22">
        <v>-0.01</v>
      </c>
      <c r="L3312" s="22">
        <v>0.01</v>
      </c>
      <c r="M3312" s="10"/>
      <c r="O3312" s="11"/>
    </row>
    <row r="3313" spans="1:15" s="4" customFormat="1" x14ac:dyDescent="0.25">
      <c r="A3313" s="6">
        <v>1631</v>
      </c>
      <c r="B3313" s="5" t="s">
        <v>18</v>
      </c>
      <c r="C3313" s="5" t="s">
        <v>17</v>
      </c>
      <c r="D3313" s="5" t="s">
        <v>428</v>
      </c>
      <c r="E3313" s="5" t="s">
        <v>429</v>
      </c>
      <c r="F3313" s="5" t="s">
        <v>19</v>
      </c>
      <c r="G3313" s="22">
        <v>1.04</v>
      </c>
      <c r="H3313" s="22">
        <v>0</v>
      </c>
      <c r="I3313" s="22">
        <v>0</v>
      </c>
      <c r="J3313" s="22">
        <v>0</v>
      </c>
      <c r="K3313" s="22">
        <v>-0.93</v>
      </c>
      <c r="L3313" s="22">
        <v>0.11</v>
      </c>
      <c r="M3313" s="10"/>
      <c r="N3313" s="67"/>
      <c r="O3313" s="11"/>
    </row>
    <row r="3314" spans="1:15" x14ac:dyDescent="0.25">
      <c r="A3314" s="6"/>
      <c r="B3314" s="5"/>
      <c r="C3314" s="5"/>
      <c r="D3314" s="5" t="s">
        <v>428</v>
      </c>
      <c r="E3314" s="5" t="s">
        <v>429</v>
      </c>
      <c r="F3314" s="5" t="s">
        <v>19</v>
      </c>
      <c r="G3314" s="14">
        <f t="shared" ref="G3314:L3314" si="838">SUBTOTAL(9,G3312:G3313)</f>
        <v>1.06</v>
      </c>
      <c r="H3314" s="14">
        <f t="shared" si="838"/>
        <v>0</v>
      </c>
      <c r="I3314" s="14">
        <f t="shared" si="838"/>
        <v>0</v>
      </c>
      <c r="J3314" s="14">
        <f t="shared" si="838"/>
        <v>0</v>
      </c>
      <c r="K3314" s="14">
        <f t="shared" si="838"/>
        <v>-0.94000000000000006</v>
      </c>
      <c r="L3314" s="14">
        <f t="shared" si="838"/>
        <v>0.12</v>
      </c>
      <c r="M3314" s="10">
        <v>2920</v>
      </c>
      <c r="N3314" s="69"/>
      <c r="O3314" s="11">
        <f>O3310+1</f>
        <v>801</v>
      </c>
    </row>
    <row r="3315" spans="1:15" x14ac:dyDescent="0.25">
      <c r="A3315" s="10"/>
      <c r="G3315" s="21"/>
      <c r="H3315" s="21"/>
      <c r="I3315" s="21"/>
      <c r="J3315" s="21"/>
      <c r="K3315" s="21"/>
      <c r="L3315" s="21"/>
      <c r="M3315" s="10"/>
      <c r="O3315" s="11"/>
    </row>
    <row r="3316" spans="1:15" s="4" customFormat="1" x14ac:dyDescent="0.25">
      <c r="A3316" s="6">
        <v>1632</v>
      </c>
      <c r="B3316" s="5" t="s">
        <v>550</v>
      </c>
      <c r="C3316" s="5" t="s">
        <v>13</v>
      </c>
      <c r="D3316" s="5" t="s">
        <v>428</v>
      </c>
      <c r="E3316" s="5" t="s">
        <v>429</v>
      </c>
      <c r="F3316" s="5" t="s">
        <v>551</v>
      </c>
      <c r="G3316" s="22">
        <v>0</v>
      </c>
      <c r="H3316" s="22">
        <v>0</v>
      </c>
      <c r="I3316" s="22">
        <v>0</v>
      </c>
      <c r="J3316" s="22">
        <v>192.39</v>
      </c>
      <c r="K3316" s="22">
        <v>0</v>
      </c>
      <c r="L3316" s="22">
        <v>192.39</v>
      </c>
      <c r="M3316" s="10"/>
      <c r="N3316" s="67"/>
      <c r="O3316" s="11"/>
    </row>
    <row r="3317" spans="1:15" x14ac:dyDescent="0.25">
      <c r="A3317" s="6">
        <v>1633</v>
      </c>
      <c r="B3317" s="5" t="s">
        <v>550</v>
      </c>
      <c r="C3317" s="5" t="s">
        <v>13</v>
      </c>
      <c r="D3317" s="5" t="s">
        <v>428</v>
      </c>
      <c r="E3317" s="5" t="s">
        <v>429</v>
      </c>
      <c r="F3317" s="5" t="s">
        <v>551</v>
      </c>
      <c r="G3317" s="22">
        <v>0</v>
      </c>
      <c r="H3317" s="22">
        <v>0</v>
      </c>
      <c r="I3317" s="22">
        <v>0</v>
      </c>
      <c r="J3317" s="22">
        <v>66.099999999999994</v>
      </c>
      <c r="K3317" s="22">
        <v>0</v>
      </c>
      <c r="L3317" s="22">
        <v>66.099999999999994</v>
      </c>
      <c r="M3317" s="10"/>
      <c r="O3317" s="11"/>
    </row>
    <row r="3318" spans="1:15" x14ac:dyDescent="0.25">
      <c r="A3318" s="6">
        <v>1634</v>
      </c>
      <c r="B3318" s="5" t="s">
        <v>550</v>
      </c>
      <c r="C3318" s="5" t="s">
        <v>17</v>
      </c>
      <c r="D3318" s="5" t="s">
        <v>428</v>
      </c>
      <c r="E3318" s="5" t="s">
        <v>429</v>
      </c>
      <c r="F3318" s="5" t="s">
        <v>551</v>
      </c>
      <c r="G3318" s="22">
        <v>1603.26</v>
      </c>
      <c r="H3318" s="22">
        <v>0</v>
      </c>
      <c r="I3318" s="22">
        <v>0</v>
      </c>
      <c r="J3318" s="22">
        <v>0</v>
      </c>
      <c r="K3318" s="22">
        <v>-32.07</v>
      </c>
      <c r="L3318" s="22">
        <v>1571.19</v>
      </c>
      <c r="M3318" s="10"/>
      <c r="O3318" s="11"/>
    </row>
    <row r="3319" spans="1:15" s="4" customFormat="1" x14ac:dyDescent="0.25">
      <c r="A3319" s="6">
        <v>1635</v>
      </c>
      <c r="B3319" s="5" t="s">
        <v>550</v>
      </c>
      <c r="C3319" s="5" t="s">
        <v>17</v>
      </c>
      <c r="D3319" s="5" t="s">
        <v>428</v>
      </c>
      <c r="E3319" s="5" t="s">
        <v>429</v>
      </c>
      <c r="F3319" s="5" t="s">
        <v>551</v>
      </c>
      <c r="G3319" s="22">
        <v>550.82000000000005</v>
      </c>
      <c r="H3319" s="22">
        <v>0</v>
      </c>
      <c r="I3319" s="22">
        <v>0</v>
      </c>
      <c r="J3319" s="22">
        <v>0</v>
      </c>
      <c r="K3319" s="22">
        <v>-11.02</v>
      </c>
      <c r="L3319" s="22">
        <v>539.79999999999995</v>
      </c>
      <c r="M3319" s="10"/>
      <c r="N3319" s="67"/>
      <c r="O3319" s="11"/>
    </row>
    <row r="3320" spans="1:15" x14ac:dyDescent="0.25">
      <c r="A3320" s="6"/>
      <c r="B3320" s="5"/>
      <c r="C3320" s="5"/>
      <c r="D3320" s="5" t="s">
        <v>428</v>
      </c>
      <c r="E3320" s="5" t="s">
        <v>429</v>
      </c>
      <c r="F3320" s="5" t="s">
        <v>551</v>
      </c>
      <c r="G3320" s="14">
        <f t="shared" ref="G3320:L3320" si="839">SUBTOTAL(9,G3316:G3319)</f>
        <v>2154.08</v>
      </c>
      <c r="H3320" s="14">
        <f t="shared" si="839"/>
        <v>0</v>
      </c>
      <c r="I3320" s="14">
        <f t="shared" si="839"/>
        <v>0</v>
      </c>
      <c r="J3320" s="14">
        <f t="shared" si="839"/>
        <v>258.49</v>
      </c>
      <c r="K3320" s="14">
        <f t="shared" si="839"/>
        <v>-43.09</v>
      </c>
      <c r="L3320" s="14">
        <f t="shared" si="839"/>
        <v>2369.48</v>
      </c>
      <c r="M3320" s="10">
        <v>2921</v>
      </c>
      <c r="N3320" s="69"/>
      <c r="O3320" s="11">
        <f>O3314+1</f>
        <v>802</v>
      </c>
    </row>
    <row r="3321" spans="1:15" x14ac:dyDescent="0.25">
      <c r="A3321" s="10"/>
      <c r="G3321" s="21"/>
      <c r="H3321" s="21"/>
      <c r="I3321" s="21"/>
      <c r="J3321" s="21"/>
      <c r="K3321" s="21"/>
      <c r="L3321" s="21"/>
      <c r="M3321" s="10"/>
      <c r="O3321" s="11"/>
    </row>
    <row r="3322" spans="1:15" s="4" customFormat="1" x14ac:dyDescent="0.25">
      <c r="A3322" s="6">
        <v>1636</v>
      </c>
      <c r="B3322" s="5" t="s">
        <v>550</v>
      </c>
      <c r="C3322" s="5" t="s">
        <v>13</v>
      </c>
      <c r="D3322" s="5" t="s">
        <v>428</v>
      </c>
      <c r="E3322" s="5" t="s">
        <v>429</v>
      </c>
      <c r="F3322" s="5" t="s">
        <v>552</v>
      </c>
      <c r="G3322" s="22">
        <v>0</v>
      </c>
      <c r="H3322" s="22">
        <v>0</v>
      </c>
      <c r="I3322" s="22">
        <v>0</v>
      </c>
      <c r="J3322" s="22">
        <v>0.01</v>
      </c>
      <c r="K3322" s="22">
        <v>0</v>
      </c>
      <c r="L3322" s="22">
        <v>0.01</v>
      </c>
      <c r="M3322" s="10"/>
      <c r="N3322" s="67"/>
      <c r="O3322" s="11"/>
    </row>
    <row r="3323" spans="1:15" x14ac:dyDescent="0.25">
      <c r="A3323" s="6">
        <v>1637</v>
      </c>
      <c r="B3323" s="5" t="s">
        <v>550</v>
      </c>
      <c r="C3323" s="5" t="s">
        <v>13</v>
      </c>
      <c r="D3323" s="5" t="s">
        <v>428</v>
      </c>
      <c r="E3323" s="5" t="s">
        <v>429</v>
      </c>
      <c r="F3323" s="5" t="s">
        <v>552</v>
      </c>
      <c r="G3323" s="22">
        <v>0</v>
      </c>
      <c r="H3323" s="22">
        <v>0</v>
      </c>
      <c r="I3323" s="22">
        <v>0</v>
      </c>
      <c r="J3323" s="22">
        <v>0</v>
      </c>
      <c r="K3323" s="22">
        <v>0</v>
      </c>
      <c r="L3323" s="22">
        <v>0</v>
      </c>
      <c r="M3323" s="10"/>
      <c r="O3323" s="11"/>
    </row>
    <row r="3324" spans="1:15" x14ac:dyDescent="0.25">
      <c r="A3324" s="6">
        <v>1638</v>
      </c>
      <c r="B3324" s="5" t="s">
        <v>550</v>
      </c>
      <c r="C3324" s="5" t="s">
        <v>17</v>
      </c>
      <c r="D3324" s="5" t="s">
        <v>428</v>
      </c>
      <c r="E3324" s="5" t="s">
        <v>429</v>
      </c>
      <c r="F3324" s="5" t="s">
        <v>552</v>
      </c>
      <c r="G3324" s="22">
        <v>0.12</v>
      </c>
      <c r="H3324" s="22">
        <v>0</v>
      </c>
      <c r="I3324" s="22">
        <v>0</v>
      </c>
      <c r="J3324" s="22">
        <v>0</v>
      </c>
      <c r="K3324" s="22">
        <v>0</v>
      </c>
      <c r="L3324" s="22">
        <v>0.12</v>
      </c>
      <c r="M3324" s="10"/>
      <c r="O3324" s="11"/>
    </row>
    <row r="3325" spans="1:15" s="4" customFormat="1" x14ac:dyDescent="0.25">
      <c r="A3325" s="6">
        <v>1639</v>
      </c>
      <c r="B3325" s="5" t="s">
        <v>550</v>
      </c>
      <c r="C3325" s="5" t="s">
        <v>17</v>
      </c>
      <c r="D3325" s="5" t="s">
        <v>428</v>
      </c>
      <c r="E3325" s="5" t="s">
        <v>429</v>
      </c>
      <c r="F3325" s="5" t="s">
        <v>552</v>
      </c>
      <c r="G3325" s="22">
        <v>0.04</v>
      </c>
      <c r="H3325" s="22">
        <v>0</v>
      </c>
      <c r="I3325" s="22">
        <v>0</v>
      </c>
      <c r="J3325" s="22">
        <v>0</v>
      </c>
      <c r="K3325" s="22">
        <v>0</v>
      </c>
      <c r="L3325" s="22">
        <v>0.04</v>
      </c>
      <c r="M3325" s="10"/>
      <c r="N3325" s="67"/>
      <c r="O3325" s="11"/>
    </row>
    <row r="3326" spans="1:15" x14ac:dyDescent="0.25">
      <c r="A3326" s="6"/>
      <c r="B3326" s="5"/>
      <c r="C3326" s="5"/>
      <c r="D3326" s="5" t="s">
        <v>428</v>
      </c>
      <c r="E3326" s="5" t="s">
        <v>429</v>
      </c>
      <c r="F3326" s="5" t="s">
        <v>552</v>
      </c>
      <c r="G3326" s="14">
        <f t="shared" ref="G3326:L3326" si="840">SUBTOTAL(9,G3322:G3325)</f>
        <v>0.16</v>
      </c>
      <c r="H3326" s="14">
        <f t="shared" si="840"/>
        <v>0</v>
      </c>
      <c r="I3326" s="14">
        <f t="shared" si="840"/>
        <v>0</v>
      </c>
      <c r="J3326" s="14">
        <f t="shared" si="840"/>
        <v>0.01</v>
      </c>
      <c r="K3326" s="14">
        <f t="shared" si="840"/>
        <v>0</v>
      </c>
      <c r="L3326" s="14">
        <f t="shared" si="840"/>
        <v>0.17</v>
      </c>
      <c r="M3326" s="10">
        <v>2922</v>
      </c>
      <c r="N3326" s="69"/>
      <c r="O3326" s="11">
        <f>O3320+1</f>
        <v>803</v>
      </c>
    </row>
    <row r="3327" spans="1:15" x14ac:dyDescent="0.25">
      <c r="A3327" s="10"/>
      <c r="G3327" s="21"/>
      <c r="H3327" s="21"/>
      <c r="I3327" s="21"/>
      <c r="J3327" s="21"/>
      <c r="K3327" s="21"/>
      <c r="L3327" s="21"/>
      <c r="M3327" s="10"/>
      <c r="O3327" s="11"/>
    </row>
    <row r="3328" spans="1:15" s="4" customFormat="1" x14ac:dyDescent="0.25">
      <c r="A3328" s="6">
        <v>1640</v>
      </c>
      <c r="B3328" s="5" t="s">
        <v>18</v>
      </c>
      <c r="C3328" s="5" t="s">
        <v>17</v>
      </c>
      <c r="D3328" s="5" t="s">
        <v>430</v>
      </c>
      <c r="E3328" s="5" t="s">
        <v>431</v>
      </c>
      <c r="F3328" s="5" t="s">
        <v>19</v>
      </c>
      <c r="G3328" s="22">
        <v>0</v>
      </c>
      <c r="H3328" s="22">
        <v>0</v>
      </c>
      <c r="I3328" s="22">
        <v>0.67</v>
      </c>
      <c r="J3328" s="22">
        <v>0</v>
      </c>
      <c r="K3328" s="22">
        <v>-0.08</v>
      </c>
      <c r="L3328" s="22">
        <v>0.59</v>
      </c>
      <c r="M3328" s="10"/>
      <c r="N3328" s="67"/>
      <c r="O3328" s="11"/>
    </row>
    <row r="3329" spans="1:15" x14ac:dyDescent="0.25">
      <c r="A3329" s="6"/>
      <c r="B3329" s="5"/>
      <c r="C3329" s="5"/>
      <c r="D3329" s="5" t="s">
        <v>430</v>
      </c>
      <c r="E3329" s="5" t="s">
        <v>431</v>
      </c>
      <c r="F3329" s="5" t="s">
        <v>19</v>
      </c>
      <c r="G3329" s="14">
        <f t="shared" ref="G3329:L3329" si="841">SUBTOTAL(9,G3328:G3328)</f>
        <v>0</v>
      </c>
      <c r="H3329" s="14">
        <f t="shared" si="841"/>
        <v>0</v>
      </c>
      <c r="I3329" s="14">
        <f t="shared" si="841"/>
        <v>0.67</v>
      </c>
      <c r="J3329" s="14">
        <f t="shared" si="841"/>
        <v>0</v>
      </c>
      <c r="K3329" s="14">
        <f t="shared" si="841"/>
        <v>-0.08</v>
      </c>
      <c r="L3329" s="14">
        <f t="shared" si="841"/>
        <v>0.59</v>
      </c>
      <c r="M3329" s="10">
        <v>2923</v>
      </c>
      <c r="N3329" s="69"/>
      <c r="O3329" s="11">
        <f>O3326+1</f>
        <v>804</v>
      </c>
    </row>
    <row r="3330" spans="1:15" x14ac:dyDescent="0.25">
      <c r="A3330" s="10"/>
      <c r="G3330" s="21"/>
      <c r="H3330" s="21"/>
      <c r="I3330" s="21"/>
      <c r="J3330" s="21"/>
      <c r="K3330" s="21"/>
      <c r="L3330" s="21"/>
      <c r="M3330" s="10"/>
      <c r="O3330" s="11"/>
    </row>
    <row r="3331" spans="1:15" s="4" customFormat="1" x14ac:dyDescent="0.25">
      <c r="A3331" s="6">
        <v>1641</v>
      </c>
      <c r="B3331" s="5" t="s">
        <v>550</v>
      </c>
      <c r="C3331" s="5" t="s">
        <v>17</v>
      </c>
      <c r="D3331" s="5" t="s">
        <v>430</v>
      </c>
      <c r="E3331" s="5" t="s">
        <v>431</v>
      </c>
      <c r="F3331" s="5" t="s">
        <v>551</v>
      </c>
      <c r="G3331" s="22">
        <v>0</v>
      </c>
      <c r="H3331" s="22">
        <v>0</v>
      </c>
      <c r="I3331" s="22">
        <v>7.82</v>
      </c>
      <c r="J3331" s="22">
        <v>0</v>
      </c>
      <c r="K3331" s="22">
        <v>-0.16</v>
      </c>
      <c r="L3331" s="22">
        <v>7.66</v>
      </c>
      <c r="M3331" s="10"/>
      <c r="N3331" s="67"/>
      <c r="O3331" s="11"/>
    </row>
    <row r="3332" spans="1:15" x14ac:dyDescent="0.25">
      <c r="A3332" s="6">
        <v>1642</v>
      </c>
      <c r="B3332" s="5" t="s">
        <v>550</v>
      </c>
      <c r="C3332" s="5" t="s">
        <v>17</v>
      </c>
      <c r="D3332" s="5" t="s">
        <v>430</v>
      </c>
      <c r="E3332" s="5" t="s">
        <v>431</v>
      </c>
      <c r="F3332" s="5" t="s">
        <v>551</v>
      </c>
      <c r="G3332" s="22">
        <v>0</v>
      </c>
      <c r="H3332" s="22">
        <v>0</v>
      </c>
      <c r="I3332" s="22">
        <v>1081.2</v>
      </c>
      <c r="J3332" s="22">
        <v>0</v>
      </c>
      <c r="K3332" s="22">
        <v>-21.62</v>
      </c>
      <c r="L3332" s="22">
        <v>1059.58</v>
      </c>
      <c r="M3332" s="10"/>
      <c r="O3332" s="11"/>
    </row>
    <row r="3333" spans="1:15" x14ac:dyDescent="0.25">
      <c r="A3333" s="6"/>
      <c r="B3333" s="5"/>
      <c r="C3333" s="5"/>
      <c r="D3333" s="5" t="s">
        <v>430</v>
      </c>
      <c r="E3333" s="5" t="s">
        <v>431</v>
      </c>
      <c r="F3333" s="5" t="s">
        <v>551</v>
      </c>
      <c r="G3333" s="14">
        <f t="shared" ref="G3333:L3333" si="842">SUBTOTAL(9,G3331:G3332)</f>
        <v>0</v>
      </c>
      <c r="H3333" s="14">
        <f t="shared" si="842"/>
        <v>0</v>
      </c>
      <c r="I3333" s="14">
        <f t="shared" si="842"/>
        <v>1089.02</v>
      </c>
      <c r="J3333" s="14">
        <f t="shared" si="842"/>
        <v>0</v>
      </c>
      <c r="K3333" s="14">
        <f t="shared" si="842"/>
        <v>-21.78</v>
      </c>
      <c r="L3333" s="14">
        <f t="shared" si="842"/>
        <v>1067.24</v>
      </c>
      <c r="M3333" s="10">
        <v>2924</v>
      </c>
      <c r="N3333" s="69"/>
      <c r="O3333" s="11">
        <f>O3329+1</f>
        <v>805</v>
      </c>
    </row>
    <row r="3334" spans="1:15" s="4" customFormat="1" x14ac:dyDescent="0.25">
      <c r="A3334" s="10"/>
      <c r="B3334"/>
      <c r="C3334"/>
      <c r="D3334"/>
      <c r="E3334"/>
      <c r="F3334"/>
      <c r="G3334" s="21"/>
      <c r="H3334" s="21"/>
      <c r="I3334" s="21"/>
      <c r="J3334" s="21"/>
      <c r="K3334" s="21"/>
      <c r="L3334" s="21"/>
      <c r="M3334" s="10"/>
      <c r="N3334" s="67"/>
      <c r="O3334" s="11"/>
    </row>
    <row r="3335" spans="1:15" x14ac:dyDescent="0.25">
      <c r="A3335" s="6">
        <v>1643</v>
      </c>
      <c r="B3335" s="5" t="s">
        <v>550</v>
      </c>
      <c r="C3335" s="5" t="s">
        <v>17</v>
      </c>
      <c r="D3335" s="5" t="s">
        <v>430</v>
      </c>
      <c r="E3335" s="5" t="s">
        <v>431</v>
      </c>
      <c r="F3335" s="5" t="s">
        <v>552</v>
      </c>
      <c r="G3335" s="22">
        <v>0</v>
      </c>
      <c r="H3335" s="22">
        <v>0</v>
      </c>
      <c r="I3335" s="22">
        <v>0.08</v>
      </c>
      <c r="J3335" s="22">
        <v>0</v>
      </c>
      <c r="K3335" s="22">
        <v>0</v>
      </c>
      <c r="L3335" s="22">
        <v>0.08</v>
      </c>
      <c r="M3335" s="10"/>
      <c r="O3335" s="11"/>
    </row>
    <row r="3336" spans="1:15" x14ac:dyDescent="0.25">
      <c r="A3336" s="6"/>
      <c r="B3336" s="5"/>
      <c r="C3336" s="5"/>
      <c r="D3336" s="5" t="s">
        <v>430</v>
      </c>
      <c r="E3336" s="5" t="s">
        <v>431</v>
      </c>
      <c r="F3336" s="5" t="s">
        <v>552</v>
      </c>
      <c r="G3336" s="14">
        <f t="shared" ref="G3336:L3336" si="843">SUBTOTAL(9,G3335:G3335)</f>
        <v>0</v>
      </c>
      <c r="H3336" s="14">
        <f t="shared" si="843"/>
        <v>0</v>
      </c>
      <c r="I3336" s="14">
        <f t="shared" si="843"/>
        <v>0.08</v>
      </c>
      <c r="J3336" s="14">
        <f t="shared" si="843"/>
        <v>0</v>
      </c>
      <c r="K3336" s="14">
        <f t="shared" si="843"/>
        <v>0</v>
      </c>
      <c r="L3336" s="14">
        <f t="shared" si="843"/>
        <v>0.08</v>
      </c>
      <c r="M3336" s="10">
        <v>2925</v>
      </c>
      <c r="N3336" s="69"/>
      <c r="O3336" s="11">
        <f>O3333+1</f>
        <v>806</v>
      </c>
    </row>
    <row r="3337" spans="1:15" s="4" customFormat="1" x14ac:dyDescent="0.25">
      <c r="A3337" s="10"/>
      <c r="B3337"/>
      <c r="C3337"/>
      <c r="D3337"/>
      <c r="E3337"/>
      <c r="F3337"/>
      <c r="G3337" s="21"/>
      <c r="H3337" s="21"/>
      <c r="I3337" s="21"/>
      <c r="J3337" s="21"/>
      <c r="K3337" s="21"/>
      <c r="L3337" s="21"/>
      <c r="M3337" s="10"/>
      <c r="N3337" s="67"/>
      <c r="O3337" s="11"/>
    </row>
    <row r="3338" spans="1:15" x14ac:dyDescent="0.25">
      <c r="A3338" s="6">
        <v>1644</v>
      </c>
      <c r="B3338" s="5" t="s">
        <v>555</v>
      </c>
      <c r="C3338" s="5" t="s">
        <v>17</v>
      </c>
      <c r="D3338" s="5" t="s">
        <v>432</v>
      </c>
      <c r="E3338" s="5" t="s">
        <v>433</v>
      </c>
      <c r="F3338" s="5" t="s">
        <v>556</v>
      </c>
      <c r="G3338" s="22">
        <v>0</v>
      </c>
      <c r="H3338" s="22">
        <v>0</v>
      </c>
      <c r="I3338" s="22">
        <v>19.64</v>
      </c>
      <c r="J3338" s="22">
        <v>0</v>
      </c>
      <c r="K3338" s="22">
        <v>0</v>
      </c>
      <c r="L3338" s="22">
        <v>19.64</v>
      </c>
      <c r="M3338" s="10"/>
      <c r="O3338" s="11"/>
    </row>
    <row r="3339" spans="1:15" x14ac:dyDescent="0.25">
      <c r="A3339" s="6"/>
      <c r="B3339" s="5"/>
      <c r="C3339" s="5"/>
      <c r="D3339" s="5" t="s">
        <v>432</v>
      </c>
      <c r="E3339" s="5" t="s">
        <v>433</v>
      </c>
      <c r="F3339" s="5" t="s">
        <v>556</v>
      </c>
      <c r="G3339" s="14">
        <f t="shared" ref="G3339:L3339" si="844">SUBTOTAL(9,G3338:G3338)</f>
        <v>0</v>
      </c>
      <c r="H3339" s="14">
        <f t="shared" si="844"/>
        <v>0</v>
      </c>
      <c r="I3339" s="14">
        <f t="shared" si="844"/>
        <v>19.64</v>
      </c>
      <c r="J3339" s="14">
        <f t="shared" si="844"/>
        <v>0</v>
      </c>
      <c r="K3339" s="14">
        <f t="shared" si="844"/>
        <v>0</v>
      </c>
      <c r="L3339" s="14">
        <f t="shared" si="844"/>
        <v>19.64</v>
      </c>
      <c r="M3339" s="10">
        <v>2926</v>
      </c>
      <c r="N3339" s="69"/>
      <c r="O3339" s="11">
        <f>O3336+1</f>
        <v>807</v>
      </c>
    </row>
    <row r="3340" spans="1:15" s="4" customFormat="1" x14ac:dyDescent="0.25">
      <c r="A3340" s="10"/>
      <c r="B3340"/>
      <c r="C3340"/>
      <c r="D3340"/>
      <c r="E3340"/>
      <c r="F3340"/>
      <c r="G3340" s="21"/>
      <c r="H3340" s="21"/>
      <c r="I3340" s="21"/>
      <c r="J3340" s="21"/>
      <c r="K3340" s="21"/>
      <c r="L3340" s="21"/>
      <c r="M3340" s="10"/>
      <c r="N3340" s="67"/>
      <c r="O3340" s="11"/>
    </row>
    <row r="3341" spans="1:15" x14ac:dyDescent="0.25">
      <c r="A3341" s="6">
        <v>1645</v>
      </c>
      <c r="B3341" s="5" t="s">
        <v>557</v>
      </c>
      <c r="C3341" s="5" t="s">
        <v>17</v>
      </c>
      <c r="D3341" s="5" t="s">
        <v>432</v>
      </c>
      <c r="E3341" s="5" t="s">
        <v>433</v>
      </c>
      <c r="F3341" s="5" t="s">
        <v>558</v>
      </c>
      <c r="G3341" s="22">
        <v>0</v>
      </c>
      <c r="H3341" s="22">
        <v>0</v>
      </c>
      <c r="I3341" s="22">
        <v>5.53</v>
      </c>
      <c r="J3341" s="22">
        <v>0</v>
      </c>
      <c r="K3341" s="22">
        <v>0</v>
      </c>
      <c r="L3341" s="22">
        <v>5.53</v>
      </c>
      <c r="M3341" s="10"/>
      <c r="O3341" s="11"/>
    </row>
    <row r="3342" spans="1:15" x14ac:dyDescent="0.25">
      <c r="A3342" s="6"/>
      <c r="B3342" s="5"/>
      <c r="C3342" s="5"/>
      <c r="D3342" s="5" t="s">
        <v>432</v>
      </c>
      <c r="E3342" s="5" t="s">
        <v>433</v>
      </c>
      <c r="F3342" s="5" t="s">
        <v>558</v>
      </c>
      <c r="G3342" s="14">
        <f t="shared" ref="G3342:L3342" si="845">SUBTOTAL(9,G3341:G3341)</f>
        <v>0</v>
      </c>
      <c r="H3342" s="14">
        <f t="shared" si="845"/>
        <v>0</v>
      </c>
      <c r="I3342" s="14">
        <f t="shared" si="845"/>
        <v>5.53</v>
      </c>
      <c r="J3342" s="14">
        <f t="shared" si="845"/>
        <v>0</v>
      </c>
      <c r="K3342" s="14">
        <f t="shared" si="845"/>
        <v>0</v>
      </c>
      <c r="L3342" s="14">
        <f t="shared" si="845"/>
        <v>5.53</v>
      </c>
      <c r="M3342" s="10">
        <v>2927</v>
      </c>
      <c r="N3342" s="69"/>
      <c r="O3342" s="11">
        <f>O3339+1</f>
        <v>808</v>
      </c>
    </row>
    <row r="3343" spans="1:15" s="4" customFormat="1" x14ac:dyDescent="0.25">
      <c r="A3343" s="10"/>
      <c r="B3343"/>
      <c r="C3343"/>
      <c r="D3343"/>
      <c r="E3343"/>
      <c r="F3343"/>
      <c r="G3343" s="21"/>
      <c r="H3343" s="21"/>
      <c r="I3343" s="21"/>
      <c r="J3343" s="21"/>
      <c r="K3343" s="21"/>
      <c r="L3343" s="21"/>
      <c r="M3343" s="10"/>
      <c r="N3343" s="67"/>
      <c r="O3343" s="11"/>
    </row>
    <row r="3344" spans="1:15" x14ac:dyDescent="0.25">
      <c r="A3344" s="6">
        <v>1646</v>
      </c>
      <c r="B3344" s="5" t="s">
        <v>18</v>
      </c>
      <c r="C3344" s="5" t="s">
        <v>17</v>
      </c>
      <c r="D3344" s="5" t="s">
        <v>432</v>
      </c>
      <c r="E3344" s="5" t="s">
        <v>433</v>
      </c>
      <c r="F3344" s="5" t="s">
        <v>19</v>
      </c>
      <c r="G3344" s="22">
        <v>0</v>
      </c>
      <c r="H3344" s="22">
        <v>0</v>
      </c>
      <c r="I3344" s="22">
        <v>0.63</v>
      </c>
      <c r="J3344" s="22">
        <v>0</v>
      </c>
      <c r="K3344" s="22">
        <v>-7.0000000000000007E-2</v>
      </c>
      <c r="L3344" s="22">
        <v>0.56000000000000005</v>
      </c>
      <c r="M3344" s="10"/>
      <c r="O3344" s="11"/>
    </row>
    <row r="3345" spans="1:15" x14ac:dyDescent="0.25">
      <c r="A3345" s="6"/>
      <c r="B3345" s="5"/>
      <c r="C3345" s="5"/>
      <c r="D3345" s="5" t="s">
        <v>432</v>
      </c>
      <c r="E3345" s="5" t="s">
        <v>433</v>
      </c>
      <c r="F3345" s="5" t="s">
        <v>19</v>
      </c>
      <c r="G3345" s="14">
        <f t="shared" ref="G3345:L3345" si="846">SUBTOTAL(9,G3344:G3344)</f>
        <v>0</v>
      </c>
      <c r="H3345" s="14">
        <f t="shared" si="846"/>
        <v>0</v>
      </c>
      <c r="I3345" s="14">
        <f t="shared" si="846"/>
        <v>0.63</v>
      </c>
      <c r="J3345" s="14">
        <f t="shared" si="846"/>
        <v>0</v>
      </c>
      <c r="K3345" s="14">
        <f t="shared" si="846"/>
        <v>-7.0000000000000007E-2</v>
      </c>
      <c r="L3345" s="14">
        <f t="shared" si="846"/>
        <v>0.56000000000000005</v>
      </c>
      <c r="M3345" s="10">
        <v>2928</v>
      </c>
      <c r="N3345" s="69"/>
      <c r="O3345" s="11">
        <f>O3342+1</f>
        <v>809</v>
      </c>
    </row>
    <row r="3346" spans="1:15" s="4" customFormat="1" x14ac:dyDescent="0.25">
      <c r="A3346" s="10"/>
      <c r="B3346"/>
      <c r="C3346"/>
      <c r="D3346"/>
      <c r="E3346"/>
      <c r="F3346"/>
      <c r="G3346" s="21"/>
      <c r="H3346" s="21"/>
      <c r="I3346" s="21"/>
      <c r="J3346" s="21"/>
      <c r="K3346" s="21"/>
      <c r="L3346" s="21"/>
      <c r="M3346" s="10"/>
      <c r="N3346" s="67"/>
      <c r="O3346" s="11"/>
    </row>
    <row r="3347" spans="1:15" x14ac:dyDescent="0.25">
      <c r="A3347" s="6">
        <v>1647</v>
      </c>
      <c r="B3347" s="5" t="s">
        <v>550</v>
      </c>
      <c r="C3347" s="5" t="s">
        <v>17</v>
      </c>
      <c r="D3347" s="5" t="s">
        <v>432</v>
      </c>
      <c r="E3347" s="5" t="s">
        <v>433</v>
      </c>
      <c r="F3347" s="5" t="s">
        <v>551</v>
      </c>
      <c r="G3347" s="22">
        <v>0</v>
      </c>
      <c r="H3347" s="22">
        <v>0</v>
      </c>
      <c r="I3347" s="22">
        <v>2.5299999999999998</v>
      </c>
      <c r="J3347" s="22">
        <v>0</v>
      </c>
      <c r="K3347" s="22">
        <v>0</v>
      </c>
      <c r="L3347" s="22">
        <v>2.5299999999999998</v>
      </c>
      <c r="M3347" s="10"/>
      <c r="O3347" s="11"/>
    </row>
    <row r="3348" spans="1:15" x14ac:dyDescent="0.25">
      <c r="A3348" s="6">
        <v>1648</v>
      </c>
      <c r="B3348" s="5" t="s">
        <v>550</v>
      </c>
      <c r="C3348" s="5" t="s">
        <v>17</v>
      </c>
      <c r="D3348" s="5" t="s">
        <v>432</v>
      </c>
      <c r="E3348" s="5" t="s">
        <v>433</v>
      </c>
      <c r="F3348" s="5" t="s">
        <v>551</v>
      </c>
      <c r="G3348" s="22">
        <v>0</v>
      </c>
      <c r="H3348" s="22">
        <v>0</v>
      </c>
      <c r="I3348" s="22">
        <v>4194.3100000000004</v>
      </c>
      <c r="J3348" s="22">
        <v>0</v>
      </c>
      <c r="K3348" s="22">
        <v>0</v>
      </c>
      <c r="L3348" s="22">
        <v>4194.3100000000004</v>
      </c>
      <c r="M3348" s="10"/>
      <c r="O3348" s="11"/>
    </row>
    <row r="3349" spans="1:15" s="4" customFormat="1" x14ac:dyDescent="0.25">
      <c r="A3349" s="6"/>
      <c r="B3349" s="5"/>
      <c r="C3349" s="5"/>
      <c r="D3349" s="5" t="s">
        <v>432</v>
      </c>
      <c r="E3349" s="5" t="s">
        <v>433</v>
      </c>
      <c r="F3349" s="5" t="s">
        <v>551</v>
      </c>
      <c r="G3349" s="14">
        <f t="shared" ref="G3349:L3349" si="847">SUBTOTAL(9,G3347:G3348)</f>
        <v>0</v>
      </c>
      <c r="H3349" s="14">
        <f t="shared" si="847"/>
        <v>0</v>
      </c>
      <c r="I3349" s="14">
        <f t="shared" si="847"/>
        <v>4196.84</v>
      </c>
      <c r="J3349" s="14">
        <f t="shared" si="847"/>
        <v>0</v>
      </c>
      <c r="K3349" s="14">
        <f t="shared" si="847"/>
        <v>0</v>
      </c>
      <c r="L3349" s="14">
        <f t="shared" si="847"/>
        <v>4196.84</v>
      </c>
      <c r="M3349" s="10">
        <v>2929</v>
      </c>
      <c r="N3349" s="69"/>
      <c r="O3349" s="11">
        <f>O3345+1</f>
        <v>810</v>
      </c>
    </row>
    <row r="3350" spans="1:15" x14ac:dyDescent="0.25">
      <c r="A3350" s="10"/>
      <c r="G3350" s="21"/>
      <c r="H3350" s="21"/>
      <c r="I3350" s="21"/>
      <c r="J3350" s="21"/>
      <c r="K3350" s="21"/>
      <c r="L3350" s="21"/>
      <c r="M3350" s="10"/>
      <c r="O3350" s="11"/>
    </row>
    <row r="3351" spans="1:15" x14ac:dyDescent="0.25">
      <c r="A3351" s="6">
        <v>1649</v>
      </c>
      <c r="B3351" s="5" t="s">
        <v>550</v>
      </c>
      <c r="C3351" s="5" t="s">
        <v>17</v>
      </c>
      <c r="D3351" s="5" t="s">
        <v>432</v>
      </c>
      <c r="E3351" s="5" t="s">
        <v>433</v>
      </c>
      <c r="F3351" s="5" t="s">
        <v>552</v>
      </c>
      <c r="G3351" s="22">
        <v>0</v>
      </c>
      <c r="H3351" s="22">
        <v>0</v>
      </c>
      <c r="I3351" s="22">
        <v>0.3</v>
      </c>
      <c r="J3351" s="22">
        <v>0</v>
      </c>
      <c r="K3351" s="22">
        <v>0</v>
      </c>
      <c r="L3351" s="22">
        <v>0.3</v>
      </c>
      <c r="M3351" s="10"/>
      <c r="O3351" s="11"/>
    </row>
    <row r="3352" spans="1:15" s="4" customFormat="1" x14ac:dyDescent="0.25">
      <c r="A3352" s="6"/>
      <c r="B3352" s="5"/>
      <c r="C3352" s="5"/>
      <c r="D3352" s="5" t="s">
        <v>432</v>
      </c>
      <c r="E3352" s="5" t="s">
        <v>433</v>
      </c>
      <c r="F3352" s="5" t="s">
        <v>552</v>
      </c>
      <c r="G3352" s="14">
        <f t="shared" ref="G3352:L3352" si="848">SUBTOTAL(9,G3351:G3351)</f>
        <v>0</v>
      </c>
      <c r="H3352" s="14">
        <f t="shared" si="848"/>
        <v>0</v>
      </c>
      <c r="I3352" s="14">
        <f t="shared" si="848"/>
        <v>0.3</v>
      </c>
      <c r="J3352" s="14">
        <f t="shared" si="848"/>
        <v>0</v>
      </c>
      <c r="K3352" s="14">
        <f t="shared" si="848"/>
        <v>0</v>
      </c>
      <c r="L3352" s="14">
        <f t="shared" si="848"/>
        <v>0.3</v>
      </c>
      <c r="M3352" s="10">
        <v>2930</v>
      </c>
      <c r="N3352" s="69"/>
      <c r="O3352" s="11">
        <f>O3349+1</f>
        <v>811</v>
      </c>
    </row>
    <row r="3353" spans="1:15" x14ac:dyDescent="0.25">
      <c r="A3353" s="10"/>
      <c r="G3353" s="21"/>
      <c r="H3353" s="21"/>
      <c r="I3353" s="21"/>
      <c r="J3353" s="21"/>
      <c r="K3353" s="21"/>
      <c r="L3353" s="21"/>
      <c r="M3353" s="10"/>
      <c r="O3353" s="11"/>
    </row>
    <row r="3354" spans="1:15" x14ac:dyDescent="0.25">
      <c r="A3354" s="6">
        <v>1650</v>
      </c>
      <c r="B3354" s="5" t="s">
        <v>555</v>
      </c>
      <c r="C3354" s="5" t="s">
        <v>17</v>
      </c>
      <c r="D3354" s="5" t="s">
        <v>434</v>
      </c>
      <c r="E3354" s="5" t="s">
        <v>435</v>
      </c>
      <c r="F3354" s="5" t="s">
        <v>556</v>
      </c>
      <c r="G3354" s="22">
        <v>0</v>
      </c>
      <c r="H3354" s="22">
        <v>0</v>
      </c>
      <c r="I3354" s="22">
        <v>6.46</v>
      </c>
      <c r="J3354" s="22">
        <v>0</v>
      </c>
      <c r="K3354" s="22">
        <v>-0.13</v>
      </c>
      <c r="L3354" s="22">
        <v>6.33</v>
      </c>
      <c r="M3354" s="10"/>
      <c r="O3354" s="11"/>
    </row>
    <row r="3355" spans="1:15" s="4" customFormat="1" x14ac:dyDescent="0.25">
      <c r="A3355" s="6"/>
      <c r="B3355" s="5"/>
      <c r="C3355" s="5"/>
      <c r="D3355" s="5" t="s">
        <v>434</v>
      </c>
      <c r="E3355" s="5" t="s">
        <v>435</v>
      </c>
      <c r="F3355" s="5" t="s">
        <v>556</v>
      </c>
      <c r="G3355" s="14">
        <f t="shared" ref="G3355:L3355" si="849">SUBTOTAL(9,G3354:G3354)</f>
        <v>0</v>
      </c>
      <c r="H3355" s="14">
        <f t="shared" si="849"/>
        <v>0</v>
      </c>
      <c r="I3355" s="14">
        <f t="shared" si="849"/>
        <v>6.46</v>
      </c>
      <c r="J3355" s="14">
        <f t="shared" si="849"/>
        <v>0</v>
      </c>
      <c r="K3355" s="14">
        <f t="shared" si="849"/>
        <v>-0.13</v>
      </c>
      <c r="L3355" s="14">
        <f t="shared" si="849"/>
        <v>6.33</v>
      </c>
      <c r="M3355" s="10">
        <v>2931</v>
      </c>
      <c r="N3355" s="69"/>
      <c r="O3355" s="11">
        <f>O3352+1</f>
        <v>812</v>
      </c>
    </row>
    <row r="3356" spans="1:15" x14ac:dyDescent="0.25">
      <c r="A3356" s="10"/>
      <c r="G3356" s="21"/>
      <c r="H3356" s="21"/>
      <c r="I3356" s="21"/>
      <c r="J3356" s="21"/>
      <c r="K3356" s="21"/>
      <c r="L3356" s="21"/>
      <c r="M3356" s="10"/>
      <c r="O3356" s="11"/>
    </row>
    <row r="3357" spans="1:15" x14ac:dyDescent="0.25">
      <c r="A3357" s="6">
        <v>1651</v>
      </c>
      <c r="B3357" s="5" t="s">
        <v>557</v>
      </c>
      <c r="C3357" s="5" t="s">
        <v>17</v>
      </c>
      <c r="D3357" s="5" t="s">
        <v>434</v>
      </c>
      <c r="E3357" s="5" t="s">
        <v>435</v>
      </c>
      <c r="F3357" s="5" t="s">
        <v>558</v>
      </c>
      <c r="G3357" s="22">
        <v>0</v>
      </c>
      <c r="H3357" s="22">
        <v>0</v>
      </c>
      <c r="I3357" s="22">
        <v>4.04</v>
      </c>
      <c r="J3357" s="22">
        <v>0</v>
      </c>
      <c r="K3357" s="22">
        <v>-0.08</v>
      </c>
      <c r="L3357" s="22">
        <v>3.96</v>
      </c>
      <c r="M3357" s="10"/>
      <c r="O3357" s="11"/>
    </row>
    <row r="3358" spans="1:15" s="4" customFormat="1" x14ac:dyDescent="0.25">
      <c r="A3358" s="6"/>
      <c r="B3358" s="5"/>
      <c r="C3358" s="5"/>
      <c r="D3358" s="5" t="s">
        <v>434</v>
      </c>
      <c r="E3358" s="5" t="s">
        <v>435</v>
      </c>
      <c r="F3358" s="5" t="s">
        <v>558</v>
      </c>
      <c r="G3358" s="14">
        <f t="shared" ref="G3358:L3358" si="850">SUBTOTAL(9,G3357:G3357)</f>
        <v>0</v>
      </c>
      <c r="H3358" s="14">
        <f t="shared" si="850"/>
        <v>0</v>
      </c>
      <c r="I3358" s="14">
        <f t="shared" si="850"/>
        <v>4.04</v>
      </c>
      <c r="J3358" s="14">
        <f t="shared" si="850"/>
        <v>0</v>
      </c>
      <c r="K3358" s="14">
        <f t="shared" si="850"/>
        <v>-0.08</v>
      </c>
      <c r="L3358" s="14">
        <f t="shared" si="850"/>
        <v>3.96</v>
      </c>
      <c r="M3358" s="10">
        <v>2932</v>
      </c>
      <c r="N3358" s="69"/>
      <c r="O3358" s="11">
        <f>O3355+1</f>
        <v>813</v>
      </c>
    </row>
    <row r="3359" spans="1:15" x14ac:dyDescent="0.25">
      <c r="A3359" s="10"/>
      <c r="G3359" s="21"/>
      <c r="H3359" s="21"/>
      <c r="I3359" s="21"/>
      <c r="J3359" s="21"/>
      <c r="K3359" s="21"/>
      <c r="L3359" s="21"/>
      <c r="M3359" s="10"/>
      <c r="O3359" s="11"/>
    </row>
    <row r="3360" spans="1:15" x14ac:dyDescent="0.25">
      <c r="A3360" s="6">
        <v>1652</v>
      </c>
      <c r="B3360" s="5" t="s">
        <v>550</v>
      </c>
      <c r="C3360" s="5" t="s">
        <v>17</v>
      </c>
      <c r="D3360" s="5" t="s">
        <v>434</v>
      </c>
      <c r="E3360" s="5" t="s">
        <v>435</v>
      </c>
      <c r="F3360" s="5" t="s">
        <v>551</v>
      </c>
      <c r="G3360" s="22">
        <v>0</v>
      </c>
      <c r="H3360" s="22">
        <v>0</v>
      </c>
      <c r="I3360" s="22">
        <v>104.29</v>
      </c>
      <c r="J3360" s="22">
        <v>0</v>
      </c>
      <c r="K3360" s="22">
        <v>-2.09</v>
      </c>
      <c r="L3360" s="22">
        <v>102.2</v>
      </c>
      <c r="M3360" s="10"/>
      <c r="O3360" s="11"/>
    </row>
    <row r="3361" spans="1:15" s="4" customFormat="1" x14ac:dyDescent="0.25">
      <c r="A3361" s="6"/>
      <c r="B3361" s="5"/>
      <c r="C3361" s="5"/>
      <c r="D3361" s="5" t="s">
        <v>434</v>
      </c>
      <c r="E3361" s="5" t="s">
        <v>435</v>
      </c>
      <c r="F3361" s="5" t="s">
        <v>551</v>
      </c>
      <c r="G3361" s="14">
        <f t="shared" ref="G3361:L3361" si="851">SUBTOTAL(9,G3360:G3360)</f>
        <v>0</v>
      </c>
      <c r="H3361" s="14">
        <f t="shared" si="851"/>
        <v>0</v>
      </c>
      <c r="I3361" s="14">
        <f t="shared" si="851"/>
        <v>104.29</v>
      </c>
      <c r="J3361" s="14">
        <f t="shared" si="851"/>
        <v>0</v>
      </c>
      <c r="K3361" s="14">
        <f t="shared" si="851"/>
        <v>-2.09</v>
      </c>
      <c r="L3361" s="14">
        <f t="shared" si="851"/>
        <v>102.2</v>
      </c>
      <c r="M3361" s="10">
        <v>2933</v>
      </c>
      <c r="N3361" s="69"/>
      <c r="O3361" s="11">
        <f>O3358+1</f>
        <v>814</v>
      </c>
    </row>
    <row r="3362" spans="1:15" s="4" customFormat="1" x14ac:dyDescent="0.25">
      <c r="A3362" s="10"/>
      <c r="B3362"/>
      <c r="C3362"/>
      <c r="D3362"/>
      <c r="E3362"/>
      <c r="F3362"/>
      <c r="G3362" s="21"/>
      <c r="H3362" s="21"/>
      <c r="I3362" s="21"/>
      <c r="J3362" s="21"/>
      <c r="K3362" s="21"/>
      <c r="L3362" s="21"/>
      <c r="M3362" s="10"/>
      <c r="N3362" s="67"/>
      <c r="O3362" s="11"/>
    </row>
    <row r="3363" spans="1:15" x14ac:dyDescent="0.25">
      <c r="A3363" s="6">
        <v>1653</v>
      </c>
      <c r="B3363" s="5" t="s">
        <v>550</v>
      </c>
      <c r="C3363" s="5" t="s">
        <v>17</v>
      </c>
      <c r="D3363" s="5" t="s">
        <v>434</v>
      </c>
      <c r="E3363" s="5" t="s">
        <v>435</v>
      </c>
      <c r="F3363" s="5" t="s">
        <v>552</v>
      </c>
      <c r="G3363" s="22">
        <v>0</v>
      </c>
      <c r="H3363" s="22">
        <v>0</v>
      </c>
      <c r="I3363" s="22">
        <v>0.01</v>
      </c>
      <c r="J3363" s="22">
        <v>0</v>
      </c>
      <c r="K3363" s="22">
        <v>0</v>
      </c>
      <c r="L3363" s="22">
        <v>0.01</v>
      </c>
      <c r="M3363" s="10"/>
      <c r="O3363" s="11"/>
    </row>
    <row r="3364" spans="1:15" x14ac:dyDescent="0.25">
      <c r="A3364" s="6"/>
      <c r="B3364" s="5"/>
      <c r="C3364" s="5"/>
      <c r="D3364" s="5" t="s">
        <v>434</v>
      </c>
      <c r="E3364" s="5" t="s">
        <v>435</v>
      </c>
      <c r="F3364" s="5" t="s">
        <v>552</v>
      </c>
      <c r="G3364" s="14">
        <f t="shared" ref="G3364:L3364" si="852">SUBTOTAL(9,G3363:G3363)</f>
        <v>0</v>
      </c>
      <c r="H3364" s="14">
        <f t="shared" si="852"/>
        <v>0</v>
      </c>
      <c r="I3364" s="14">
        <f t="shared" si="852"/>
        <v>0.01</v>
      </c>
      <c r="J3364" s="14">
        <f t="shared" si="852"/>
        <v>0</v>
      </c>
      <c r="K3364" s="14">
        <f t="shared" si="852"/>
        <v>0</v>
      </c>
      <c r="L3364" s="14">
        <f t="shared" si="852"/>
        <v>0.01</v>
      </c>
      <c r="M3364" s="10">
        <v>2934</v>
      </c>
      <c r="N3364" s="69"/>
      <c r="O3364" s="11">
        <f>O3361+1</f>
        <v>815</v>
      </c>
    </row>
    <row r="3365" spans="1:15" s="4" customFormat="1" x14ac:dyDescent="0.25">
      <c r="A3365" s="10"/>
      <c r="B3365"/>
      <c r="C3365"/>
      <c r="D3365"/>
      <c r="E3365"/>
      <c r="F3365"/>
      <c r="G3365" s="21"/>
      <c r="H3365" s="21"/>
      <c r="I3365" s="21"/>
      <c r="J3365" s="21"/>
      <c r="K3365" s="21"/>
      <c r="L3365" s="21"/>
      <c r="M3365" s="10"/>
      <c r="N3365" s="67"/>
      <c r="O3365" s="11"/>
    </row>
    <row r="3366" spans="1:15" x14ac:dyDescent="0.25">
      <c r="A3366" s="6">
        <v>1654</v>
      </c>
      <c r="B3366" s="5" t="s">
        <v>12</v>
      </c>
      <c r="C3366" s="5" t="s">
        <v>17</v>
      </c>
      <c r="D3366" s="5" t="s">
        <v>436</v>
      </c>
      <c r="E3366" s="5" t="s">
        <v>437</v>
      </c>
      <c r="F3366" s="5" t="s">
        <v>16</v>
      </c>
      <c r="G3366" s="22">
        <v>8.3000000000000007</v>
      </c>
      <c r="H3366" s="22">
        <v>0</v>
      </c>
      <c r="I3366" s="22">
        <v>0</v>
      </c>
      <c r="J3366" s="22">
        <v>0</v>
      </c>
      <c r="K3366" s="22">
        <v>-0.17</v>
      </c>
      <c r="L3366" s="22">
        <v>8.1300000000000008</v>
      </c>
      <c r="M3366" s="10"/>
      <c r="O3366" s="11"/>
    </row>
    <row r="3367" spans="1:15" x14ac:dyDescent="0.25">
      <c r="A3367" s="6">
        <v>1655</v>
      </c>
      <c r="B3367" s="5" t="s">
        <v>12</v>
      </c>
      <c r="C3367" s="5" t="s">
        <v>17</v>
      </c>
      <c r="D3367" s="5" t="s">
        <v>436</v>
      </c>
      <c r="E3367" s="5" t="s">
        <v>437</v>
      </c>
      <c r="F3367" s="5" t="s">
        <v>16</v>
      </c>
      <c r="G3367" s="22">
        <v>32.869999999999997</v>
      </c>
      <c r="H3367" s="22">
        <v>0</v>
      </c>
      <c r="I3367" s="22">
        <v>0</v>
      </c>
      <c r="J3367" s="22">
        <v>0</v>
      </c>
      <c r="K3367" s="22">
        <v>-0.66</v>
      </c>
      <c r="L3367" s="22">
        <v>32.21</v>
      </c>
      <c r="M3367" s="10"/>
      <c r="O3367" s="11"/>
    </row>
    <row r="3368" spans="1:15" s="4" customFormat="1" x14ac:dyDescent="0.25">
      <c r="A3368" s="6">
        <v>1656</v>
      </c>
      <c r="B3368" s="5" t="s">
        <v>12</v>
      </c>
      <c r="C3368" s="5" t="s">
        <v>49</v>
      </c>
      <c r="D3368" s="5" t="s">
        <v>436</v>
      </c>
      <c r="E3368" s="5" t="s">
        <v>437</v>
      </c>
      <c r="F3368" s="5" t="s">
        <v>16</v>
      </c>
      <c r="G3368" s="22">
        <v>0.01</v>
      </c>
      <c r="H3368" s="22">
        <v>0</v>
      </c>
      <c r="I3368" s="22">
        <v>0</v>
      </c>
      <c r="J3368" s="22">
        <v>0</v>
      </c>
      <c r="K3368" s="22">
        <v>0</v>
      </c>
      <c r="L3368" s="22">
        <v>0.01</v>
      </c>
      <c r="M3368" s="10"/>
      <c r="N3368" s="70">
        <v>0.01</v>
      </c>
      <c r="O3368" s="11"/>
    </row>
    <row r="3369" spans="1:15" x14ac:dyDescent="0.25">
      <c r="A3369" s="6">
        <v>1657</v>
      </c>
      <c r="B3369" s="5" t="s">
        <v>12</v>
      </c>
      <c r="C3369" s="5" t="s">
        <v>49</v>
      </c>
      <c r="D3369" s="5" t="s">
        <v>436</v>
      </c>
      <c r="E3369" s="5" t="s">
        <v>437</v>
      </c>
      <c r="F3369" s="5" t="s">
        <v>16</v>
      </c>
      <c r="G3369" s="22">
        <v>0.02</v>
      </c>
      <c r="H3369" s="22">
        <v>0</v>
      </c>
      <c r="I3369" s="22">
        <v>0</v>
      </c>
      <c r="J3369" s="22">
        <v>0</v>
      </c>
      <c r="K3369" s="22">
        <v>0</v>
      </c>
      <c r="L3369" s="22">
        <v>0.02</v>
      </c>
      <c r="M3369" s="10"/>
      <c r="N3369" s="70">
        <v>0.02</v>
      </c>
      <c r="O3369" s="11"/>
    </row>
    <row r="3370" spans="1:15" x14ac:dyDescent="0.25">
      <c r="A3370" s="6">
        <v>1658</v>
      </c>
      <c r="B3370" s="5" t="s">
        <v>12</v>
      </c>
      <c r="C3370" s="5" t="s">
        <v>13</v>
      </c>
      <c r="D3370" s="5" t="s">
        <v>436</v>
      </c>
      <c r="E3370" s="5" t="s">
        <v>437</v>
      </c>
      <c r="F3370" s="5" t="s">
        <v>16</v>
      </c>
      <c r="G3370" s="22">
        <v>0</v>
      </c>
      <c r="H3370" s="22">
        <v>0</v>
      </c>
      <c r="I3370" s="22">
        <v>0</v>
      </c>
      <c r="J3370" s="22">
        <v>1</v>
      </c>
      <c r="K3370" s="22">
        <v>0</v>
      </c>
      <c r="L3370" s="22">
        <v>1</v>
      </c>
      <c r="M3370" s="10"/>
      <c r="O3370" s="11"/>
    </row>
    <row r="3371" spans="1:15" s="4" customFormat="1" x14ac:dyDescent="0.25">
      <c r="A3371" s="6">
        <v>1659</v>
      </c>
      <c r="B3371" s="5" t="s">
        <v>12</v>
      </c>
      <c r="C3371" s="5" t="s">
        <v>13</v>
      </c>
      <c r="D3371" s="5" t="s">
        <v>436</v>
      </c>
      <c r="E3371" s="5" t="s">
        <v>437</v>
      </c>
      <c r="F3371" s="5" t="s">
        <v>16</v>
      </c>
      <c r="G3371" s="22">
        <v>0</v>
      </c>
      <c r="H3371" s="22">
        <v>0</v>
      </c>
      <c r="I3371" s="22">
        <v>0</v>
      </c>
      <c r="J3371" s="22">
        <v>3.94</v>
      </c>
      <c r="K3371" s="22">
        <v>0</v>
      </c>
      <c r="L3371" s="22">
        <v>3.94</v>
      </c>
      <c r="M3371" s="10"/>
      <c r="N3371" s="67"/>
      <c r="O3371" s="11"/>
    </row>
    <row r="3372" spans="1:15" s="4" customFormat="1" x14ac:dyDescent="0.25">
      <c r="A3372" s="6"/>
      <c r="B3372" s="5"/>
      <c r="C3372" s="5"/>
      <c r="D3372" s="5" t="s">
        <v>436</v>
      </c>
      <c r="E3372" s="5" t="s">
        <v>437</v>
      </c>
      <c r="F3372" s="5" t="s">
        <v>16</v>
      </c>
      <c r="G3372" s="14">
        <f t="shared" ref="G3372:L3372" si="853">SUBTOTAL(9,G3366:G3371)</f>
        <v>41.2</v>
      </c>
      <c r="H3372" s="14">
        <f t="shared" si="853"/>
        <v>0</v>
      </c>
      <c r="I3372" s="14">
        <f t="shared" si="853"/>
        <v>0</v>
      </c>
      <c r="J3372" s="14">
        <f t="shared" si="853"/>
        <v>4.9399999999999995</v>
      </c>
      <c r="K3372" s="14">
        <f t="shared" si="853"/>
        <v>-0.83000000000000007</v>
      </c>
      <c r="L3372" s="14">
        <f t="shared" si="853"/>
        <v>45.31</v>
      </c>
      <c r="M3372" s="10">
        <v>2935</v>
      </c>
      <c r="N3372" s="71">
        <f>SUBTOTAL(9,N3366:N3371)</f>
        <v>0.03</v>
      </c>
      <c r="O3372" s="11">
        <f>O3364+1</f>
        <v>816</v>
      </c>
    </row>
    <row r="3373" spans="1:15" x14ac:dyDescent="0.25">
      <c r="A3373" s="10"/>
      <c r="G3373" s="21"/>
      <c r="H3373" s="21"/>
      <c r="I3373" s="21"/>
      <c r="J3373" s="21"/>
      <c r="K3373" s="21"/>
      <c r="L3373" s="21"/>
      <c r="M3373" s="10"/>
      <c r="O3373" s="11"/>
    </row>
    <row r="3374" spans="1:15" x14ac:dyDescent="0.25">
      <c r="A3374" s="6">
        <v>1660</v>
      </c>
      <c r="B3374" s="5" t="s">
        <v>37</v>
      </c>
      <c r="C3374" s="5" t="s">
        <v>17</v>
      </c>
      <c r="D3374" s="5" t="s">
        <v>436</v>
      </c>
      <c r="E3374" s="5" t="s">
        <v>437</v>
      </c>
      <c r="F3374" s="5" t="s">
        <v>38</v>
      </c>
      <c r="G3374" s="22">
        <v>0.18</v>
      </c>
      <c r="H3374" s="22">
        <v>0</v>
      </c>
      <c r="I3374" s="22">
        <v>0</v>
      </c>
      <c r="J3374" s="22">
        <v>0</v>
      </c>
      <c r="K3374" s="22">
        <v>0</v>
      </c>
      <c r="L3374" s="22">
        <v>0.18</v>
      </c>
      <c r="M3374" s="10"/>
      <c r="O3374" s="11"/>
    </row>
    <row r="3375" spans="1:15" s="4" customFormat="1" x14ac:dyDescent="0.25">
      <c r="A3375" s="6">
        <v>1661</v>
      </c>
      <c r="B3375" s="5" t="s">
        <v>37</v>
      </c>
      <c r="C3375" s="5" t="s">
        <v>13</v>
      </c>
      <c r="D3375" s="5" t="s">
        <v>436</v>
      </c>
      <c r="E3375" s="5" t="s">
        <v>437</v>
      </c>
      <c r="F3375" s="5" t="s">
        <v>38</v>
      </c>
      <c r="G3375" s="22">
        <v>0</v>
      </c>
      <c r="H3375" s="22">
        <v>0</v>
      </c>
      <c r="I3375" s="22">
        <v>0</v>
      </c>
      <c r="J3375" s="22">
        <v>0.02</v>
      </c>
      <c r="K3375" s="22">
        <v>0</v>
      </c>
      <c r="L3375" s="22">
        <v>0.02</v>
      </c>
      <c r="M3375" s="10"/>
      <c r="N3375" s="67"/>
      <c r="O3375" s="11"/>
    </row>
    <row r="3376" spans="1:15" x14ac:dyDescent="0.25">
      <c r="A3376" s="6"/>
      <c r="B3376" s="5"/>
      <c r="C3376" s="5"/>
      <c r="D3376" s="5" t="s">
        <v>436</v>
      </c>
      <c r="E3376" s="5" t="s">
        <v>437</v>
      </c>
      <c r="F3376" s="5" t="s">
        <v>38</v>
      </c>
      <c r="G3376" s="14">
        <f t="shared" ref="G3376:L3376" si="854">SUBTOTAL(9,G3374:G3375)</f>
        <v>0.18</v>
      </c>
      <c r="H3376" s="14">
        <f t="shared" si="854"/>
        <v>0</v>
      </c>
      <c r="I3376" s="14">
        <f t="shared" si="854"/>
        <v>0</v>
      </c>
      <c r="J3376" s="14">
        <f t="shared" si="854"/>
        <v>0.02</v>
      </c>
      <c r="K3376" s="14">
        <f t="shared" si="854"/>
        <v>0</v>
      </c>
      <c r="L3376" s="14">
        <f t="shared" si="854"/>
        <v>0.19999999999999998</v>
      </c>
      <c r="M3376" s="10">
        <v>2936</v>
      </c>
      <c r="N3376" s="69"/>
      <c r="O3376" s="11">
        <f>O3372+1</f>
        <v>817</v>
      </c>
    </row>
    <row r="3377" spans="1:15" x14ac:dyDescent="0.25">
      <c r="A3377" s="10"/>
      <c r="G3377" s="21"/>
      <c r="H3377" s="21"/>
      <c r="I3377" s="21"/>
      <c r="J3377" s="21"/>
      <c r="K3377" s="21"/>
      <c r="L3377" s="21"/>
      <c r="M3377" s="10"/>
      <c r="O3377" s="11"/>
    </row>
    <row r="3378" spans="1:15" s="4" customFormat="1" x14ac:dyDescent="0.25">
      <c r="A3378" s="6">
        <v>1662</v>
      </c>
      <c r="B3378" s="5" t="s">
        <v>29</v>
      </c>
      <c r="C3378" s="5" t="s">
        <v>17</v>
      </c>
      <c r="D3378" s="5" t="s">
        <v>436</v>
      </c>
      <c r="E3378" s="5" t="s">
        <v>437</v>
      </c>
      <c r="F3378" s="5" t="s">
        <v>30</v>
      </c>
      <c r="G3378" s="22">
        <v>1.45</v>
      </c>
      <c r="H3378" s="22">
        <v>0</v>
      </c>
      <c r="I3378" s="22">
        <v>0</v>
      </c>
      <c r="J3378" s="22">
        <v>0</v>
      </c>
      <c r="K3378" s="22">
        <v>-0.03</v>
      </c>
      <c r="L3378" s="22">
        <v>1.42</v>
      </c>
      <c r="M3378" s="10"/>
      <c r="N3378" s="67"/>
      <c r="O3378" s="11"/>
    </row>
    <row r="3379" spans="1:15" x14ac:dyDescent="0.25">
      <c r="A3379" s="6">
        <v>1663</v>
      </c>
      <c r="B3379" s="5" t="s">
        <v>29</v>
      </c>
      <c r="C3379" s="5" t="s">
        <v>17</v>
      </c>
      <c r="D3379" s="5" t="s">
        <v>436</v>
      </c>
      <c r="E3379" s="5" t="s">
        <v>437</v>
      </c>
      <c r="F3379" s="5" t="s">
        <v>30</v>
      </c>
      <c r="G3379" s="22">
        <v>0.42</v>
      </c>
      <c r="H3379" s="22">
        <v>0</v>
      </c>
      <c r="I3379" s="22">
        <v>0</v>
      </c>
      <c r="J3379" s="22">
        <v>0</v>
      </c>
      <c r="K3379" s="22">
        <v>-0.01</v>
      </c>
      <c r="L3379" s="22">
        <v>0.41</v>
      </c>
      <c r="M3379" s="10"/>
      <c r="O3379" s="11"/>
    </row>
    <row r="3380" spans="1:15" x14ac:dyDescent="0.25">
      <c r="A3380" s="6">
        <v>1664</v>
      </c>
      <c r="B3380" s="5" t="s">
        <v>29</v>
      </c>
      <c r="C3380" s="5" t="s">
        <v>13</v>
      </c>
      <c r="D3380" s="5" t="s">
        <v>436</v>
      </c>
      <c r="E3380" s="5" t="s">
        <v>437</v>
      </c>
      <c r="F3380" s="5" t="s">
        <v>30</v>
      </c>
      <c r="G3380" s="22">
        <v>0</v>
      </c>
      <c r="H3380" s="22">
        <v>0</v>
      </c>
      <c r="I3380" s="22">
        <v>0</v>
      </c>
      <c r="J3380" s="22">
        <v>0.19</v>
      </c>
      <c r="K3380" s="22">
        <v>0</v>
      </c>
      <c r="L3380" s="22">
        <v>0.19</v>
      </c>
      <c r="M3380" s="10"/>
      <c r="O3380" s="11"/>
    </row>
    <row r="3381" spans="1:15" s="4" customFormat="1" x14ac:dyDescent="0.25">
      <c r="A3381" s="6">
        <v>1665</v>
      </c>
      <c r="B3381" s="5" t="s">
        <v>29</v>
      </c>
      <c r="C3381" s="5" t="s">
        <v>13</v>
      </c>
      <c r="D3381" s="5" t="s">
        <v>436</v>
      </c>
      <c r="E3381" s="5" t="s">
        <v>437</v>
      </c>
      <c r="F3381" s="5" t="s">
        <v>30</v>
      </c>
      <c r="G3381" s="22">
        <v>0</v>
      </c>
      <c r="H3381" s="22">
        <v>0</v>
      </c>
      <c r="I3381" s="22">
        <v>0</v>
      </c>
      <c r="J3381" s="22">
        <v>0.05</v>
      </c>
      <c r="K3381" s="22">
        <v>0</v>
      </c>
      <c r="L3381" s="22">
        <v>0.05</v>
      </c>
      <c r="M3381" s="10"/>
      <c r="N3381" s="67"/>
      <c r="O3381" s="11"/>
    </row>
    <row r="3382" spans="1:15" s="4" customFormat="1" x14ac:dyDescent="0.25">
      <c r="A3382" s="6"/>
      <c r="B3382" s="5"/>
      <c r="C3382" s="5"/>
      <c r="D3382" s="5" t="s">
        <v>436</v>
      </c>
      <c r="E3382" s="5" t="s">
        <v>437</v>
      </c>
      <c r="F3382" s="5" t="s">
        <v>30</v>
      </c>
      <c r="G3382" s="14">
        <f t="shared" ref="G3382:L3382" si="855">SUBTOTAL(9,G3378:G3381)</f>
        <v>1.8699999999999999</v>
      </c>
      <c r="H3382" s="14">
        <f t="shared" si="855"/>
        <v>0</v>
      </c>
      <c r="I3382" s="14">
        <f t="shared" si="855"/>
        <v>0</v>
      </c>
      <c r="J3382" s="14">
        <f t="shared" si="855"/>
        <v>0.24</v>
      </c>
      <c r="K3382" s="14">
        <f t="shared" si="855"/>
        <v>-0.04</v>
      </c>
      <c r="L3382" s="14">
        <f t="shared" si="855"/>
        <v>2.0699999999999998</v>
      </c>
      <c r="M3382" s="10">
        <v>2937</v>
      </c>
      <c r="N3382" s="69"/>
      <c r="O3382" s="11">
        <f>O3376+1</f>
        <v>818</v>
      </c>
    </row>
    <row r="3383" spans="1:15" x14ac:dyDescent="0.25">
      <c r="A3383" s="10"/>
      <c r="G3383" s="21"/>
      <c r="H3383" s="21"/>
      <c r="I3383" s="21"/>
      <c r="J3383" s="21"/>
      <c r="K3383" s="21"/>
      <c r="L3383" s="21"/>
      <c r="M3383" s="10"/>
      <c r="O3383" s="11"/>
    </row>
    <row r="3384" spans="1:15" x14ac:dyDescent="0.25">
      <c r="A3384" s="6">
        <v>1666</v>
      </c>
      <c r="B3384" s="5" t="s">
        <v>559</v>
      </c>
      <c r="C3384" s="5" t="s">
        <v>17</v>
      </c>
      <c r="D3384" s="5" t="s">
        <v>436</v>
      </c>
      <c r="E3384" s="5" t="s">
        <v>437</v>
      </c>
      <c r="F3384" s="5" t="s">
        <v>560</v>
      </c>
      <c r="G3384" s="22">
        <v>0.93</v>
      </c>
      <c r="H3384" s="22">
        <v>0</v>
      </c>
      <c r="I3384" s="22">
        <v>0</v>
      </c>
      <c r="J3384" s="22">
        <v>0</v>
      </c>
      <c r="K3384" s="22">
        <v>-0.02</v>
      </c>
      <c r="L3384" s="22">
        <v>0.91</v>
      </c>
      <c r="M3384" s="10"/>
      <c r="O3384" s="11"/>
    </row>
    <row r="3385" spans="1:15" s="4" customFormat="1" x14ac:dyDescent="0.25">
      <c r="A3385" s="6">
        <v>1667</v>
      </c>
      <c r="B3385" s="5" t="s">
        <v>559</v>
      </c>
      <c r="C3385" s="5" t="s">
        <v>13</v>
      </c>
      <c r="D3385" s="5" t="s">
        <v>436</v>
      </c>
      <c r="E3385" s="5" t="s">
        <v>437</v>
      </c>
      <c r="F3385" s="5" t="s">
        <v>560</v>
      </c>
      <c r="G3385" s="22">
        <v>0</v>
      </c>
      <c r="H3385" s="22">
        <v>0</v>
      </c>
      <c r="I3385" s="22">
        <v>0</v>
      </c>
      <c r="J3385" s="22">
        <v>0.11</v>
      </c>
      <c r="K3385" s="22">
        <v>0</v>
      </c>
      <c r="L3385" s="22">
        <v>0.11</v>
      </c>
      <c r="M3385" s="10"/>
      <c r="N3385" s="67"/>
      <c r="O3385" s="11"/>
    </row>
    <row r="3386" spans="1:15" s="4" customFormat="1" x14ac:dyDescent="0.25">
      <c r="A3386" s="6"/>
      <c r="B3386" s="5"/>
      <c r="C3386" s="5"/>
      <c r="D3386" s="5" t="s">
        <v>436</v>
      </c>
      <c r="E3386" s="5" t="s">
        <v>437</v>
      </c>
      <c r="F3386" s="5" t="s">
        <v>560</v>
      </c>
      <c r="G3386" s="14">
        <f t="shared" ref="G3386:L3386" si="856">SUBTOTAL(9,G3384:G3385)</f>
        <v>0.93</v>
      </c>
      <c r="H3386" s="14">
        <f t="shared" si="856"/>
        <v>0</v>
      </c>
      <c r="I3386" s="14">
        <f t="shared" si="856"/>
        <v>0</v>
      </c>
      <c r="J3386" s="14">
        <f t="shared" si="856"/>
        <v>0.11</v>
      </c>
      <c r="K3386" s="14">
        <f t="shared" si="856"/>
        <v>-0.02</v>
      </c>
      <c r="L3386" s="14">
        <f t="shared" si="856"/>
        <v>1.02</v>
      </c>
      <c r="M3386" s="10">
        <v>2938</v>
      </c>
      <c r="N3386" s="69"/>
      <c r="O3386" s="11">
        <f>O3382+1</f>
        <v>819</v>
      </c>
    </row>
    <row r="3387" spans="1:15" x14ac:dyDescent="0.25">
      <c r="A3387" s="10"/>
      <c r="G3387" s="21"/>
      <c r="H3387" s="21"/>
      <c r="I3387" s="21"/>
      <c r="J3387" s="21"/>
      <c r="K3387" s="21"/>
      <c r="L3387" s="21"/>
      <c r="M3387" s="10"/>
      <c r="O3387" s="11"/>
    </row>
    <row r="3388" spans="1:15" x14ac:dyDescent="0.25">
      <c r="A3388" s="6">
        <v>1668</v>
      </c>
      <c r="B3388" s="5" t="s">
        <v>18</v>
      </c>
      <c r="C3388" s="5" t="s">
        <v>17</v>
      </c>
      <c r="D3388" s="5" t="s">
        <v>436</v>
      </c>
      <c r="E3388" s="5" t="s">
        <v>437</v>
      </c>
      <c r="F3388" s="5" t="s">
        <v>19</v>
      </c>
      <c r="G3388" s="22">
        <v>0.01</v>
      </c>
      <c r="H3388" s="22">
        <v>0</v>
      </c>
      <c r="I3388" s="22">
        <v>0</v>
      </c>
      <c r="J3388" s="22">
        <v>0</v>
      </c>
      <c r="K3388" s="22">
        <v>-0.01</v>
      </c>
      <c r="L3388" s="22">
        <v>0</v>
      </c>
      <c r="M3388" s="10"/>
      <c r="O3388" s="11"/>
    </row>
    <row r="3389" spans="1:15" s="4" customFormat="1" x14ac:dyDescent="0.25">
      <c r="A3389" s="6">
        <v>1669</v>
      </c>
      <c r="B3389" s="5" t="s">
        <v>18</v>
      </c>
      <c r="C3389" s="5" t="s">
        <v>17</v>
      </c>
      <c r="D3389" s="5" t="s">
        <v>436</v>
      </c>
      <c r="E3389" s="5" t="s">
        <v>437</v>
      </c>
      <c r="F3389" s="5" t="s">
        <v>19</v>
      </c>
      <c r="G3389" s="22">
        <v>0</v>
      </c>
      <c r="H3389" s="22">
        <v>0</v>
      </c>
      <c r="I3389" s="22">
        <v>0</v>
      </c>
      <c r="J3389" s="22">
        <v>0</v>
      </c>
      <c r="K3389" s="22">
        <v>0</v>
      </c>
      <c r="L3389" s="22">
        <v>0</v>
      </c>
      <c r="M3389" s="10"/>
      <c r="N3389" s="67"/>
      <c r="O3389" s="11"/>
    </row>
    <row r="3390" spans="1:15" s="4" customFormat="1" x14ac:dyDescent="0.25">
      <c r="A3390" s="18"/>
      <c r="B3390" s="19"/>
      <c r="C3390" s="19"/>
      <c r="D3390" s="5" t="s">
        <v>436</v>
      </c>
      <c r="E3390" s="5" t="s">
        <v>437</v>
      </c>
      <c r="F3390" s="5" t="s">
        <v>19</v>
      </c>
      <c r="G3390" s="14">
        <f t="shared" ref="G3390:L3390" si="857">SUBTOTAL(9,G3388:G3389)</f>
        <v>0.01</v>
      </c>
      <c r="H3390" s="14">
        <f t="shared" si="857"/>
        <v>0</v>
      </c>
      <c r="I3390" s="14">
        <f t="shared" si="857"/>
        <v>0</v>
      </c>
      <c r="J3390" s="14">
        <f t="shared" si="857"/>
        <v>0</v>
      </c>
      <c r="K3390" s="14">
        <f t="shared" si="857"/>
        <v>-0.01</v>
      </c>
      <c r="L3390" s="14">
        <f t="shared" si="857"/>
        <v>0</v>
      </c>
      <c r="M3390" s="15">
        <v>2939</v>
      </c>
      <c r="N3390" s="67"/>
      <c r="O3390" s="11">
        <f>O3386+1</f>
        <v>820</v>
      </c>
    </row>
    <row r="3391" spans="1:15" x14ac:dyDescent="0.25">
      <c r="A3391" s="10"/>
      <c r="G3391" s="21"/>
      <c r="H3391" s="21"/>
      <c r="I3391" s="21"/>
      <c r="J3391" s="21"/>
      <c r="K3391" s="21"/>
      <c r="L3391" s="21"/>
      <c r="M3391" s="10"/>
      <c r="O3391" s="11"/>
    </row>
    <row r="3392" spans="1:15" x14ac:dyDescent="0.25">
      <c r="A3392" s="6">
        <v>1670</v>
      </c>
      <c r="B3392" s="5" t="s">
        <v>550</v>
      </c>
      <c r="C3392" s="5" t="s">
        <v>17</v>
      </c>
      <c r="D3392" s="5" t="s">
        <v>436</v>
      </c>
      <c r="E3392" s="5" t="s">
        <v>437</v>
      </c>
      <c r="F3392" s="5" t="s">
        <v>551</v>
      </c>
      <c r="G3392" s="22">
        <v>21.33</v>
      </c>
      <c r="H3392" s="22">
        <v>0</v>
      </c>
      <c r="I3392" s="22">
        <v>0</v>
      </c>
      <c r="J3392" s="22">
        <v>0</v>
      </c>
      <c r="K3392" s="22">
        <v>-0.43</v>
      </c>
      <c r="L3392" s="22">
        <v>20.9</v>
      </c>
      <c r="M3392" s="10"/>
      <c r="O3392" s="11"/>
    </row>
    <row r="3393" spans="1:15" s="4" customFormat="1" x14ac:dyDescent="0.25">
      <c r="A3393" s="6">
        <v>1671</v>
      </c>
      <c r="B3393" s="5" t="s">
        <v>550</v>
      </c>
      <c r="C3393" s="5" t="s">
        <v>13</v>
      </c>
      <c r="D3393" s="5" t="s">
        <v>436</v>
      </c>
      <c r="E3393" s="5" t="s">
        <v>437</v>
      </c>
      <c r="F3393" s="5" t="s">
        <v>551</v>
      </c>
      <c r="G3393" s="22">
        <v>0</v>
      </c>
      <c r="H3393" s="22">
        <v>0</v>
      </c>
      <c r="I3393" s="22">
        <v>0</v>
      </c>
      <c r="J3393" s="22">
        <v>9266.17</v>
      </c>
      <c r="K3393" s="22">
        <v>0</v>
      </c>
      <c r="L3393" s="22">
        <v>9266.17</v>
      </c>
      <c r="M3393" s="10"/>
      <c r="N3393" s="67"/>
      <c r="O3393" s="11"/>
    </row>
    <row r="3394" spans="1:15" x14ac:dyDescent="0.25">
      <c r="A3394" s="6">
        <v>1672</v>
      </c>
      <c r="B3394" s="5" t="s">
        <v>550</v>
      </c>
      <c r="C3394" s="5" t="s">
        <v>13</v>
      </c>
      <c r="D3394" s="5" t="s">
        <v>436</v>
      </c>
      <c r="E3394" s="5" t="s">
        <v>437</v>
      </c>
      <c r="F3394" s="5" t="s">
        <v>551</v>
      </c>
      <c r="G3394" s="22">
        <v>0</v>
      </c>
      <c r="H3394" s="22">
        <v>0</v>
      </c>
      <c r="I3394" s="22">
        <v>0</v>
      </c>
      <c r="J3394" s="22">
        <v>33.29</v>
      </c>
      <c r="K3394" s="22">
        <v>0</v>
      </c>
      <c r="L3394" s="22">
        <v>33.29</v>
      </c>
      <c r="M3394" s="10"/>
      <c r="O3394" s="11"/>
    </row>
    <row r="3395" spans="1:15" x14ac:dyDescent="0.25">
      <c r="A3395" s="6">
        <v>1673</v>
      </c>
      <c r="B3395" s="5" t="s">
        <v>550</v>
      </c>
      <c r="C3395" s="5" t="s">
        <v>17</v>
      </c>
      <c r="D3395" s="5" t="s">
        <v>436</v>
      </c>
      <c r="E3395" s="5" t="s">
        <v>437</v>
      </c>
      <c r="F3395" s="5" t="s">
        <v>551</v>
      </c>
      <c r="G3395" s="22">
        <v>77218.05</v>
      </c>
      <c r="H3395" s="22">
        <v>0</v>
      </c>
      <c r="I3395" s="22">
        <v>0</v>
      </c>
      <c r="J3395" s="22">
        <v>0</v>
      </c>
      <c r="K3395" s="22">
        <v>-1544.36</v>
      </c>
      <c r="L3395" s="22">
        <v>75673.69</v>
      </c>
      <c r="M3395" s="10"/>
      <c r="O3395" s="11"/>
    </row>
    <row r="3396" spans="1:15" s="4" customFormat="1" x14ac:dyDescent="0.25">
      <c r="A3396" s="6">
        <v>1674</v>
      </c>
      <c r="B3396" s="5" t="s">
        <v>550</v>
      </c>
      <c r="C3396" s="5" t="s">
        <v>17</v>
      </c>
      <c r="D3396" s="5" t="s">
        <v>436</v>
      </c>
      <c r="E3396" s="5" t="s">
        <v>437</v>
      </c>
      <c r="F3396" s="5" t="s">
        <v>551</v>
      </c>
      <c r="G3396" s="22">
        <v>277.45</v>
      </c>
      <c r="H3396" s="22">
        <v>0</v>
      </c>
      <c r="I3396" s="22">
        <v>0</v>
      </c>
      <c r="J3396" s="22">
        <v>0</v>
      </c>
      <c r="K3396" s="22">
        <v>-5.55</v>
      </c>
      <c r="L3396" s="22">
        <v>271.89999999999998</v>
      </c>
      <c r="M3396" s="10"/>
      <c r="N3396" s="67"/>
      <c r="O3396" s="11"/>
    </row>
    <row r="3397" spans="1:15" x14ac:dyDescent="0.25">
      <c r="A3397" s="6">
        <v>1675</v>
      </c>
      <c r="B3397" s="5" t="s">
        <v>550</v>
      </c>
      <c r="C3397" s="5" t="s">
        <v>13</v>
      </c>
      <c r="D3397" s="5" t="s">
        <v>436</v>
      </c>
      <c r="E3397" s="5" t="s">
        <v>437</v>
      </c>
      <c r="F3397" s="5" t="s">
        <v>551</v>
      </c>
      <c r="G3397" s="22">
        <v>0</v>
      </c>
      <c r="H3397" s="22">
        <v>0</v>
      </c>
      <c r="I3397" s="22">
        <v>0</v>
      </c>
      <c r="J3397" s="22">
        <v>2.56</v>
      </c>
      <c r="K3397" s="22">
        <v>0</v>
      </c>
      <c r="L3397" s="22">
        <v>2.56</v>
      </c>
      <c r="M3397" s="10"/>
      <c r="O3397" s="11"/>
    </row>
    <row r="3398" spans="1:15" x14ac:dyDescent="0.25">
      <c r="A3398" s="6"/>
      <c r="B3398" s="5"/>
      <c r="C3398" s="5"/>
      <c r="D3398" s="5" t="s">
        <v>436</v>
      </c>
      <c r="E3398" s="5" t="s">
        <v>437</v>
      </c>
      <c r="F3398" s="5" t="s">
        <v>551</v>
      </c>
      <c r="G3398" s="14">
        <f t="shared" ref="G3398:L3398" si="858">SUBTOTAL(9,G3392:G3397)</f>
        <v>77516.83</v>
      </c>
      <c r="H3398" s="14">
        <f t="shared" si="858"/>
        <v>0</v>
      </c>
      <c r="I3398" s="14">
        <f t="shared" si="858"/>
        <v>0</v>
      </c>
      <c r="J3398" s="14">
        <f t="shared" si="858"/>
        <v>9302.02</v>
      </c>
      <c r="K3398" s="14">
        <f t="shared" si="858"/>
        <v>-1550.34</v>
      </c>
      <c r="L3398" s="14">
        <f t="shared" si="858"/>
        <v>85268.51</v>
      </c>
      <c r="M3398" s="10">
        <v>2940</v>
      </c>
      <c r="O3398" s="11">
        <f>O3390+1</f>
        <v>821</v>
      </c>
    </row>
    <row r="3399" spans="1:15" s="4" customFormat="1" x14ac:dyDescent="0.25">
      <c r="A3399" s="10"/>
      <c r="B3399"/>
      <c r="C3399"/>
      <c r="D3399"/>
      <c r="E3399"/>
      <c r="F3399"/>
      <c r="G3399" s="21"/>
      <c r="H3399" s="21"/>
      <c r="I3399" s="21"/>
      <c r="J3399" s="21"/>
      <c r="K3399" s="21"/>
      <c r="L3399" s="21"/>
      <c r="M3399" s="10"/>
      <c r="N3399" s="67"/>
      <c r="O3399" s="11"/>
    </row>
    <row r="3400" spans="1:15" s="4" customFormat="1" x14ac:dyDescent="0.25">
      <c r="A3400" s="6">
        <v>1676</v>
      </c>
      <c r="B3400" s="5" t="s">
        <v>550</v>
      </c>
      <c r="C3400" s="5" t="s">
        <v>13</v>
      </c>
      <c r="D3400" s="5" t="s">
        <v>436</v>
      </c>
      <c r="E3400" s="5" t="s">
        <v>437</v>
      </c>
      <c r="F3400" s="5" t="s">
        <v>552</v>
      </c>
      <c r="G3400" s="22">
        <v>0</v>
      </c>
      <c r="H3400" s="22">
        <v>0</v>
      </c>
      <c r="I3400" s="22">
        <v>0</v>
      </c>
      <c r="J3400" s="22">
        <v>0.67</v>
      </c>
      <c r="K3400" s="22">
        <v>0</v>
      </c>
      <c r="L3400" s="22">
        <v>0.67</v>
      </c>
      <c r="M3400" s="10"/>
      <c r="N3400" s="67"/>
      <c r="O3400" s="11"/>
    </row>
    <row r="3401" spans="1:15" x14ac:dyDescent="0.25">
      <c r="A3401" s="6">
        <v>1677</v>
      </c>
      <c r="B3401" s="5" t="s">
        <v>550</v>
      </c>
      <c r="C3401" s="5" t="s">
        <v>13</v>
      </c>
      <c r="D3401" s="5" t="s">
        <v>436</v>
      </c>
      <c r="E3401" s="5" t="s">
        <v>437</v>
      </c>
      <c r="F3401" s="5" t="s">
        <v>552</v>
      </c>
      <c r="G3401" s="22">
        <v>0</v>
      </c>
      <c r="H3401" s="22">
        <v>0</v>
      </c>
      <c r="I3401" s="22">
        <v>0</v>
      </c>
      <c r="J3401" s="22">
        <v>0</v>
      </c>
      <c r="K3401" s="22">
        <v>0</v>
      </c>
      <c r="L3401" s="22">
        <v>0</v>
      </c>
      <c r="M3401" s="10"/>
      <c r="O3401" s="11"/>
    </row>
    <row r="3402" spans="1:15" x14ac:dyDescent="0.25">
      <c r="A3402" s="6">
        <v>1678</v>
      </c>
      <c r="B3402" s="5" t="s">
        <v>550</v>
      </c>
      <c r="C3402" s="5" t="s">
        <v>17</v>
      </c>
      <c r="D3402" s="5" t="s">
        <v>436</v>
      </c>
      <c r="E3402" s="5" t="s">
        <v>437</v>
      </c>
      <c r="F3402" s="5" t="s">
        <v>552</v>
      </c>
      <c r="G3402" s="22">
        <v>5.55</v>
      </c>
      <c r="H3402" s="22">
        <v>0</v>
      </c>
      <c r="I3402" s="22">
        <v>0</v>
      </c>
      <c r="J3402" s="22">
        <v>0</v>
      </c>
      <c r="K3402" s="22">
        <v>-0.11</v>
      </c>
      <c r="L3402" s="22">
        <v>5.44</v>
      </c>
      <c r="M3402" s="10"/>
      <c r="O3402" s="11"/>
    </row>
    <row r="3403" spans="1:15" s="4" customFormat="1" x14ac:dyDescent="0.25">
      <c r="A3403" s="6">
        <v>1679</v>
      </c>
      <c r="B3403" s="5" t="s">
        <v>550</v>
      </c>
      <c r="C3403" s="5" t="s">
        <v>17</v>
      </c>
      <c r="D3403" s="5" t="s">
        <v>436</v>
      </c>
      <c r="E3403" s="5" t="s">
        <v>437</v>
      </c>
      <c r="F3403" s="5" t="s">
        <v>552</v>
      </c>
      <c r="G3403" s="22">
        <v>0.02</v>
      </c>
      <c r="H3403" s="22">
        <v>0</v>
      </c>
      <c r="I3403" s="22">
        <v>0</v>
      </c>
      <c r="J3403" s="22">
        <v>0</v>
      </c>
      <c r="K3403" s="22">
        <v>0</v>
      </c>
      <c r="L3403" s="22">
        <v>0.02</v>
      </c>
      <c r="M3403" s="10"/>
      <c r="N3403" s="67"/>
      <c r="O3403" s="11"/>
    </row>
    <row r="3404" spans="1:15" s="4" customFormat="1" x14ac:dyDescent="0.25">
      <c r="A3404" s="6"/>
      <c r="B3404" s="5"/>
      <c r="C3404" s="5"/>
      <c r="D3404" s="5" t="s">
        <v>436</v>
      </c>
      <c r="E3404" s="5" t="s">
        <v>437</v>
      </c>
      <c r="F3404" s="5" t="s">
        <v>552</v>
      </c>
      <c r="G3404" s="14">
        <f t="shared" ref="G3404:L3404" si="859">SUBTOTAL(9,G3400:G3403)</f>
        <v>5.5699999999999994</v>
      </c>
      <c r="H3404" s="14">
        <f t="shared" si="859"/>
        <v>0</v>
      </c>
      <c r="I3404" s="14">
        <f t="shared" si="859"/>
        <v>0</v>
      </c>
      <c r="J3404" s="14">
        <f t="shared" si="859"/>
        <v>0.67</v>
      </c>
      <c r="K3404" s="14">
        <f t="shared" si="859"/>
        <v>-0.11</v>
      </c>
      <c r="L3404" s="14">
        <f t="shared" si="859"/>
        <v>6.13</v>
      </c>
      <c r="M3404" s="10">
        <v>2941</v>
      </c>
      <c r="N3404" s="67"/>
      <c r="O3404" s="11">
        <f>O3398+1</f>
        <v>822</v>
      </c>
    </row>
    <row r="3405" spans="1:15" x14ac:dyDescent="0.25">
      <c r="A3405" s="10"/>
      <c r="G3405" s="21"/>
      <c r="H3405" s="21"/>
      <c r="I3405" s="21"/>
      <c r="J3405" s="21"/>
      <c r="K3405" s="21"/>
      <c r="L3405" s="21"/>
      <c r="M3405" s="10"/>
      <c r="O3405" s="11"/>
    </row>
    <row r="3406" spans="1:15" x14ac:dyDescent="0.25">
      <c r="A3406" s="6">
        <v>1680</v>
      </c>
      <c r="B3406" s="5" t="s">
        <v>37</v>
      </c>
      <c r="C3406" s="5" t="s">
        <v>13</v>
      </c>
      <c r="D3406" s="5" t="s">
        <v>438</v>
      </c>
      <c r="E3406" s="5" t="s">
        <v>439</v>
      </c>
      <c r="F3406" s="5" t="s">
        <v>38</v>
      </c>
      <c r="G3406" s="22">
        <v>0</v>
      </c>
      <c r="H3406" s="22">
        <v>0</v>
      </c>
      <c r="I3406" s="22">
        <v>0</v>
      </c>
      <c r="J3406" s="22">
        <v>0</v>
      </c>
      <c r="K3406" s="22">
        <v>0</v>
      </c>
      <c r="L3406" s="22">
        <v>0</v>
      </c>
      <c r="M3406" s="10"/>
      <c r="O3406" s="11"/>
    </row>
    <row r="3407" spans="1:15" s="4" customFormat="1" x14ac:dyDescent="0.25">
      <c r="A3407" s="28"/>
      <c r="B3407" s="29"/>
      <c r="C3407" s="29"/>
      <c r="D3407" s="29"/>
      <c r="E3407" s="29"/>
      <c r="F3407" s="29" t="s">
        <v>655</v>
      </c>
      <c r="G3407" s="31">
        <f t="shared" ref="G3407:L3407" si="860">SUBTOTAL(9,G3406:G3406)</f>
        <v>0</v>
      </c>
      <c r="H3407" s="31">
        <f t="shared" si="860"/>
        <v>0</v>
      </c>
      <c r="I3407" s="31">
        <f t="shared" si="860"/>
        <v>0</v>
      </c>
      <c r="J3407" s="31">
        <f t="shared" si="860"/>
        <v>0</v>
      </c>
      <c r="K3407" s="31">
        <f t="shared" si="860"/>
        <v>0</v>
      </c>
      <c r="L3407" s="31">
        <f t="shared" si="860"/>
        <v>0</v>
      </c>
      <c r="M3407" s="42"/>
      <c r="N3407" s="67"/>
      <c r="O3407" s="50"/>
    </row>
    <row r="3408" spans="1:15" s="4" customFormat="1" x14ac:dyDescent="0.25">
      <c r="A3408" s="10"/>
      <c r="B3408"/>
      <c r="C3408"/>
      <c r="D3408"/>
      <c r="E3408"/>
      <c r="F3408"/>
      <c r="G3408" s="21"/>
      <c r="H3408" s="21"/>
      <c r="I3408" s="21"/>
      <c r="J3408" s="21"/>
      <c r="K3408" s="21"/>
      <c r="L3408" s="21"/>
      <c r="M3408" s="10"/>
      <c r="N3408" s="67"/>
      <c r="O3408" s="11"/>
    </row>
    <row r="3409" spans="1:15" x14ac:dyDescent="0.25">
      <c r="A3409" s="6">
        <v>1681</v>
      </c>
      <c r="B3409" s="5" t="s">
        <v>18</v>
      </c>
      <c r="C3409" s="5" t="s">
        <v>17</v>
      </c>
      <c r="D3409" s="5" t="s">
        <v>438</v>
      </c>
      <c r="E3409" s="5" t="s">
        <v>439</v>
      </c>
      <c r="F3409" s="5" t="s">
        <v>19</v>
      </c>
      <c r="G3409" s="22">
        <v>0.2</v>
      </c>
      <c r="H3409" s="22">
        <v>0</v>
      </c>
      <c r="I3409" s="22">
        <v>0</v>
      </c>
      <c r="J3409" s="22">
        <v>0</v>
      </c>
      <c r="K3409" s="22">
        <v>-0.17</v>
      </c>
      <c r="L3409" s="22">
        <v>0.03</v>
      </c>
      <c r="M3409" s="10"/>
      <c r="O3409" s="11"/>
    </row>
    <row r="3410" spans="1:15" x14ac:dyDescent="0.25">
      <c r="A3410" s="6"/>
      <c r="B3410" s="5"/>
      <c r="C3410" s="5"/>
      <c r="D3410" s="5" t="s">
        <v>438</v>
      </c>
      <c r="E3410" s="5" t="s">
        <v>439</v>
      </c>
      <c r="F3410" s="5" t="s">
        <v>19</v>
      </c>
      <c r="G3410" s="14">
        <f t="shared" ref="G3410:L3410" si="861">SUBTOTAL(9,G3409:G3409)</f>
        <v>0.2</v>
      </c>
      <c r="H3410" s="14">
        <f t="shared" si="861"/>
        <v>0</v>
      </c>
      <c r="I3410" s="14">
        <f t="shared" si="861"/>
        <v>0</v>
      </c>
      <c r="J3410" s="14">
        <f t="shared" si="861"/>
        <v>0</v>
      </c>
      <c r="K3410" s="14">
        <f t="shared" si="861"/>
        <v>-0.17</v>
      </c>
      <c r="L3410" s="14">
        <f t="shared" si="861"/>
        <v>0.03</v>
      </c>
      <c r="M3410" s="10">
        <v>2942</v>
      </c>
      <c r="O3410" s="11">
        <f>O3404+1</f>
        <v>823</v>
      </c>
    </row>
    <row r="3411" spans="1:15" s="4" customFormat="1" x14ac:dyDescent="0.25">
      <c r="A3411" s="10"/>
      <c r="B3411"/>
      <c r="C3411"/>
      <c r="D3411"/>
      <c r="E3411"/>
      <c r="F3411"/>
      <c r="G3411" s="21"/>
      <c r="H3411" s="21"/>
      <c r="I3411" s="21"/>
      <c r="J3411" s="21"/>
      <c r="K3411" s="21"/>
      <c r="L3411" s="21"/>
      <c r="M3411" s="10"/>
      <c r="N3411" s="67"/>
      <c r="O3411" s="11"/>
    </row>
    <row r="3412" spans="1:15" x14ac:dyDescent="0.25">
      <c r="A3412" s="6">
        <v>1682</v>
      </c>
      <c r="B3412" s="5" t="s">
        <v>22</v>
      </c>
      <c r="C3412" s="5" t="s">
        <v>13</v>
      </c>
      <c r="D3412" s="5" t="s">
        <v>438</v>
      </c>
      <c r="E3412" s="5" t="s">
        <v>439</v>
      </c>
      <c r="F3412" s="5" t="s">
        <v>23</v>
      </c>
      <c r="G3412" s="22">
        <v>0</v>
      </c>
      <c r="H3412" s="22">
        <v>0</v>
      </c>
      <c r="I3412" s="22">
        <v>0</v>
      </c>
      <c r="J3412" s="22">
        <v>0.09</v>
      </c>
      <c r="K3412" s="22">
        <v>0</v>
      </c>
      <c r="L3412" s="22">
        <v>0.09</v>
      </c>
      <c r="M3412" s="10"/>
      <c r="O3412" s="11"/>
    </row>
    <row r="3413" spans="1:15" x14ac:dyDescent="0.25">
      <c r="A3413" s="6"/>
      <c r="B3413" s="5"/>
      <c r="C3413" s="5"/>
      <c r="D3413" s="5" t="s">
        <v>438</v>
      </c>
      <c r="E3413" s="5" t="s">
        <v>439</v>
      </c>
      <c r="F3413" s="5" t="s">
        <v>23</v>
      </c>
      <c r="G3413" s="14">
        <f t="shared" ref="G3413:L3413" si="862">SUBTOTAL(9,G3412:G3412)</f>
        <v>0</v>
      </c>
      <c r="H3413" s="14">
        <f t="shared" si="862"/>
        <v>0</v>
      </c>
      <c r="I3413" s="14">
        <f t="shared" si="862"/>
        <v>0</v>
      </c>
      <c r="J3413" s="14">
        <f t="shared" si="862"/>
        <v>0.09</v>
      </c>
      <c r="K3413" s="14">
        <f t="shared" si="862"/>
        <v>0</v>
      </c>
      <c r="L3413" s="14">
        <f t="shared" si="862"/>
        <v>0.09</v>
      </c>
      <c r="M3413" s="10">
        <v>2943</v>
      </c>
      <c r="O3413" s="11">
        <f>O3410+1</f>
        <v>824</v>
      </c>
    </row>
    <row r="3414" spans="1:15" s="4" customFormat="1" x14ac:dyDescent="0.25">
      <c r="A3414" s="10"/>
      <c r="B3414"/>
      <c r="C3414"/>
      <c r="D3414"/>
      <c r="E3414"/>
      <c r="F3414"/>
      <c r="G3414" s="21"/>
      <c r="H3414" s="21"/>
      <c r="I3414" s="21"/>
      <c r="J3414" s="21"/>
      <c r="K3414" s="21"/>
      <c r="L3414" s="21"/>
      <c r="M3414" s="10"/>
      <c r="N3414" s="67"/>
      <c r="O3414" s="11"/>
    </row>
    <row r="3415" spans="1:15" x14ac:dyDescent="0.25">
      <c r="A3415" s="6">
        <v>1683</v>
      </c>
      <c r="B3415" s="5" t="s">
        <v>22</v>
      </c>
      <c r="C3415" s="5" t="s">
        <v>13</v>
      </c>
      <c r="D3415" s="5" t="s">
        <v>438</v>
      </c>
      <c r="E3415" s="5" t="s">
        <v>439</v>
      </c>
      <c r="F3415" s="5" t="s">
        <v>24</v>
      </c>
      <c r="G3415" s="22">
        <v>0</v>
      </c>
      <c r="H3415" s="22">
        <v>0</v>
      </c>
      <c r="I3415" s="22">
        <v>0</v>
      </c>
      <c r="J3415" s="22">
        <v>0</v>
      </c>
      <c r="K3415" s="22">
        <v>0</v>
      </c>
      <c r="L3415" s="22">
        <v>0</v>
      </c>
      <c r="M3415" s="10"/>
      <c r="O3415" s="11"/>
    </row>
    <row r="3416" spans="1:15" x14ac:dyDescent="0.25">
      <c r="A3416" s="28"/>
      <c r="B3416" s="29"/>
      <c r="C3416" s="29"/>
      <c r="D3416" s="29"/>
      <c r="E3416" s="29"/>
      <c r="F3416" s="29" t="s">
        <v>660</v>
      </c>
      <c r="G3416" s="31">
        <f t="shared" ref="G3416:L3416" si="863">SUBTOTAL(9,G3415:G3415)</f>
        <v>0</v>
      </c>
      <c r="H3416" s="31">
        <f t="shared" si="863"/>
        <v>0</v>
      </c>
      <c r="I3416" s="31">
        <f t="shared" si="863"/>
        <v>0</v>
      </c>
      <c r="J3416" s="31">
        <f t="shared" si="863"/>
        <v>0</v>
      </c>
      <c r="K3416" s="31">
        <f t="shared" si="863"/>
        <v>0</v>
      </c>
      <c r="L3416" s="31">
        <f t="shared" si="863"/>
        <v>0</v>
      </c>
      <c r="M3416" s="42"/>
      <c r="O3416" s="11"/>
    </row>
    <row r="3417" spans="1:15" s="4" customFormat="1" x14ac:dyDescent="0.25">
      <c r="A3417" s="10"/>
      <c r="B3417"/>
      <c r="C3417"/>
      <c r="D3417"/>
      <c r="E3417"/>
      <c r="F3417"/>
      <c r="G3417" s="21"/>
      <c r="H3417" s="21"/>
      <c r="I3417" s="21"/>
      <c r="J3417" s="21"/>
      <c r="K3417" s="21"/>
      <c r="L3417" s="21"/>
      <c r="M3417" s="10"/>
      <c r="N3417" s="67"/>
      <c r="O3417" s="11"/>
    </row>
    <row r="3418" spans="1:15" s="4" customFormat="1" x14ac:dyDescent="0.25">
      <c r="A3418" s="6">
        <v>1684</v>
      </c>
      <c r="B3418" s="5" t="s">
        <v>550</v>
      </c>
      <c r="C3418" s="5" t="s">
        <v>13</v>
      </c>
      <c r="D3418" s="5" t="s">
        <v>438</v>
      </c>
      <c r="E3418" s="5" t="s">
        <v>439</v>
      </c>
      <c r="F3418" s="5" t="s">
        <v>551</v>
      </c>
      <c r="G3418" s="22">
        <v>0</v>
      </c>
      <c r="H3418" s="22">
        <v>0</v>
      </c>
      <c r="I3418" s="22">
        <v>0</v>
      </c>
      <c r="J3418" s="22">
        <v>66.709999999999994</v>
      </c>
      <c r="K3418" s="22">
        <v>0</v>
      </c>
      <c r="L3418" s="22">
        <v>66.709999999999994</v>
      </c>
      <c r="M3418" s="10"/>
      <c r="N3418" s="67"/>
      <c r="O3418" s="11"/>
    </row>
    <row r="3419" spans="1:15" x14ac:dyDescent="0.25">
      <c r="A3419" s="6">
        <v>1685</v>
      </c>
      <c r="B3419" s="5" t="s">
        <v>550</v>
      </c>
      <c r="C3419" s="5" t="s">
        <v>17</v>
      </c>
      <c r="D3419" s="5" t="s">
        <v>438</v>
      </c>
      <c r="E3419" s="5" t="s">
        <v>439</v>
      </c>
      <c r="F3419" s="5" t="s">
        <v>551</v>
      </c>
      <c r="G3419" s="22">
        <v>555.91</v>
      </c>
      <c r="H3419" s="22">
        <v>0</v>
      </c>
      <c r="I3419" s="22">
        <v>0</v>
      </c>
      <c r="J3419" s="22">
        <v>0</v>
      </c>
      <c r="K3419" s="22">
        <v>-11.12</v>
      </c>
      <c r="L3419" s="22">
        <v>544.79</v>
      </c>
      <c r="M3419" s="10"/>
      <c r="O3419" s="11"/>
    </row>
    <row r="3420" spans="1:15" x14ac:dyDescent="0.25">
      <c r="A3420" s="6"/>
      <c r="B3420" s="5"/>
      <c r="C3420" s="5"/>
      <c r="D3420" s="5" t="s">
        <v>438</v>
      </c>
      <c r="E3420" s="5" t="s">
        <v>439</v>
      </c>
      <c r="F3420" s="5" t="s">
        <v>551</v>
      </c>
      <c r="G3420" s="14">
        <f t="shared" ref="G3420:L3420" si="864">SUBTOTAL(9,G3418:G3419)</f>
        <v>555.91</v>
      </c>
      <c r="H3420" s="14">
        <f t="shared" si="864"/>
        <v>0</v>
      </c>
      <c r="I3420" s="14">
        <f t="shared" si="864"/>
        <v>0</v>
      </c>
      <c r="J3420" s="14">
        <f t="shared" si="864"/>
        <v>66.709999999999994</v>
      </c>
      <c r="K3420" s="14">
        <f t="shared" si="864"/>
        <v>-11.12</v>
      </c>
      <c r="L3420" s="14">
        <f t="shared" si="864"/>
        <v>611.5</v>
      </c>
      <c r="M3420" s="10">
        <v>2944</v>
      </c>
      <c r="N3420" s="69"/>
      <c r="O3420" s="11">
        <f>O3413+1</f>
        <v>825</v>
      </c>
    </row>
    <row r="3421" spans="1:15" s="4" customFormat="1" x14ac:dyDescent="0.25">
      <c r="A3421" s="10"/>
      <c r="B3421"/>
      <c r="C3421"/>
      <c r="D3421"/>
      <c r="E3421"/>
      <c r="F3421"/>
      <c r="G3421" s="21"/>
      <c r="H3421" s="21"/>
      <c r="I3421" s="21"/>
      <c r="J3421" s="21"/>
      <c r="K3421" s="21"/>
      <c r="L3421" s="21"/>
      <c r="M3421" s="10"/>
      <c r="N3421" s="67"/>
      <c r="O3421" s="11"/>
    </row>
    <row r="3422" spans="1:15" s="4" customFormat="1" x14ac:dyDescent="0.25">
      <c r="A3422" s="6">
        <v>1686</v>
      </c>
      <c r="B3422" s="5" t="s">
        <v>550</v>
      </c>
      <c r="C3422" s="5" t="s">
        <v>13</v>
      </c>
      <c r="D3422" s="5" t="s">
        <v>438</v>
      </c>
      <c r="E3422" s="5" t="s">
        <v>439</v>
      </c>
      <c r="F3422" s="5" t="s">
        <v>552</v>
      </c>
      <c r="G3422" s="22">
        <v>0</v>
      </c>
      <c r="H3422" s="22">
        <v>0</v>
      </c>
      <c r="I3422" s="22">
        <v>0</v>
      </c>
      <c r="J3422" s="22">
        <v>0</v>
      </c>
      <c r="K3422" s="22">
        <v>0</v>
      </c>
      <c r="L3422" s="22">
        <v>0</v>
      </c>
      <c r="M3422" s="10"/>
      <c r="N3422" s="67"/>
      <c r="O3422" s="11"/>
    </row>
    <row r="3423" spans="1:15" x14ac:dyDescent="0.25">
      <c r="A3423" s="6">
        <v>1687</v>
      </c>
      <c r="B3423" s="5" t="s">
        <v>550</v>
      </c>
      <c r="C3423" s="5" t="s">
        <v>17</v>
      </c>
      <c r="D3423" s="5" t="s">
        <v>438</v>
      </c>
      <c r="E3423" s="5" t="s">
        <v>439</v>
      </c>
      <c r="F3423" s="5" t="s">
        <v>552</v>
      </c>
      <c r="G3423" s="22">
        <v>0.04</v>
      </c>
      <c r="H3423" s="22">
        <v>0</v>
      </c>
      <c r="I3423" s="22">
        <v>0</v>
      </c>
      <c r="J3423" s="22">
        <v>0</v>
      </c>
      <c r="K3423" s="22">
        <v>0</v>
      </c>
      <c r="L3423" s="22">
        <v>0.04</v>
      </c>
      <c r="M3423" s="10"/>
      <c r="O3423" s="11"/>
    </row>
    <row r="3424" spans="1:15" x14ac:dyDescent="0.25">
      <c r="A3424" s="6"/>
      <c r="B3424" s="5"/>
      <c r="C3424" s="5"/>
      <c r="D3424" s="5" t="s">
        <v>438</v>
      </c>
      <c r="E3424" s="5" t="s">
        <v>439</v>
      </c>
      <c r="F3424" s="5" t="s">
        <v>552</v>
      </c>
      <c r="G3424" s="14">
        <f t="shared" ref="G3424:L3424" si="865">SUBTOTAL(9,G3422:G3423)</f>
        <v>0.04</v>
      </c>
      <c r="H3424" s="14">
        <f t="shared" si="865"/>
        <v>0</v>
      </c>
      <c r="I3424" s="14">
        <f t="shared" si="865"/>
        <v>0</v>
      </c>
      <c r="J3424" s="14">
        <f t="shared" si="865"/>
        <v>0</v>
      </c>
      <c r="K3424" s="14">
        <f t="shared" si="865"/>
        <v>0</v>
      </c>
      <c r="L3424" s="14">
        <f t="shared" si="865"/>
        <v>0.04</v>
      </c>
      <c r="M3424" s="10">
        <v>2945</v>
      </c>
      <c r="N3424" s="69"/>
      <c r="O3424" s="11">
        <f>O3420+1</f>
        <v>826</v>
      </c>
    </row>
    <row r="3425" spans="1:15" s="4" customFormat="1" x14ac:dyDescent="0.25">
      <c r="A3425" s="10"/>
      <c r="B3425"/>
      <c r="C3425"/>
      <c r="D3425"/>
      <c r="E3425"/>
      <c r="F3425"/>
      <c r="G3425" s="21"/>
      <c r="H3425" s="21"/>
      <c r="I3425" s="21"/>
      <c r="J3425" s="21"/>
      <c r="K3425" s="21"/>
      <c r="L3425" s="21"/>
      <c r="M3425" s="10"/>
      <c r="N3425" s="67"/>
      <c r="O3425" s="11"/>
    </row>
    <row r="3426" spans="1:15" s="4" customFormat="1" x14ac:dyDescent="0.25">
      <c r="A3426" s="6">
        <v>1688</v>
      </c>
      <c r="B3426" s="5" t="s">
        <v>22</v>
      </c>
      <c r="C3426" s="5" t="s">
        <v>17</v>
      </c>
      <c r="D3426" s="5" t="s">
        <v>636</v>
      </c>
      <c r="E3426" s="5" t="s">
        <v>637</v>
      </c>
      <c r="F3426" s="5" t="s">
        <v>23</v>
      </c>
      <c r="G3426" s="22">
        <v>0</v>
      </c>
      <c r="H3426" s="22">
        <v>0</v>
      </c>
      <c r="I3426" s="22">
        <v>1.78</v>
      </c>
      <c r="J3426" s="22">
        <v>0</v>
      </c>
      <c r="K3426" s="22">
        <v>-0.04</v>
      </c>
      <c r="L3426" s="22">
        <v>1.74</v>
      </c>
      <c r="M3426" s="10"/>
      <c r="N3426" s="67"/>
      <c r="O3426" s="11"/>
    </row>
    <row r="3427" spans="1:15" x14ac:dyDescent="0.25">
      <c r="A3427" s="6">
        <v>1689</v>
      </c>
      <c r="B3427" s="5" t="s">
        <v>22</v>
      </c>
      <c r="C3427" s="5" t="s">
        <v>17</v>
      </c>
      <c r="D3427" s="5" t="s">
        <v>636</v>
      </c>
      <c r="E3427" s="5" t="s">
        <v>637</v>
      </c>
      <c r="F3427" s="5" t="s">
        <v>23</v>
      </c>
      <c r="G3427" s="22">
        <v>0</v>
      </c>
      <c r="H3427" s="22">
        <v>0</v>
      </c>
      <c r="I3427" s="22">
        <v>0</v>
      </c>
      <c r="J3427" s="22">
        <v>0</v>
      </c>
      <c r="K3427" s="22">
        <v>0</v>
      </c>
      <c r="L3427" s="22">
        <v>0</v>
      </c>
      <c r="M3427" s="10"/>
      <c r="O3427" s="11"/>
    </row>
    <row r="3428" spans="1:15" x14ac:dyDescent="0.25">
      <c r="A3428" s="6"/>
      <c r="B3428" s="5"/>
      <c r="C3428" s="5"/>
      <c r="D3428" s="5" t="s">
        <v>636</v>
      </c>
      <c r="E3428" s="5" t="s">
        <v>637</v>
      </c>
      <c r="F3428" s="5" t="s">
        <v>23</v>
      </c>
      <c r="G3428" s="14">
        <f t="shared" ref="G3428:L3428" si="866">SUBTOTAL(9,G3426:G3427)</f>
        <v>0</v>
      </c>
      <c r="H3428" s="14">
        <f t="shared" si="866"/>
        <v>0</v>
      </c>
      <c r="I3428" s="14">
        <f t="shared" si="866"/>
        <v>1.78</v>
      </c>
      <c r="J3428" s="14">
        <f t="shared" si="866"/>
        <v>0</v>
      </c>
      <c r="K3428" s="14">
        <f t="shared" si="866"/>
        <v>-0.04</v>
      </c>
      <c r="L3428" s="14">
        <f t="shared" si="866"/>
        <v>1.74</v>
      </c>
      <c r="M3428" s="10">
        <v>2946</v>
      </c>
      <c r="N3428" s="69"/>
      <c r="O3428" s="11">
        <f>O3424+1</f>
        <v>827</v>
      </c>
    </row>
    <row r="3429" spans="1:15" s="4" customFormat="1" x14ac:dyDescent="0.25">
      <c r="A3429" s="10"/>
      <c r="B3429"/>
      <c r="C3429"/>
      <c r="D3429"/>
      <c r="E3429"/>
      <c r="F3429"/>
      <c r="G3429" s="21"/>
      <c r="H3429" s="21"/>
      <c r="I3429" s="21"/>
      <c r="J3429" s="21"/>
      <c r="K3429" s="21"/>
      <c r="L3429" s="21"/>
      <c r="M3429" s="10"/>
      <c r="N3429" s="67"/>
      <c r="O3429" s="11"/>
    </row>
    <row r="3430" spans="1:15" s="4" customFormat="1" x14ac:dyDescent="0.25">
      <c r="A3430" s="6">
        <v>1690</v>
      </c>
      <c r="B3430" s="5" t="s">
        <v>550</v>
      </c>
      <c r="C3430" s="5" t="s">
        <v>17</v>
      </c>
      <c r="D3430" s="5" t="s">
        <v>636</v>
      </c>
      <c r="E3430" s="5" t="s">
        <v>637</v>
      </c>
      <c r="F3430" s="5" t="s">
        <v>551</v>
      </c>
      <c r="G3430" s="22">
        <v>0</v>
      </c>
      <c r="H3430" s="22">
        <v>0</v>
      </c>
      <c r="I3430" s="22">
        <v>36.229999999999997</v>
      </c>
      <c r="J3430" s="22">
        <v>0</v>
      </c>
      <c r="K3430" s="22">
        <v>-0.72</v>
      </c>
      <c r="L3430" s="22">
        <v>35.51</v>
      </c>
      <c r="M3430" s="10"/>
      <c r="N3430" s="67"/>
      <c r="O3430" s="11"/>
    </row>
    <row r="3431" spans="1:15" x14ac:dyDescent="0.25">
      <c r="A3431" s="6"/>
      <c r="B3431" s="5"/>
      <c r="C3431" s="5"/>
      <c r="D3431" s="5" t="s">
        <v>636</v>
      </c>
      <c r="E3431" s="5" t="s">
        <v>637</v>
      </c>
      <c r="F3431" s="5" t="s">
        <v>551</v>
      </c>
      <c r="G3431" s="14">
        <f t="shared" ref="G3431:L3431" si="867">SUBTOTAL(9,G3430:G3430)</f>
        <v>0</v>
      </c>
      <c r="H3431" s="14">
        <f t="shared" si="867"/>
        <v>0</v>
      </c>
      <c r="I3431" s="14">
        <f t="shared" si="867"/>
        <v>36.229999999999997</v>
      </c>
      <c r="J3431" s="14">
        <f t="shared" si="867"/>
        <v>0</v>
      </c>
      <c r="K3431" s="14">
        <f t="shared" si="867"/>
        <v>-0.72</v>
      </c>
      <c r="L3431" s="14">
        <f t="shared" si="867"/>
        <v>35.51</v>
      </c>
      <c r="M3431" s="10">
        <v>2947</v>
      </c>
      <c r="N3431" s="69"/>
      <c r="O3431" s="11">
        <f>O3428+1</f>
        <v>828</v>
      </c>
    </row>
    <row r="3432" spans="1:15" x14ac:dyDescent="0.25">
      <c r="A3432" s="15"/>
      <c r="B3432" s="16"/>
      <c r="C3432" s="16"/>
      <c r="D3432" s="16"/>
      <c r="E3432" s="16"/>
      <c r="F3432" s="48"/>
      <c r="G3432" s="49"/>
      <c r="H3432" s="49"/>
      <c r="I3432" s="49"/>
      <c r="J3432" s="49"/>
      <c r="K3432" s="49"/>
      <c r="L3432" s="49"/>
      <c r="M3432" s="15"/>
      <c r="N3432" s="69"/>
      <c r="O3432" s="11"/>
    </row>
    <row r="3433" spans="1:15" s="4" customFormat="1" x14ac:dyDescent="0.25">
      <c r="A3433" s="6">
        <v>1691</v>
      </c>
      <c r="B3433" s="5" t="s">
        <v>18</v>
      </c>
      <c r="C3433" s="5" t="s">
        <v>17</v>
      </c>
      <c r="D3433" s="5" t="s">
        <v>440</v>
      </c>
      <c r="E3433" s="5" t="s">
        <v>441</v>
      </c>
      <c r="F3433" s="5" t="s">
        <v>19</v>
      </c>
      <c r="G3433" s="22">
        <v>0</v>
      </c>
      <c r="H3433" s="22">
        <v>0</v>
      </c>
      <c r="I3433" s="22">
        <v>7.88</v>
      </c>
      <c r="J3433" s="22">
        <v>0</v>
      </c>
      <c r="K3433" s="22">
        <v>-0.93</v>
      </c>
      <c r="L3433" s="22">
        <v>6.95</v>
      </c>
      <c r="M3433" s="10"/>
      <c r="N3433" s="67"/>
      <c r="O3433" s="11"/>
    </row>
    <row r="3434" spans="1:15" x14ac:dyDescent="0.25">
      <c r="A3434" s="6"/>
      <c r="B3434" s="5"/>
      <c r="C3434" s="5"/>
      <c r="D3434" s="5" t="s">
        <v>440</v>
      </c>
      <c r="E3434" s="5" t="s">
        <v>441</v>
      </c>
      <c r="F3434" s="5" t="s">
        <v>19</v>
      </c>
      <c r="G3434" s="14">
        <f t="shared" ref="G3434:L3434" si="868">SUBTOTAL(9,G3433:G3433)</f>
        <v>0</v>
      </c>
      <c r="H3434" s="14">
        <f t="shared" si="868"/>
        <v>0</v>
      </c>
      <c r="I3434" s="14">
        <f t="shared" si="868"/>
        <v>7.88</v>
      </c>
      <c r="J3434" s="14">
        <f t="shared" si="868"/>
        <v>0</v>
      </c>
      <c r="K3434" s="14">
        <f t="shared" si="868"/>
        <v>-0.93</v>
      </c>
      <c r="L3434" s="14">
        <f t="shared" si="868"/>
        <v>6.95</v>
      </c>
      <c r="M3434" s="10">
        <v>2948</v>
      </c>
      <c r="N3434" s="69"/>
      <c r="O3434" s="11">
        <f>O3431+1</f>
        <v>829</v>
      </c>
    </row>
    <row r="3435" spans="1:15" x14ac:dyDescent="0.25">
      <c r="A3435" s="10"/>
      <c r="G3435" s="21"/>
      <c r="H3435" s="21"/>
      <c r="I3435" s="21"/>
      <c r="J3435" s="21"/>
      <c r="K3435" s="21"/>
      <c r="L3435" s="21"/>
      <c r="M3435" s="10"/>
      <c r="O3435" s="11"/>
    </row>
    <row r="3436" spans="1:15" s="4" customFormat="1" x14ac:dyDescent="0.25">
      <c r="A3436" s="6">
        <v>1692</v>
      </c>
      <c r="B3436" s="5" t="s">
        <v>550</v>
      </c>
      <c r="C3436" s="5" t="s">
        <v>17</v>
      </c>
      <c r="D3436" s="5" t="s">
        <v>440</v>
      </c>
      <c r="E3436" s="5" t="s">
        <v>441</v>
      </c>
      <c r="F3436" s="5" t="s">
        <v>551</v>
      </c>
      <c r="G3436" s="22">
        <v>0</v>
      </c>
      <c r="H3436" s="22">
        <v>0</v>
      </c>
      <c r="I3436" s="22">
        <v>31021.94</v>
      </c>
      <c r="J3436" s="22">
        <v>0</v>
      </c>
      <c r="K3436" s="22">
        <v>-620.44000000000005</v>
      </c>
      <c r="L3436" s="22">
        <v>30401.5</v>
      </c>
      <c r="M3436" s="10"/>
      <c r="N3436" s="67"/>
      <c r="O3436" s="11"/>
    </row>
    <row r="3437" spans="1:15" x14ac:dyDescent="0.25">
      <c r="A3437" s="6"/>
      <c r="B3437" s="5"/>
      <c r="C3437" s="5"/>
      <c r="D3437" s="5" t="s">
        <v>440</v>
      </c>
      <c r="E3437" s="5" t="s">
        <v>441</v>
      </c>
      <c r="F3437" s="5" t="s">
        <v>551</v>
      </c>
      <c r="G3437" s="14">
        <f t="shared" ref="G3437:L3437" si="869">SUBTOTAL(9,G3436:G3436)</f>
        <v>0</v>
      </c>
      <c r="H3437" s="14">
        <f t="shared" si="869"/>
        <v>0</v>
      </c>
      <c r="I3437" s="14">
        <f t="shared" si="869"/>
        <v>31021.94</v>
      </c>
      <c r="J3437" s="14">
        <f t="shared" si="869"/>
        <v>0</v>
      </c>
      <c r="K3437" s="14">
        <f t="shared" si="869"/>
        <v>-620.44000000000005</v>
      </c>
      <c r="L3437" s="14">
        <f t="shared" si="869"/>
        <v>30401.5</v>
      </c>
      <c r="M3437" s="10">
        <v>2949</v>
      </c>
      <c r="N3437" s="69"/>
      <c r="O3437" s="11">
        <f>O3434+1</f>
        <v>830</v>
      </c>
    </row>
    <row r="3438" spans="1:15" x14ac:dyDescent="0.25">
      <c r="A3438" s="10"/>
      <c r="G3438" s="21"/>
      <c r="H3438" s="21"/>
      <c r="I3438" s="21"/>
      <c r="J3438" s="21"/>
      <c r="K3438" s="21"/>
      <c r="L3438" s="21"/>
      <c r="M3438" s="10"/>
      <c r="O3438" s="11"/>
    </row>
    <row r="3439" spans="1:15" s="4" customFormat="1" x14ac:dyDescent="0.25">
      <c r="A3439" s="6">
        <v>1693</v>
      </c>
      <c r="B3439" s="5" t="s">
        <v>550</v>
      </c>
      <c r="C3439" s="5" t="s">
        <v>17</v>
      </c>
      <c r="D3439" s="5" t="s">
        <v>440</v>
      </c>
      <c r="E3439" s="5" t="s">
        <v>441</v>
      </c>
      <c r="F3439" s="5" t="s">
        <v>552</v>
      </c>
      <c r="G3439" s="22">
        <v>0</v>
      </c>
      <c r="H3439" s="22">
        <v>0</v>
      </c>
      <c r="I3439" s="22">
        <v>2.23</v>
      </c>
      <c r="J3439" s="22">
        <v>0</v>
      </c>
      <c r="K3439" s="22">
        <v>-0.04</v>
      </c>
      <c r="L3439" s="22">
        <v>2.19</v>
      </c>
      <c r="M3439" s="10"/>
      <c r="N3439" s="67"/>
      <c r="O3439" s="11"/>
    </row>
    <row r="3440" spans="1:15" s="4" customFormat="1" x14ac:dyDescent="0.25">
      <c r="A3440" s="6"/>
      <c r="B3440" s="5"/>
      <c r="C3440" s="5"/>
      <c r="D3440" s="5" t="s">
        <v>440</v>
      </c>
      <c r="E3440" s="5" t="s">
        <v>441</v>
      </c>
      <c r="F3440" s="5" t="s">
        <v>552</v>
      </c>
      <c r="G3440" s="14">
        <f t="shared" ref="G3440:L3440" si="870">SUBTOTAL(9,G3439:G3439)</f>
        <v>0</v>
      </c>
      <c r="H3440" s="14">
        <f t="shared" si="870"/>
        <v>0</v>
      </c>
      <c r="I3440" s="14">
        <f t="shared" si="870"/>
        <v>2.23</v>
      </c>
      <c r="J3440" s="14">
        <f t="shared" si="870"/>
        <v>0</v>
      </c>
      <c r="K3440" s="14">
        <f t="shared" si="870"/>
        <v>-0.04</v>
      </c>
      <c r="L3440" s="14">
        <f t="shared" si="870"/>
        <v>2.19</v>
      </c>
      <c r="M3440" s="10">
        <v>2950</v>
      </c>
      <c r="N3440" s="69"/>
      <c r="O3440" s="11">
        <f>O3437+1</f>
        <v>831</v>
      </c>
    </row>
    <row r="3441" spans="1:15" x14ac:dyDescent="0.25">
      <c r="A3441" s="10"/>
      <c r="G3441" s="21"/>
      <c r="H3441" s="21"/>
      <c r="I3441" s="21"/>
      <c r="J3441" s="21"/>
      <c r="K3441" s="21"/>
      <c r="L3441" s="21"/>
      <c r="M3441" s="10"/>
      <c r="O3441" s="11"/>
    </row>
    <row r="3442" spans="1:15" x14ac:dyDescent="0.25">
      <c r="A3442" s="6">
        <v>1694</v>
      </c>
      <c r="B3442" s="5" t="s">
        <v>18</v>
      </c>
      <c r="C3442" s="5" t="s">
        <v>17</v>
      </c>
      <c r="D3442" s="5" t="s">
        <v>442</v>
      </c>
      <c r="E3442" s="5" t="s">
        <v>443</v>
      </c>
      <c r="F3442" s="5" t="s">
        <v>19</v>
      </c>
      <c r="G3442" s="22">
        <v>0.56000000000000005</v>
      </c>
      <c r="H3442" s="22">
        <v>0</v>
      </c>
      <c r="I3442" s="22">
        <v>0</v>
      </c>
      <c r="J3442" s="22">
        <v>0</v>
      </c>
      <c r="K3442" s="22">
        <v>-0.5</v>
      </c>
      <c r="L3442" s="22">
        <v>0.06</v>
      </c>
      <c r="M3442" s="10"/>
      <c r="O3442" s="11"/>
    </row>
    <row r="3443" spans="1:15" s="4" customFormat="1" x14ac:dyDescent="0.25">
      <c r="A3443" s="6"/>
      <c r="B3443" s="5"/>
      <c r="C3443" s="5"/>
      <c r="D3443" s="5" t="s">
        <v>442</v>
      </c>
      <c r="E3443" s="5" t="s">
        <v>443</v>
      </c>
      <c r="F3443" s="5" t="s">
        <v>19</v>
      </c>
      <c r="G3443" s="14">
        <f>SUM(G3442)</f>
        <v>0.56000000000000005</v>
      </c>
      <c r="H3443" s="14">
        <f t="shared" ref="H3443:L3443" si="871">SUM(H3442)</f>
        <v>0</v>
      </c>
      <c r="I3443" s="14">
        <f t="shared" si="871"/>
        <v>0</v>
      </c>
      <c r="J3443" s="14">
        <f t="shared" si="871"/>
        <v>0</v>
      </c>
      <c r="K3443" s="14">
        <f t="shared" si="871"/>
        <v>-0.5</v>
      </c>
      <c r="L3443" s="14">
        <f t="shared" si="871"/>
        <v>0.06</v>
      </c>
      <c r="M3443" s="10">
        <v>2951</v>
      </c>
      <c r="N3443" s="69"/>
      <c r="O3443" s="11">
        <f>O3440+1</f>
        <v>832</v>
      </c>
    </row>
    <row r="3444" spans="1:15" s="4" customFormat="1" x14ac:dyDescent="0.25">
      <c r="A3444" s="6"/>
      <c r="B3444" s="5"/>
      <c r="C3444" s="5"/>
      <c r="D3444" s="5"/>
      <c r="E3444" s="5"/>
      <c r="F3444" s="5"/>
      <c r="G3444" s="22"/>
      <c r="H3444" s="22"/>
      <c r="I3444" s="22"/>
      <c r="J3444" s="22"/>
      <c r="K3444" s="22"/>
      <c r="L3444" s="22"/>
      <c r="M3444" s="10"/>
      <c r="N3444" s="67"/>
      <c r="O3444" s="11"/>
    </row>
    <row r="3445" spans="1:15" x14ac:dyDescent="0.25">
      <c r="A3445" s="6">
        <v>1695</v>
      </c>
      <c r="B3445" s="5" t="s">
        <v>18</v>
      </c>
      <c r="C3445" s="5" t="s">
        <v>17</v>
      </c>
      <c r="D3445" s="5" t="s">
        <v>444</v>
      </c>
      <c r="E3445" s="5" t="s">
        <v>445</v>
      </c>
      <c r="F3445" s="5" t="s">
        <v>19</v>
      </c>
      <c r="G3445" s="22">
        <v>0</v>
      </c>
      <c r="H3445" s="22">
        <v>0</v>
      </c>
      <c r="I3445" s="22">
        <v>0.1</v>
      </c>
      <c r="J3445" s="22">
        <v>0</v>
      </c>
      <c r="K3445" s="22">
        <v>-0.01</v>
      </c>
      <c r="L3445" s="22">
        <v>0.09</v>
      </c>
      <c r="M3445" s="10"/>
      <c r="O3445" s="11"/>
    </row>
    <row r="3446" spans="1:15" x14ac:dyDescent="0.25">
      <c r="A3446" s="6">
        <v>1696</v>
      </c>
      <c r="B3446" s="5" t="s">
        <v>18</v>
      </c>
      <c r="C3446" s="5" t="s">
        <v>17</v>
      </c>
      <c r="D3446" s="5" t="s">
        <v>444</v>
      </c>
      <c r="E3446" s="5" t="s">
        <v>445</v>
      </c>
      <c r="F3446" s="5" t="s">
        <v>19</v>
      </c>
      <c r="G3446" s="22">
        <v>0</v>
      </c>
      <c r="H3446" s="22">
        <v>0</v>
      </c>
      <c r="I3446" s="22">
        <v>5.57</v>
      </c>
      <c r="J3446" s="22">
        <v>0</v>
      </c>
      <c r="K3446" s="22">
        <v>-0.11</v>
      </c>
      <c r="L3446" s="22">
        <v>5.46</v>
      </c>
      <c r="M3446" s="10"/>
      <c r="O3446" s="11"/>
    </row>
    <row r="3447" spans="1:15" s="4" customFormat="1" x14ac:dyDescent="0.25">
      <c r="A3447" s="6"/>
      <c r="B3447" s="5"/>
      <c r="C3447" s="5"/>
      <c r="D3447" s="5" t="s">
        <v>444</v>
      </c>
      <c r="E3447" s="5" t="s">
        <v>445</v>
      </c>
      <c r="F3447" s="5" t="s">
        <v>19</v>
      </c>
      <c r="G3447" s="14">
        <f>SUM(G3445:G3446)</f>
        <v>0</v>
      </c>
      <c r="H3447" s="14">
        <f t="shared" ref="H3447:L3447" si="872">SUM(H3445:H3446)</f>
        <v>0</v>
      </c>
      <c r="I3447" s="14">
        <f t="shared" si="872"/>
        <v>5.67</v>
      </c>
      <c r="J3447" s="14">
        <f t="shared" si="872"/>
        <v>0</v>
      </c>
      <c r="K3447" s="14">
        <f t="shared" si="872"/>
        <v>-0.12</v>
      </c>
      <c r="L3447" s="14">
        <f t="shared" si="872"/>
        <v>5.55</v>
      </c>
      <c r="M3447" s="10">
        <v>2952</v>
      </c>
      <c r="N3447" s="69"/>
      <c r="O3447" s="11">
        <f>O3443+1</f>
        <v>833</v>
      </c>
    </row>
    <row r="3448" spans="1:15" x14ac:dyDescent="0.25">
      <c r="A3448" s="10"/>
      <c r="G3448" s="21"/>
      <c r="H3448" s="21"/>
      <c r="I3448" s="21"/>
      <c r="J3448" s="21"/>
      <c r="K3448" s="21"/>
      <c r="L3448" s="21"/>
      <c r="M3448" s="10"/>
      <c r="O3448" s="11"/>
    </row>
    <row r="3449" spans="1:15" x14ac:dyDescent="0.25">
      <c r="A3449" s="6">
        <v>1697</v>
      </c>
      <c r="B3449" s="5" t="s">
        <v>550</v>
      </c>
      <c r="C3449" s="5" t="s">
        <v>17</v>
      </c>
      <c r="D3449" s="5" t="s">
        <v>444</v>
      </c>
      <c r="E3449" s="5" t="s">
        <v>445</v>
      </c>
      <c r="F3449" s="5" t="s">
        <v>551</v>
      </c>
      <c r="G3449" s="22">
        <v>0</v>
      </c>
      <c r="H3449" s="22">
        <v>0</v>
      </c>
      <c r="I3449" s="22">
        <v>172.98</v>
      </c>
      <c r="J3449" s="22">
        <v>0</v>
      </c>
      <c r="K3449" s="22">
        <v>0</v>
      </c>
      <c r="L3449" s="22">
        <v>172.98</v>
      </c>
      <c r="M3449" s="10"/>
      <c r="O3449" s="11"/>
    </row>
    <row r="3450" spans="1:15" s="4" customFormat="1" x14ac:dyDescent="0.25">
      <c r="A3450" s="6">
        <v>1698</v>
      </c>
      <c r="B3450" s="5" t="s">
        <v>550</v>
      </c>
      <c r="C3450" s="5" t="s">
        <v>17</v>
      </c>
      <c r="D3450" s="5" t="s">
        <v>444</v>
      </c>
      <c r="E3450" s="5" t="s">
        <v>445</v>
      </c>
      <c r="F3450" s="5" t="s">
        <v>551</v>
      </c>
      <c r="G3450" s="22">
        <v>0</v>
      </c>
      <c r="H3450" s="22">
        <v>0</v>
      </c>
      <c r="I3450" s="22">
        <v>243.63</v>
      </c>
      <c r="J3450" s="22">
        <v>0</v>
      </c>
      <c r="K3450" s="22">
        <v>0</v>
      </c>
      <c r="L3450" s="22">
        <v>243.63</v>
      </c>
      <c r="M3450" s="10"/>
      <c r="N3450" s="67"/>
      <c r="O3450" s="11"/>
    </row>
    <row r="3451" spans="1:15" x14ac:dyDescent="0.25">
      <c r="A3451" s="6"/>
      <c r="B3451" s="5"/>
      <c r="C3451" s="5"/>
      <c r="D3451" s="5" t="s">
        <v>444</v>
      </c>
      <c r="E3451" s="5" t="s">
        <v>445</v>
      </c>
      <c r="F3451" s="5" t="s">
        <v>551</v>
      </c>
      <c r="G3451" s="14">
        <f t="shared" ref="G3451:L3451" si="873">SUBTOTAL(9,G3449:G3450)</f>
        <v>0</v>
      </c>
      <c r="H3451" s="14">
        <f t="shared" si="873"/>
        <v>0</v>
      </c>
      <c r="I3451" s="14">
        <f t="shared" si="873"/>
        <v>416.61</v>
      </c>
      <c r="J3451" s="14">
        <f t="shared" si="873"/>
        <v>0</v>
      </c>
      <c r="K3451" s="14">
        <f t="shared" si="873"/>
        <v>0</v>
      </c>
      <c r="L3451" s="14">
        <f t="shared" si="873"/>
        <v>416.61</v>
      </c>
      <c r="M3451" s="10">
        <v>2953</v>
      </c>
      <c r="N3451" s="69"/>
      <c r="O3451" s="11">
        <f>O3447+1</f>
        <v>834</v>
      </c>
    </row>
    <row r="3452" spans="1:15" x14ac:dyDescent="0.25">
      <c r="A3452" s="10"/>
      <c r="G3452" s="21"/>
      <c r="H3452" s="21"/>
      <c r="I3452" s="21"/>
      <c r="J3452" s="21"/>
      <c r="K3452" s="21"/>
      <c r="L3452" s="21"/>
      <c r="M3452" s="10"/>
      <c r="O3452" s="11"/>
    </row>
    <row r="3453" spans="1:15" s="4" customFormat="1" x14ac:dyDescent="0.25">
      <c r="A3453" s="6">
        <v>1699</v>
      </c>
      <c r="B3453" s="5" t="s">
        <v>550</v>
      </c>
      <c r="C3453" s="5" t="s">
        <v>17</v>
      </c>
      <c r="D3453" s="5" t="s">
        <v>444</v>
      </c>
      <c r="E3453" s="5" t="s">
        <v>445</v>
      </c>
      <c r="F3453" s="5" t="s">
        <v>552</v>
      </c>
      <c r="G3453" s="22">
        <v>0</v>
      </c>
      <c r="H3453" s="22">
        <v>0</v>
      </c>
      <c r="I3453" s="22">
        <v>0.01</v>
      </c>
      <c r="J3453" s="22">
        <v>0</v>
      </c>
      <c r="K3453" s="22">
        <v>0</v>
      </c>
      <c r="L3453" s="22">
        <v>0.01</v>
      </c>
      <c r="M3453" s="10"/>
      <c r="N3453" s="67"/>
      <c r="O3453" s="11"/>
    </row>
    <row r="3454" spans="1:15" x14ac:dyDescent="0.25">
      <c r="A3454" s="6">
        <v>1700</v>
      </c>
      <c r="B3454" s="5" t="s">
        <v>550</v>
      </c>
      <c r="C3454" s="5" t="s">
        <v>17</v>
      </c>
      <c r="D3454" s="5" t="s">
        <v>444</v>
      </c>
      <c r="E3454" s="5" t="s">
        <v>445</v>
      </c>
      <c r="F3454" s="5" t="s">
        <v>552</v>
      </c>
      <c r="G3454" s="22">
        <v>0</v>
      </c>
      <c r="H3454" s="22">
        <v>0</v>
      </c>
      <c r="I3454" s="22">
        <v>0.02</v>
      </c>
      <c r="J3454" s="22">
        <v>0</v>
      </c>
      <c r="K3454" s="22">
        <v>0</v>
      </c>
      <c r="L3454" s="22">
        <v>0.02</v>
      </c>
      <c r="M3454" s="10"/>
      <c r="O3454" s="11"/>
    </row>
    <row r="3455" spans="1:15" x14ac:dyDescent="0.25">
      <c r="A3455" s="6"/>
      <c r="B3455" s="5"/>
      <c r="C3455" s="5"/>
      <c r="D3455" s="5" t="s">
        <v>444</v>
      </c>
      <c r="E3455" s="5" t="s">
        <v>445</v>
      </c>
      <c r="F3455" s="5" t="s">
        <v>552</v>
      </c>
      <c r="G3455" s="14">
        <f t="shared" ref="G3455:L3455" si="874">SUBTOTAL(9,G3453:G3454)</f>
        <v>0</v>
      </c>
      <c r="H3455" s="14">
        <f t="shared" si="874"/>
        <v>0</v>
      </c>
      <c r="I3455" s="14">
        <f t="shared" si="874"/>
        <v>0.03</v>
      </c>
      <c r="J3455" s="14">
        <f t="shared" si="874"/>
        <v>0</v>
      </c>
      <c r="K3455" s="14">
        <f t="shared" si="874"/>
        <v>0</v>
      </c>
      <c r="L3455" s="14">
        <f t="shared" si="874"/>
        <v>0.03</v>
      </c>
      <c r="M3455" s="10">
        <v>2954</v>
      </c>
      <c r="N3455" s="69"/>
      <c r="O3455" s="11">
        <f>O3451+1</f>
        <v>835</v>
      </c>
    </row>
    <row r="3456" spans="1:15" s="4" customFormat="1" x14ac:dyDescent="0.25">
      <c r="A3456" s="10"/>
      <c r="B3456"/>
      <c r="C3456"/>
      <c r="D3456"/>
      <c r="E3456"/>
      <c r="F3456"/>
      <c r="G3456" s="21"/>
      <c r="H3456" s="21"/>
      <c r="I3456" s="21"/>
      <c r="J3456" s="21"/>
      <c r="K3456" s="21"/>
      <c r="L3456" s="21"/>
      <c r="M3456" s="10"/>
      <c r="N3456" s="67"/>
      <c r="O3456" s="11"/>
    </row>
    <row r="3457" spans="1:15" s="4" customFormat="1" x14ac:dyDescent="0.25">
      <c r="A3457" s="6">
        <v>1701</v>
      </c>
      <c r="B3457" s="5" t="s">
        <v>555</v>
      </c>
      <c r="C3457" s="5" t="s">
        <v>17</v>
      </c>
      <c r="D3457" s="5" t="s">
        <v>446</v>
      </c>
      <c r="E3457" s="5" t="s">
        <v>447</v>
      </c>
      <c r="F3457" s="5" t="s">
        <v>556</v>
      </c>
      <c r="G3457" s="22">
        <v>2.69</v>
      </c>
      <c r="H3457" s="22">
        <v>0</v>
      </c>
      <c r="I3457" s="22">
        <v>0</v>
      </c>
      <c r="J3457" s="22">
        <v>0</v>
      </c>
      <c r="K3457" s="22">
        <v>-0.05</v>
      </c>
      <c r="L3457" s="22">
        <v>2.64</v>
      </c>
      <c r="M3457" s="10"/>
      <c r="N3457" s="67"/>
      <c r="O3457" s="11"/>
    </row>
    <row r="3458" spans="1:15" x14ac:dyDescent="0.25">
      <c r="A3458" s="6">
        <v>1702</v>
      </c>
      <c r="B3458" s="5" t="s">
        <v>555</v>
      </c>
      <c r="C3458" s="5" t="s">
        <v>17</v>
      </c>
      <c r="D3458" s="5" t="s">
        <v>446</v>
      </c>
      <c r="E3458" s="5" t="s">
        <v>447</v>
      </c>
      <c r="F3458" s="5" t="s">
        <v>556</v>
      </c>
      <c r="G3458" s="22">
        <v>4.78</v>
      </c>
      <c r="H3458" s="22">
        <v>0</v>
      </c>
      <c r="I3458" s="22">
        <v>0</v>
      </c>
      <c r="J3458" s="22">
        <v>0</v>
      </c>
      <c r="K3458" s="22">
        <v>-0.1</v>
      </c>
      <c r="L3458" s="22">
        <v>4.68</v>
      </c>
      <c r="M3458" s="10"/>
      <c r="O3458" s="11"/>
    </row>
    <row r="3459" spans="1:15" x14ac:dyDescent="0.25">
      <c r="A3459" s="6">
        <v>1703</v>
      </c>
      <c r="B3459" s="5" t="s">
        <v>555</v>
      </c>
      <c r="C3459" s="5" t="s">
        <v>13</v>
      </c>
      <c r="D3459" s="5" t="s">
        <v>446</v>
      </c>
      <c r="E3459" s="5" t="s">
        <v>447</v>
      </c>
      <c r="F3459" s="5" t="s">
        <v>556</v>
      </c>
      <c r="G3459" s="22">
        <v>0</v>
      </c>
      <c r="H3459" s="22">
        <v>0</v>
      </c>
      <c r="I3459" s="22">
        <v>0</v>
      </c>
      <c r="J3459" s="22">
        <v>0.32</v>
      </c>
      <c r="K3459" s="22">
        <v>0</v>
      </c>
      <c r="L3459" s="22">
        <v>0.32</v>
      </c>
      <c r="M3459" s="10"/>
      <c r="O3459" s="11"/>
    </row>
    <row r="3460" spans="1:15" s="4" customFormat="1" x14ac:dyDescent="0.25">
      <c r="A3460" s="6">
        <v>1704</v>
      </c>
      <c r="B3460" s="5" t="s">
        <v>555</v>
      </c>
      <c r="C3460" s="5" t="s">
        <v>13</v>
      </c>
      <c r="D3460" s="5" t="s">
        <v>446</v>
      </c>
      <c r="E3460" s="5" t="s">
        <v>447</v>
      </c>
      <c r="F3460" s="5" t="s">
        <v>556</v>
      </c>
      <c r="G3460" s="22">
        <v>0</v>
      </c>
      <c r="H3460" s="22">
        <v>0</v>
      </c>
      <c r="I3460" s="22">
        <v>0</v>
      </c>
      <c r="J3460" s="22">
        <v>0.56999999999999995</v>
      </c>
      <c r="K3460" s="22">
        <v>0</v>
      </c>
      <c r="L3460" s="22">
        <v>0.56999999999999995</v>
      </c>
      <c r="M3460" s="10"/>
      <c r="N3460" s="67"/>
      <c r="O3460" s="11"/>
    </row>
    <row r="3461" spans="1:15" s="4" customFormat="1" x14ac:dyDescent="0.25">
      <c r="A3461" s="6"/>
      <c r="B3461" s="5"/>
      <c r="C3461" s="5"/>
      <c r="D3461" s="5" t="s">
        <v>446</v>
      </c>
      <c r="E3461" s="5" t="s">
        <v>447</v>
      </c>
      <c r="F3461" s="5" t="s">
        <v>556</v>
      </c>
      <c r="G3461" s="14">
        <f t="shared" ref="G3461:L3461" si="875">SUBTOTAL(9,G3457:G3460)</f>
        <v>7.4700000000000006</v>
      </c>
      <c r="H3461" s="14">
        <f t="shared" si="875"/>
        <v>0</v>
      </c>
      <c r="I3461" s="14">
        <f t="shared" si="875"/>
        <v>0</v>
      </c>
      <c r="J3461" s="14">
        <f t="shared" si="875"/>
        <v>0.8899999999999999</v>
      </c>
      <c r="K3461" s="14">
        <f t="shared" si="875"/>
        <v>-0.15000000000000002</v>
      </c>
      <c r="L3461" s="14">
        <f t="shared" si="875"/>
        <v>8.2100000000000009</v>
      </c>
      <c r="M3461" s="10">
        <v>2955</v>
      </c>
      <c r="N3461" s="67"/>
      <c r="O3461" s="11">
        <f>O3455+1</f>
        <v>836</v>
      </c>
    </row>
    <row r="3462" spans="1:15" x14ac:dyDescent="0.25">
      <c r="A3462" s="10"/>
      <c r="G3462" s="21"/>
      <c r="H3462" s="21"/>
      <c r="I3462" s="21"/>
      <c r="J3462" s="21"/>
      <c r="K3462" s="21"/>
      <c r="L3462" s="21"/>
      <c r="M3462" s="10"/>
      <c r="O3462" s="11"/>
    </row>
    <row r="3463" spans="1:15" x14ac:dyDescent="0.25">
      <c r="A3463" s="6">
        <v>1705</v>
      </c>
      <c r="B3463" s="5" t="s">
        <v>557</v>
      </c>
      <c r="C3463" s="5" t="s">
        <v>17</v>
      </c>
      <c r="D3463" s="5" t="s">
        <v>446</v>
      </c>
      <c r="E3463" s="5" t="s">
        <v>447</v>
      </c>
      <c r="F3463" s="5" t="s">
        <v>558</v>
      </c>
      <c r="G3463" s="22">
        <v>2.6</v>
      </c>
      <c r="H3463" s="22">
        <v>0</v>
      </c>
      <c r="I3463" s="22">
        <v>0</v>
      </c>
      <c r="J3463" s="22">
        <v>0</v>
      </c>
      <c r="K3463" s="22">
        <v>-0.05</v>
      </c>
      <c r="L3463" s="22">
        <v>2.5499999999999998</v>
      </c>
      <c r="M3463" s="10"/>
      <c r="O3463" s="11"/>
    </row>
    <row r="3464" spans="1:15" s="4" customFormat="1" x14ac:dyDescent="0.25">
      <c r="A3464" s="6">
        <v>1706</v>
      </c>
      <c r="B3464" s="5" t="s">
        <v>557</v>
      </c>
      <c r="C3464" s="5" t="s">
        <v>13</v>
      </c>
      <c r="D3464" s="5" t="s">
        <v>446</v>
      </c>
      <c r="E3464" s="5" t="s">
        <v>447</v>
      </c>
      <c r="F3464" s="5" t="s">
        <v>558</v>
      </c>
      <c r="G3464" s="22">
        <v>0</v>
      </c>
      <c r="H3464" s="22">
        <v>0</v>
      </c>
      <c r="I3464" s="22">
        <v>0</v>
      </c>
      <c r="J3464" s="22">
        <v>0.31</v>
      </c>
      <c r="K3464" s="22">
        <v>0</v>
      </c>
      <c r="L3464" s="22">
        <v>0.31</v>
      </c>
      <c r="M3464" s="10"/>
      <c r="N3464" s="67"/>
      <c r="O3464" s="11"/>
    </row>
    <row r="3465" spans="1:15" s="4" customFormat="1" x14ac:dyDescent="0.25">
      <c r="A3465" s="6"/>
      <c r="B3465" s="5"/>
      <c r="C3465" s="5"/>
      <c r="D3465" s="5" t="s">
        <v>446</v>
      </c>
      <c r="E3465" s="5" t="s">
        <v>447</v>
      </c>
      <c r="F3465" s="5" t="s">
        <v>558</v>
      </c>
      <c r="G3465" s="14">
        <f t="shared" ref="G3465:L3465" si="876">SUBTOTAL(9,G3463:G3464)</f>
        <v>2.6</v>
      </c>
      <c r="H3465" s="14">
        <f t="shared" si="876"/>
        <v>0</v>
      </c>
      <c r="I3465" s="14">
        <f t="shared" si="876"/>
        <v>0</v>
      </c>
      <c r="J3465" s="14">
        <f t="shared" si="876"/>
        <v>0.31</v>
      </c>
      <c r="K3465" s="14">
        <f t="shared" si="876"/>
        <v>-0.05</v>
      </c>
      <c r="L3465" s="14">
        <f t="shared" si="876"/>
        <v>2.86</v>
      </c>
      <c r="M3465" s="10">
        <v>2956</v>
      </c>
      <c r="N3465" s="67"/>
      <c r="O3465" s="11">
        <f>O3461+1</f>
        <v>837</v>
      </c>
    </row>
    <row r="3466" spans="1:15" x14ac:dyDescent="0.25">
      <c r="A3466" s="10"/>
      <c r="G3466" s="21"/>
      <c r="H3466" s="21"/>
      <c r="I3466" s="21"/>
      <c r="J3466" s="21"/>
      <c r="K3466" s="21"/>
      <c r="L3466" s="21"/>
      <c r="M3466" s="10"/>
      <c r="O3466" s="11"/>
    </row>
    <row r="3467" spans="1:15" x14ac:dyDescent="0.25">
      <c r="A3467" s="6">
        <v>1707</v>
      </c>
      <c r="B3467" s="5" t="s">
        <v>18</v>
      </c>
      <c r="C3467" s="5" t="s">
        <v>17</v>
      </c>
      <c r="D3467" s="5" t="s">
        <v>446</v>
      </c>
      <c r="E3467" s="5" t="s">
        <v>447</v>
      </c>
      <c r="F3467" s="5" t="s">
        <v>19</v>
      </c>
      <c r="G3467" s="22">
        <v>0.14000000000000001</v>
      </c>
      <c r="H3467" s="22">
        <v>0</v>
      </c>
      <c r="I3467" s="22">
        <v>0</v>
      </c>
      <c r="J3467" s="22">
        <v>0</v>
      </c>
      <c r="K3467" s="22">
        <v>-0.13</v>
      </c>
      <c r="L3467" s="22">
        <v>0.01</v>
      </c>
      <c r="M3467" s="10"/>
      <c r="O3467" s="11"/>
    </row>
    <row r="3468" spans="1:15" s="4" customFormat="1" x14ac:dyDescent="0.25">
      <c r="A3468" s="6"/>
      <c r="B3468" s="5"/>
      <c r="C3468" s="5"/>
      <c r="D3468" s="5" t="s">
        <v>446</v>
      </c>
      <c r="E3468" s="5" t="s">
        <v>447</v>
      </c>
      <c r="F3468" s="5" t="s">
        <v>19</v>
      </c>
      <c r="G3468" s="14">
        <f t="shared" ref="G3468:L3468" si="877">SUBTOTAL(9,G3467:G3467)</f>
        <v>0.14000000000000001</v>
      </c>
      <c r="H3468" s="14">
        <f t="shared" si="877"/>
        <v>0</v>
      </c>
      <c r="I3468" s="14">
        <f t="shared" si="877"/>
        <v>0</v>
      </c>
      <c r="J3468" s="14">
        <f t="shared" si="877"/>
        <v>0</v>
      </c>
      <c r="K3468" s="14">
        <f t="shared" si="877"/>
        <v>-0.13</v>
      </c>
      <c r="L3468" s="14">
        <f t="shared" si="877"/>
        <v>0.01</v>
      </c>
      <c r="M3468" s="10">
        <v>2957</v>
      </c>
      <c r="N3468" s="67"/>
      <c r="O3468" s="11">
        <f>O3465+1</f>
        <v>838</v>
      </c>
    </row>
    <row r="3469" spans="1:15" x14ac:dyDescent="0.25">
      <c r="A3469" s="10"/>
      <c r="G3469" s="21"/>
      <c r="H3469" s="21"/>
      <c r="I3469" s="21"/>
      <c r="J3469" s="21"/>
      <c r="K3469" s="21"/>
      <c r="L3469" s="21"/>
      <c r="M3469" s="10"/>
      <c r="O3469" s="11"/>
    </row>
    <row r="3470" spans="1:15" x14ac:dyDescent="0.25">
      <c r="A3470" s="6">
        <v>1708</v>
      </c>
      <c r="B3470" s="5" t="s">
        <v>550</v>
      </c>
      <c r="C3470" s="5" t="s">
        <v>13</v>
      </c>
      <c r="D3470" s="5" t="s">
        <v>446</v>
      </c>
      <c r="E3470" s="5" t="s">
        <v>447</v>
      </c>
      <c r="F3470" s="5" t="s">
        <v>551</v>
      </c>
      <c r="G3470" s="22">
        <v>0</v>
      </c>
      <c r="H3470" s="22">
        <v>0</v>
      </c>
      <c r="I3470" s="22">
        <v>0</v>
      </c>
      <c r="J3470" s="22">
        <v>32.31</v>
      </c>
      <c r="K3470" s="22">
        <v>0</v>
      </c>
      <c r="L3470" s="22">
        <v>32.31</v>
      </c>
      <c r="M3470" s="10"/>
      <c r="O3470" s="11"/>
    </row>
    <row r="3471" spans="1:15" s="4" customFormat="1" x14ac:dyDescent="0.25">
      <c r="A3471" s="6">
        <v>1709</v>
      </c>
      <c r="B3471" s="5" t="s">
        <v>550</v>
      </c>
      <c r="C3471" s="5" t="s">
        <v>13</v>
      </c>
      <c r="D3471" s="5" t="s">
        <v>446</v>
      </c>
      <c r="E3471" s="5" t="s">
        <v>447</v>
      </c>
      <c r="F3471" s="5" t="s">
        <v>551</v>
      </c>
      <c r="G3471" s="22">
        <v>0</v>
      </c>
      <c r="H3471" s="22">
        <v>0</v>
      </c>
      <c r="I3471" s="22">
        <v>0</v>
      </c>
      <c r="J3471" s="22">
        <v>189.61</v>
      </c>
      <c r="K3471" s="22">
        <v>0</v>
      </c>
      <c r="L3471" s="22">
        <v>189.61</v>
      </c>
      <c r="M3471" s="10"/>
      <c r="N3471" s="67"/>
      <c r="O3471" s="11"/>
    </row>
    <row r="3472" spans="1:15" x14ac:dyDescent="0.25">
      <c r="A3472" s="6">
        <v>1710</v>
      </c>
      <c r="B3472" s="5" t="s">
        <v>550</v>
      </c>
      <c r="C3472" s="5" t="s">
        <v>17</v>
      </c>
      <c r="D3472" s="5" t="s">
        <v>446</v>
      </c>
      <c r="E3472" s="5" t="s">
        <v>447</v>
      </c>
      <c r="F3472" s="5" t="s">
        <v>551</v>
      </c>
      <c r="G3472" s="22">
        <v>269.27999999999997</v>
      </c>
      <c r="H3472" s="22">
        <v>0</v>
      </c>
      <c r="I3472" s="22">
        <v>0</v>
      </c>
      <c r="J3472" s="22">
        <v>0</v>
      </c>
      <c r="K3472" s="22">
        <v>-5.39</v>
      </c>
      <c r="L3472" s="22">
        <v>263.89</v>
      </c>
      <c r="M3472" s="10"/>
      <c r="O3472" s="11"/>
    </row>
    <row r="3473" spans="1:15" x14ac:dyDescent="0.25">
      <c r="A3473" s="6">
        <v>1711</v>
      </c>
      <c r="B3473" s="5" t="s">
        <v>550</v>
      </c>
      <c r="C3473" s="5" t="s">
        <v>17</v>
      </c>
      <c r="D3473" s="5" t="s">
        <v>446</v>
      </c>
      <c r="E3473" s="5" t="s">
        <v>447</v>
      </c>
      <c r="F3473" s="5" t="s">
        <v>551</v>
      </c>
      <c r="G3473" s="22">
        <v>1580.07</v>
      </c>
      <c r="H3473" s="22">
        <v>0</v>
      </c>
      <c r="I3473" s="22">
        <v>0</v>
      </c>
      <c r="J3473" s="22">
        <v>0</v>
      </c>
      <c r="K3473" s="22">
        <v>-31.6</v>
      </c>
      <c r="L3473" s="22">
        <v>1548.47</v>
      </c>
      <c r="M3473" s="10"/>
      <c r="O3473" s="11"/>
    </row>
    <row r="3474" spans="1:15" s="4" customFormat="1" x14ac:dyDescent="0.25">
      <c r="A3474" s="6"/>
      <c r="B3474" s="5"/>
      <c r="C3474" s="5"/>
      <c r="D3474" s="5" t="s">
        <v>446</v>
      </c>
      <c r="E3474" s="5" t="s">
        <v>447</v>
      </c>
      <c r="F3474" s="5" t="s">
        <v>551</v>
      </c>
      <c r="G3474" s="14">
        <f t="shared" ref="G3474:L3474" si="878">SUBTOTAL(9,G3470:G3473)</f>
        <v>1849.35</v>
      </c>
      <c r="H3474" s="14">
        <f t="shared" si="878"/>
        <v>0</v>
      </c>
      <c r="I3474" s="14">
        <f t="shared" si="878"/>
        <v>0</v>
      </c>
      <c r="J3474" s="14">
        <f t="shared" si="878"/>
        <v>221.92000000000002</v>
      </c>
      <c r="K3474" s="14">
        <f t="shared" si="878"/>
        <v>-36.99</v>
      </c>
      <c r="L3474" s="14">
        <f t="shared" si="878"/>
        <v>2034.28</v>
      </c>
      <c r="M3474" s="10">
        <v>2958</v>
      </c>
      <c r="N3474" s="67"/>
      <c r="O3474" s="11">
        <f>O3468+1</f>
        <v>839</v>
      </c>
    </row>
    <row r="3475" spans="1:15" s="4" customFormat="1" x14ac:dyDescent="0.25">
      <c r="A3475" s="10"/>
      <c r="B3475"/>
      <c r="C3475"/>
      <c r="D3475"/>
      <c r="E3475"/>
      <c r="F3475"/>
      <c r="G3475" s="21"/>
      <c r="H3475" s="21"/>
      <c r="I3475" s="21"/>
      <c r="J3475" s="21"/>
      <c r="K3475" s="21"/>
      <c r="L3475" s="21"/>
      <c r="M3475" s="10"/>
      <c r="N3475" s="67"/>
      <c r="O3475" s="11"/>
    </row>
    <row r="3476" spans="1:15" x14ac:dyDescent="0.25">
      <c r="A3476" s="6">
        <v>1712</v>
      </c>
      <c r="B3476" s="5" t="s">
        <v>550</v>
      </c>
      <c r="C3476" s="5" t="s">
        <v>13</v>
      </c>
      <c r="D3476" s="5" t="s">
        <v>446</v>
      </c>
      <c r="E3476" s="5" t="s">
        <v>447</v>
      </c>
      <c r="F3476" s="5" t="s">
        <v>552</v>
      </c>
      <c r="G3476" s="22">
        <v>0</v>
      </c>
      <c r="H3476" s="22">
        <v>0</v>
      </c>
      <c r="I3476" s="22">
        <v>0</v>
      </c>
      <c r="J3476" s="22">
        <v>0</v>
      </c>
      <c r="K3476" s="22">
        <v>0</v>
      </c>
      <c r="L3476" s="22">
        <v>0</v>
      </c>
      <c r="M3476" s="10"/>
      <c r="O3476" s="11"/>
    </row>
    <row r="3477" spans="1:15" x14ac:dyDescent="0.25">
      <c r="A3477" s="6">
        <v>1713</v>
      </c>
      <c r="B3477" s="5" t="s">
        <v>550</v>
      </c>
      <c r="C3477" s="5" t="s">
        <v>13</v>
      </c>
      <c r="D3477" s="5" t="s">
        <v>446</v>
      </c>
      <c r="E3477" s="5" t="s">
        <v>447</v>
      </c>
      <c r="F3477" s="5" t="s">
        <v>552</v>
      </c>
      <c r="G3477" s="22">
        <v>0</v>
      </c>
      <c r="H3477" s="22">
        <v>0</v>
      </c>
      <c r="I3477" s="22">
        <v>0</v>
      </c>
      <c r="J3477" s="22">
        <v>0.01</v>
      </c>
      <c r="K3477" s="22">
        <v>0</v>
      </c>
      <c r="L3477" s="22">
        <v>0.01</v>
      </c>
      <c r="M3477" s="10"/>
      <c r="O3477" s="11"/>
    </row>
    <row r="3478" spans="1:15" s="4" customFormat="1" x14ac:dyDescent="0.25">
      <c r="A3478" s="6">
        <v>1714</v>
      </c>
      <c r="B3478" s="5" t="s">
        <v>550</v>
      </c>
      <c r="C3478" s="5" t="s">
        <v>17</v>
      </c>
      <c r="D3478" s="5" t="s">
        <v>446</v>
      </c>
      <c r="E3478" s="5" t="s">
        <v>447</v>
      </c>
      <c r="F3478" s="5" t="s">
        <v>552</v>
      </c>
      <c r="G3478" s="22">
        <v>0.02</v>
      </c>
      <c r="H3478" s="22">
        <v>0</v>
      </c>
      <c r="I3478" s="22">
        <v>0</v>
      </c>
      <c r="J3478" s="22">
        <v>0</v>
      </c>
      <c r="K3478" s="22">
        <v>0</v>
      </c>
      <c r="L3478" s="22">
        <v>0.02</v>
      </c>
      <c r="M3478" s="10"/>
      <c r="N3478" s="67"/>
      <c r="O3478" s="11"/>
    </row>
    <row r="3479" spans="1:15" s="4" customFormat="1" x14ac:dyDescent="0.25">
      <c r="A3479" s="6">
        <v>1715</v>
      </c>
      <c r="B3479" s="5" t="s">
        <v>550</v>
      </c>
      <c r="C3479" s="5" t="s">
        <v>17</v>
      </c>
      <c r="D3479" s="5" t="s">
        <v>446</v>
      </c>
      <c r="E3479" s="5" t="s">
        <v>447</v>
      </c>
      <c r="F3479" s="5" t="s">
        <v>552</v>
      </c>
      <c r="G3479" s="22">
        <v>0.11</v>
      </c>
      <c r="H3479" s="22">
        <v>0</v>
      </c>
      <c r="I3479" s="22">
        <v>0</v>
      </c>
      <c r="J3479" s="22">
        <v>0</v>
      </c>
      <c r="K3479" s="22">
        <v>0</v>
      </c>
      <c r="L3479" s="22">
        <v>0.11</v>
      </c>
      <c r="M3479" s="10"/>
      <c r="N3479" s="67"/>
      <c r="O3479" s="11"/>
    </row>
    <row r="3480" spans="1:15" x14ac:dyDescent="0.25">
      <c r="A3480" s="6"/>
      <c r="B3480" s="5"/>
      <c r="C3480" s="5"/>
      <c r="D3480" s="5" t="s">
        <v>446</v>
      </c>
      <c r="E3480" s="5" t="s">
        <v>447</v>
      </c>
      <c r="F3480" s="5" t="s">
        <v>552</v>
      </c>
      <c r="G3480" s="14">
        <f t="shared" ref="G3480:L3480" si="879">SUBTOTAL(9,G3476:G3479)</f>
        <v>0.13</v>
      </c>
      <c r="H3480" s="14">
        <f t="shared" si="879"/>
        <v>0</v>
      </c>
      <c r="I3480" s="14">
        <f t="shared" si="879"/>
        <v>0</v>
      </c>
      <c r="J3480" s="14">
        <f t="shared" si="879"/>
        <v>0.01</v>
      </c>
      <c r="K3480" s="14">
        <f t="shared" si="879"/>
        <v>0</v>
      </c>
      <c r="L3480" s="14">
        <f t="shared" si="879"/>
        <v>0.14000000000000001</v>
      </c>
      <c r="M3480" s="10">
        <v>2959</v>
      </c>
      <c r="O3480" s="11">
        <f>O3474+1</f>
        <v>840</v>
      </c>
    </row>
    <row r="3481" spans="1:15" x14ac:dyDescent="0.25">
      <c r="A3481" s="10"/>
      <c r="G3481" s="21"/>
      <c r="H3481" s="21"/>
      <c r="I3481" s="21"/>
      <c r="J3481" s="21"/>
      <c r="K3481" s="21"/>
      <c r="L3481" s="21"/>
      <c r="M3481" s="10"/>
      <c r="O3481" s="11"/>
    </row>
    <row r="3482" spans="1:15" s="4" customFormat="1" x14ac:dyDescent="0.25">
      <c r="A3482" s="6">
        <v>1716</v>
      </c>
      <c r="B3482" s="5" t="s">
        <v>559</v>
      </c>
      <c r="C3482" s="5" t="s">
        <v>17</v>
      </c>
      <c r="D3482" s="5" t="s">
        <v>448</v>
      </c>
      <c r="E3482" s="5" t="s">
        <v>449</v>
      </c>
      <c r="F3482" s="5" t="s">
        <v>560</v>
      </c>
      <c r="G3482" s="22">
        <v>0.01</v>
      </c>
      <c r="H3482" s="22">
        <v>0</v>
      </c>
      <c r="I3482" s="22">
        <v>0</v>
      </c>
      <c r="J3482" s="22">
        <v>0</v>
      </c>
      <c r="K3482" s="22">
        <v>0</v>
      </c>
      <c r="L3482" s="22">
        <v>0.01</v>
      </c>
      <c r="M3482" s="10"/>
      <c r="N3482" s="67"/>
      <c r="O3482" s="11"/>
    </row>
    <row r="3483" spans="1:15" s="4" customFormat="1" x14ac:dyDescent="0.25">
      <c r="A3483" s="6">
        <v>1717</v>
      </c>
      <c r="B3483" s="5" t="s">
        <v>559</v>
      </c>
      <c r="C3483" s="5" t="s">
        <v>13</v>
      </c>
      <c r="D3483" s="5" t="s">
        <v>448</v>
      </c>
      <c r="E3483" s="5" t="s">
        <v>449</v>
      </c>
      <c r="F3483" s="5" t="s">
        <v>560</v>
      </c>
      <c r="G3483" s="22">
        <v>0</v>
      </c>
      <c r="H3483" s="22">
        <v>0</v>
      </c>
      <c r="I3483" s="22">
        <v>0</v>
      </c>
      <c r="J3483" s="22">
        <v>0</v>
      </c>
      <c r="K3483" s="22">
        <v>0</v>
      </c>
      <c r="L3483" s="22">
        <v>0</v>
      </c>
      <c r="M3483" s="10"/>
      <c r="N3483" s="67"/>
      <c r="O3483" s="11"/>
    </row>
    <row r="3484" spans="1:15" x14ac:dyDescent="0.25">
      <c r="A3484" s="6"/>
      <c r="B3484" s="5"/>
      <c r="C3484" s="5"/>
      <c r="D3484" s="5" t="s">
        <v>448</v>
      </c>
      <c r="E3484" s="5" t="s">
        <v>449</v>
      </c>
      <c r="F3484" s="5" t="s">
        <v>560</v>
      </c>
      <c r="G3484" s="14">
        <f t="shared" ref="G3484:L3484" si="880">SUBTOTAL(9,G3482:G3483)</f>
        <v>0.01</v>
      </c>
      <c r="H3484" s="14">
        <f t="shared" si="880"/>
        <v>0</v>
      </c>
      <c r="I3484" s="14">
        <f t="shared" si="880"/>
        <v>0</v>
      </c>
      <c r="J3484" s="14">
        <f t="shared" si="880"/>
        <v>0</v>
      </c>
      <c r="K3484" s="14">
        <f t="shared" si="880"/>
        <v>0</v>
      </c>
      <c r="L3484" s="14">
        <f t="shared" si="880"/>
        <v>0.01</v>
      </c>
      <c r="M3484" s="10">
        <v>2960</v>
      </c>
      <c r="O3484" s="11">
        <f>O3480+1</f>
        <v>841</v>
      </c>
    </row>
    <row r="3485" spans="1:15" x14ac:dyDescent="0.25">
      <c r="A3485" s="10"/>
      <c r="G3485" s="21"/>
      <c r="H3485" s="21"/>
      <c r="I3485" s="21"/>
      <c r="J3485" s="21"/>
      <c r="K3485" s="21"/>
      <c r="L3485" s="21"/>
      <c r="M3485" s="10"/>
      <c r="O3485" s="11"/>
    </row>
    <row r="3486" spans="1:15" s="4" customFormat="1" x14ac:dyDescent="0.25">
      <c r="A3486" s="6">
        <v>1718</v>
      </c>
      <c r="B3486" s="5" t="s">
        <v>18</v>
      </c>
      <c r="C3486" s="5" t="s">
        <v>17</v>
      </c>
      <c r="D3486" s="5" t="s">
        <v>448</v>
      </c>
      <c r="E3486" s="5" t="s">
        <v>449</v>
      </c>
      <c r="F3486" s="5" t="s">
        <v>19</v>
      </c>
      <c r="G3486" s="22">
        <v>0.28999999999999998</v>
      </c>
      <c r="H3486" s="22">
        <v>0</v>
      </c>
      <c r="I3486" s="22">
        <v>0</v>
      </c>
      <c r="J3486" s="22">
        <v>0</v>
      </c>
      <c r="K3486" s="22">
        <v>-0.26</v>
      </c>
      <c r="L3486" s="22">
        <v>0.03</v>
      </c>
      <c r="M3486" s="10"/>
      <c r="N3486" s="67"/>
      <c r="O3486" s="11"/>
    </row>
    <row r="3487" spans="1:15" x14ac:dyDescent="0.25">
      <c r="A3487" s="6">
        <v>1719</v>
      </c>
      <c r="B3487" s="5" t="s">
        <v>18</v>
      </c>
      <c r="C3487" s="5" t="s">
        <v>17</v>
      </c>
      <c r="D3487" s="5" t="s">
        <v>448</v>
      </c>
      <c r="E3487" s="5" t="s">
        <v>449</v>
      </c>
      <c r="F3487" s="5" t="s">
        <v>19</v>
      </c>
      <c r="G3487" s="22">
        <v>10.74</v>
      </c>
      <c r="H3487" s="22">
        <v>0</v>
      </c>
      <c r="I3487" s="22">
        <v>0</v>
      </c>
      <c r="J3487" s="22">
        <v>0</v>
      </c>
      <c r="K3487" s="22">
        <v>-9.5299999999999994</v>
      </c>
      <c r="L3487" s="22">
        <v>1.21</v>
      </c>
      <c r="M3487" s="10"/>
      <c r="O3487" s="11"/>
    </row>
    <row r="3488" spans="1:15" x14ac:dyDescent="0.25">
      <c r="A3488" s="6"/>
      <c r="B3488" s="5"/>
      <c r="C3488" s="5"/>
      <c r="D3488" s="5" t="s">
        <v>448</v>
      </c>
      <c r="E3488" s="5" t="s">
        <v>449</v>
      </c>
      <c r="F3488" s="5" t="s">
        <v>19</v>
      </c>
      <c r="G3488" s="14">
        <f t="shared" ref="G3488:L3488" si="881">SUBTOTAL(9,G3486:G3487)</f>
        <v>11.03</v>
      </c>
      <c r="H3488" s="14">
        <f t="shared" si="881"/>
        <v>0</v>
      </c>
      <c r="I3488" s="14">
        <f t="shared" si="881"/>
        <v>0</v>
      </c>
      <c r="J3488" s="14">
        <f t="shared" si="881"/>
        <v>0</v>
      </c>
      <c r="K3488" s="14">
        <f t="shared" si="881"/>
        <v>-9.7899999999999991</v>
      </c>
      <c r="L3488" s="14">
        <f t="shared" si="881"/>
        <v>1.24</v>
      </c>
      <c r="M3488" s="10">
        <v>2961</v>
      </c>
      <c r="O3488" s="11">
        <f>O3484+1</f>
        <v>842</v>
      </c>
    </row>
    <row r="3489" spans="1:15" s="4" customFormat="1" x14ac:dyDescent="0.25">
      <c r="A3489" s="10"/>
      <c r="B3489"/>
      <c r="C3489"/>
      <c r="D3489"/>
      <c r="E3489"/>
      <c r="F3489"/>
      <c r="G3489" s="21"/>
      <c r="H3489" s="21"/>
      <c r="I3489" s="21"/>
      <c r="J3489" s="21"/>
      <c r="K3489" s="21"/>
      <c r="L3489" s="21"/>
      <c r="M3489" s="10"/>
      <c r="N3489" s="67"/>
      <c r="O3489" s="11"/>
    </row>
    <row r="3490" spans="1:15" x14ac:dyDescent="0.25">
      <c r="A3490" s="6">
        <v>1720</v>
      </c>
      <c r="B3490" s="5" t="s">
        <v>550</v>
      </c>
      <c r="C3490" s="5" t="s">
        <v>13</v>
      </c>
      <c r="D3490" s="5" t="s">
        <v>448</v>
      </c>
      <c r="E3490" s="5" t="s">
        <v>449</v>
      </c>
      <c r="F3490" s="5" t="s">
        <v>551</v>
      </c>
      <c r="G3490" s="22">
        <v>0</v>
      </c>
      <c r="H3490" s="22">
        <v>0</v>
      </c>
      <c r="I3490" s="22">
        <v>0</v>
      </c>
      <c r="J3490" s="22">
        <v>5432.58</v>
      </c>
      <c r="K3490" s="22">
        <v>0</v>
      </c>
      <c r="L3490" s="22">
        <v>5432.58</v>
      </c>
      <c r="M3490" s="10"/>
      <c r="O3490" s="11"/>
    </row>
    <row r="3491" spans="1:15" x14ac:dyDescent="0.25">
      <c r="A3491" s="6">
        <v>1721</v>
      </c>
      <c r="B3491" s="5" t="s">
        <v>550</v>
      </c>
      <c r="C3491" s="5" t="s">
        <v>17</v>
      </c>
      <c r="D3491" s="5" t="s">
        <v>448</v>
      </c>
      <c r="E3491" s="5" t="s">
        <v>449</v>
      </c>
      <c r="F3491" s="5" t="s">
        <v>551</v>
      </c>
      <c r="G3491" s="22">
        <v>45271.54</v>
      </c>
      <c r="H3491" s="22">
        <v>0</v>
      </c>
      <c r="I3491" s="22">
        <v>0</v>
      </c>
      <c r="J3491" s="22">
        <v>0</v>
      </c>
      <c r="K3491" s="22">
        <v>-905.43</v>
      </c>
      <c r="L3491" s="22">
        <v>44366.11</v>
      </c>
      <c r="M3491" s="10"/>
      <c r="O3491" s="11"/>
    </row>
    <row r="3492" spans="1:15" s="4" customFormat="1" x14ac:dyDescent="0.25">
      <c r="A3492" s="6"/>
      <c r="B3492" s="5"/>
      <c r="C3492" s="5"/>
      <c r="D3492" s="5" t="s">
        <v>448</v>
      </c>
      <c r="E3492" s="5" t="s">
        <v>449</v>
      </c>
      <c r="F3492" s="5" t="s">
        <v>551</v>
      </c>
      <c r="G3492" s="14">
        <f t="shared" ref="G3492:L3492" si="882">SUBTOTAL(9,G3490:G3491)</f>
        <v>45271.54</v>
      </c>
      <c r="H3492" s="14">
        <f t="shared" si="882"/>
        <v>0</v>
      </c>
      <c r="I3492" s="14">
        <f t="shared" si="882"/>
        <v>0</v>
      </c>
      <c r="J3492" s="14">
        <f t="shared" si="882"/>
        <v>5432.58</v>
      </c>
      <c r="K3492" s="14">
        <f t="shared" si="882"/>
        <v>-905.43</v>
      </c>
      <c r="L3492" s="14">
        <f t="shared" si="882"/>
        <v>49798.69</v>
      </c>
      <c r="M3492" s="10">
        <v>2962</v>
      </c>
      <c r="N3492" s="67"/>
      <c r="O3492" s="11">
        <f>O3488+1</f>
        <v>843</v>
      </c>
    </row>
    <row r="3493" spans="1:15" s="4" customFormat="1" x14ac:dyDescent="0.25">
      <c r="A3493" s="10"/>
      <c r="B3493"/>
      <c r="C3493"/>
      <c r="D3493"/>
      <c r="E3493"/>
      <c r="F3493"/>
      <c r="G3493" s="21"/>
      <c r="H3493" s="21"/>
      <c r="I3493" s="21"/>
      <c r="J3493" s="21"/>
      <c r="K3493" s="21"/>
      <c r="L3493" s="21"/>
      <c r="M3493" s="10"/>
      <c r="N3493" s="67"/>
      <c r="O3493" s="11"/>
    </row>
    <row r="3494" spans="1:15" x14ac:dyDescent="0.25">
      <c r="A3494" s="6">
        <v>1722</v>
      </c>
      <c r="B3494" s="5" t="s">
        <v>550</v>
      </c>
      <c r="C3494" s="5" t="s">
        <v>13</v>
      </c>
      <c r="D3494" s="5" t="s">
        <v>448</v>
      </c>
      <c r="E3494" s="5" t="s">
        <v>449</v>
      </c>
      <c r="F3494" s="5" t="s">
        <v>552</v>
      </c>
      <c r="G3494" s="22">
        <v>0</v>
      </c>
      <c r="H3494" s="22">
        <v>0</v>
      </c>
      <c r="I3494" s="22">
        <v>0</v>
      </c>
      <c r="J3494" s="22">
        <v>0.39</v>
      </c>
      <c r="K3494" s="22">
        <v>0</v>
      </c>
      <c r="L3494" s="22">
        <v>0.39</v>
      </c>
      <c r="M3494" s="10"/>
      <c r="O3494" s="11"/>
    </row>
    <row r="3495" spans="1:15" x14ac:dyDescent="0.25">
      <c r="A3495" s="6">
        <v>1723</v>
      </c>
      <c r="B3495" s="5" t="s">
        <v>550</v>
      </c>
      <c r="C3495" s="5" t="s">
        <v>17</v>
      </c>
      <c r="D3495" s="5" t="s">
        <v>448</v>
      </c>
      <c r="E3495" s="5" t="s">
        <v>449</v>
      </c>
      <c r="F3495" s="5" t="s">
        <v>552</v>
      </c>
      <c r="G3495" s="22">
        <v>3.26</v>
      </c>
      <c r="H3495" s="22">
        <v>0</v>
      </c>
      <c r="I3495" s="22">
        <v>0</v>
      </c>
      <c r="J3495" s="22">
        <v>0</v>
      </c>
      <c r="K3495" s="22">
        <v>-7.0000000000000007E-2</v>
      </c>
      <c r="L3495" s="22">
        <v>3.19</v>
      </c>
      <c r="M3495" s="10"/>
      <c r="O3495" s="11"/>
    </row>
    <row r="3496" spans="1:15" s="4" customFormat="1" x14ac:dyDescent="0.25">
      <c r="A3496" s="6"/>
      <c r="B3496" s="5"/>
      <c r="C3496" s="5"/>
      <c r="D3496" s="5" t="s">
        <v>448</v>
      </c>
      <c r="E3496" s="5" t="s">
        <v>449</v>
      </c>
      <c r="F3496" s="5" t="s">
        <v>552</v>
      </c>
      <c r="G3496" s="14">
        <f t="shared" ref="G3496:L3496" si="883">SUBTOTAL(9,G3494:G3495)</f>
        <v>3.26</v>
      </c>
      <c r="H3496" s="14">
        <f t="shared" si="883"/>
        <v>0</v>
      </c>
      <c r="I3496" s="14">
        <f t="shared" si="883"/>
        <v>0</v>
      </c>
      <c r="J3496" s="14">
        <f t="shared" si="883"/>
        <v>0.39</v>
      </c>
      <c r="K3496" s="14">
        <f t="shared" si="883"/>
        <v>-7.0000000000000007E-2</v>
      </c>
      <c r="L3496" s="14">
        <f t="shared" si="883"/>
        <v>3.58</v>
      </c>
      <c r="M3496" s="10">
        <v>2963</v>
      </c>
      <c r="N3496" s="67"/>
      <c r="O3496" s="11">
        <f>O3492+1</f>
        <v>844</v>
      </c>
    </row>
    <row r="3497" spans="1:15" x14ac:dyDescent="0.25">
      <c r="A3497" s="10"/>
      <c r="G3497" s="21"/>
      <c r="H3497" s="21"/>
      <c r="I3497" s="21"/>
      <c r="J3497" s="21"/>
      <c r="K3497" s="21"/>
      <c r="L3497" s="21"/>
      <c r="M3497" s="10"/>
      <c r="O3497" s="11"/>
    </row>
    <row r="3498" spans="1:15" x14ac:dyDescent="0.25">
      <c r="A3498" s="6">
        <v>1724</v>
      </c>
      <c r="B3498" s="5" t="s">
        <v>559</v>
      </c>
      <c r="C3498" s="5" t="s">
        <v>17</v>
      </c>
      <c r="D3498" s="5" t="s">
        <v>450</v>
      </c>
      <c r="E3498" s="5" t="s">
        <v>451</v>
      </c>
      <c r="F3498" s="5" t="s">
        <v>560</v>
      </c>
      <c r="G3498" s="22">
        <v>1.91</v>
      </c>
      <c r="H3498" s="22">
        <v>0</v>
      </c>
      <c r="I3498" s="22">
        <v>0</v>
      </c>
      <c r="J3498" s="22">
        <v>0</v>
      </c>
      <c r="K3498" s="22">
        <v>-0.04</v>
      </c>
      <c r="L3498" s="22">
        <v>1.87</v>
      </c>
      <c r="M3498" s="10"/>
      <c r="O3498" s="11"/>
    </row>
    <row r="3499" spans="1:15" s="4" customFormat="1" x14ac:dyDescent="0.25">
      <c r="A3499" s="6">
        <v>1725</v>
      </c>
      <c r="B3499" s="5" t="s">
        <v>559</v>
      </c>
      <c r="C3499" s="5" t="s">
        <v>13</v>
      </c>
      <c r="D3499" s="5" t="s">
        <v>450</v>
      </c>
      <c r="E3499" s="5" t="s">
        <v>451</v>
      </c>
      <c r="F3499" s="5" t="s">
        <v>560</v>
      </c>
      <c r="G3499" s="22">
        <v>0</v>
      </c>
      <c r="H3499" s="22">
        <v>0</v>
      </c>
      <c r="I3499" s="22">
        <v>0</v>
      </c>
      <c r="J3499" s="22">
        <v>0.23</v>
      </c>
      <c r="K3499" s="22">
        <v>0</v>
      </c>
      <c r="L3499" s="22">
        <v>0.23</v>
      </c>
      <c r="M3499" s="10"/>
      <c r="N3499" s="67"/>
      <c r="O3499" s="11"/>
    </row>
    <row r="3500" spans="1:15" x14ac:dyDescent="0.25">
      <c r="A3500" s="6"/>
      <c r="B3500" s="5"/>
      <c r="C3500" s="5"/>
      <c r="D3500" s="5" t="s">
        <v>450</v>
      </c>
      <c r="E3500" s="5" t="s">
        <v>451</v>
      </c>
      <c r="F3500" s="5" t="s">
        <v>560</v>
      </c>
      <c r="G3500" s="14">
        <f t="shared" ref="G3500:L3500" si="884">SUBTOTAL(9,G3498:G3499)</f>
        <v>1.91</v>
      </c>
      <c r="H3500" s="14">
        <f t="shared" si="884"/>
        <v>0</v>
      </c>
      <c r="I3500" s="14">
        <f t="shared" si="884"/>
        <v>0</v>
      </c>
      <c r="J3500" s="14">
        <f t="shared" si="884"/>
        <v>0.23</v>
      </c>
      <c r="K3500" s="14">
        <f t="shared" si="884"/>
        <v>-0.04</v>
      </c>
      <c r="L3500" s="14">
        <f t="shared" si="884"/>
        <v>2.1</v>
      </c>
      <c r="M3500" s="10">
        <v>2964</v>
      </c>
      <c r="O3500" s="11">
        <f>O3496+1</f>
        <v>845</v>
      </c>
    </row>
    <row r="3501" spans="1:15" x14ac:dyDescent="0.25">
      <c r="A3501" s="10"/>
      <c r="G3501" s="21"/>
      <c r="H3501" s="21"/>
      <c r="I3501" s="21"/>
      <c r="J3501" s="21"/>
      <c r="K3501" s="21"/>
      <c r="L3501" s="21"/>
      <c r="M3501" s="10"/>
      <c r="O3501" s="11"/>
    </row>
    <row r="3502" spans="1:15" s="4" customFormat="1" x14ac:dyDescent="0.25">
      <c r="A3502" s="6">
        <v>1726</v>
      </c>
      <c r="B3502" s="5" t="s">
        <v>18</v>
      </c>
      <c r="C3502" s="5" t="s">
        <v>17</v>
      </c>
      <c r="D3502" s="5" t="s">
        <v>450</v>
      </c>
      <c r="E3502" s="5" t="s">
        <v>451</v>
      </c>
      <c r="F3502" s="5" t="s">
        <v>19</v>
      </c>
      <c r="G3502" s="22">
        <v>68.55</v>
      </c>
      <c r="H3502" s="22">
        <v>0</v>
      </c>
      <c r="I3502" s="22">
        <v>0</v>
      </c>
      <c r="J3502" s="22">
        <v>0</v>
      </c>
      <c r="K3502" s="22">
        <v>-60.82</v>
      </c>
      <c r="L3502" s="22">
        <v>7.73</v>
      </c>
      <c r="M3502" s="10"/>
      <c r="N3502" s="67"/>
      <c r="O3502" s="11"/>
    </row>
    <row r="3503" spans="1:15" s="4" customFormat="1" x14ac:dyDescent="0.25">
      <c r="A3503" s="6">
        <v>1727</v>
      </c>
      <c r="B3503" s="5" t="s">
        <v>18</v>
      </c>
      <c r="C3503" s="5" t="s">
        <v>17</v>
      </c>
      <c r="D3503" s="5" t="s">
        <v>450</v>
      </c>
      <c r="E3503" s="5" t="s">
        <v>451</v>
      </c>
      <c r="F3503" s="5" t="s">
        <v>19</v>
      </c>
      <c r="G3503" s="22">
        <v>0.49</v>
      </c>
      <c r="H3503" s="22">
        <v>0</v>
      </c>
      <c r="I3503" s="22">
        <v>0</v>
      </c>
      <c r="J3503" s="22">
        <v>0</v>
      </c>
      <c r="K3503" s="22">
        <v>-0.44</v>
      </c>
      <c r="L3503" s="22">
        <v>0.05</v>
      </c>
      <c r="M3503" s="10"/>
      <c r="N3503" s="67"/>
      <c r="O3503" s="11"/>
    </row>
    <row r="3504" spans="1:15" x14ac:dyDescent="0.25">
      <c r="A3504" s="6"/>
      <c r="B3504" s="5"/>
      <c r="C3504" s="5"/>
      <c r="D3504" s="5" t="s">
        <v>450</v>
      </c>
      <c r="E3504" s="5" t="s">
        <v>451</v>
      </c>
      <c r="F3504" s="5" t="s">
        <v>19</v>
      </c>
      <c r="G3504" s="14">
        <f t="shared" ref="G3504:L3504" si="885">SUBTOTAL(9,G3502:G3503)</f>
        <v>69.039999999999992</v>
      </c>
      <c r="H3504" s="14">
        <f t="shared" si="885"/>
        <v>0</v>
      </c>
      <c r="I3504" s="14">
        <f t="shared" si="885"/>
        <v>0</v>
      </c>
      <c r="J3504" s="14">
        <f t="shared" si="885"/>
        <v>0</v>
      </c>
      <c r="K3504" s="14">
        <f t="shared" si="885"/>
        <v>-61.26</v>
      </c>
      <c r="L3504" s="14">
        <f t="shared" si="885"/>
        <v>7.78</v>
      </c>
      <c r="M3504" s="10">
        <v>2965</v>
      </c>
      <c r="O3504" s="11">
        <f>O3500+1</f>
        <v>846</v>
      </c>
    </row>
    <row r="3505" spans="1:15" x14ac:dyDescent="0.25">
      <c r="A3505" s="10"/>
      <c r="G3505" s="21"/>
      <c r="H3505" s="21"/>
      <c r="I3505" s="21"/>
      <c r="J3505" s="21"/>
      <c r="K3505" s="21"/>
      <c r="L3505" s="21"/>
      <c r="M3505" s="10"/>
      <c r="O3505" s="11"/>
    </row>
    <row r="3506" spans="1:15" s="4" customFormat="1" x14ac:dyDescent="0.25">
      <c r="A3506" s="6">
        <v>1728</v>
      </c>
      <c r="B3506" s="5" t="s">
        <v>550</v>
      </c>
      <c r="C3506" s="5" t="s">
        <v>17</v>
      </c>
      <c r="D3506" s="5" t="s">
        <v>450</v>
      </c>
      <c r="E3506" s="5" t="s">
        <v>451</v>
      </c>
      <c r="F3506" s="5" t="s">
        <v>551</v>
      </c>
      <c r="G3506" s="22">
        <v>7944.86</v>
      </c>
      <c r="H3506" s="22">
        <v>0</v>
      </c>
      <c r="I3506" s="22">
        <v>0</v>
      </c>
      <c r="J3506" s="22">
        <v>0</v>
      </c>
      <c r="K3506" s="22">
        <v>-158.9</v>
      </c>
      <c r="L3506" s="22">
        <v>7785.96</v>
      </c>
      <c r="M3506" s="10"/>
      <c r="N3506" s="67"/>
      <c r="O3506" s="11"/>
    </row>
    <row r="3507" spans="1:15" s="4" customFormat="1" x14ac:dyDescent="0.25">
      <c r="A3507" s="6">
        <v>1729</v>
      </c>
      <c r="B3507" s="5" t="s">
        <v>550</v>
      </c>
      <c r="C3507" s="5" t="s">
        <v>13</v>
      </c>
      <c r="D3507" s="5" t="s">
        <v>450</v>
      </c>
      <c r="E3507" s="5" t="s">
        <v>451</v>
      </c>
      <c r="F3507" s="5" t="s">
        <v>551</v>
      </c>
      <c r="G3507" s="22">
        <v>0</v>
      </c>
      <c r="H3507" s="22">
        <v>0</v>
      </c>
      <c r="I3507" s="22">
        <v>0</v>
      </c>
      <c r="J3507" s="22">
        <v>194832.81</v>
      </c>
      <c r="K3507" s="22">
        <v>0</v>
      </c>
      <c r="L3507" s="22">
        <v>194832.81</v>
      </c>
      <c r="M3507" s="10"/>
      <c r="N3507" s="67"/>
      <c r="O3507" s="11"/>
    </row>
    <row r="3508" spans="1:15" x14ac:dyDescent="0.25">
      <c r="A3508" s="6">
        <v>1730</v>
      </c>
      <c r="B3508" s="5" t="s">
        <v>550</v>
      </c>
      <c r="C3508" s="5" t="s">
        <v>17</v>
      </c>
      <c r="D3508" s="5" t="s">
        <v>450</v>
      </c>
      <c r="E3508" s="5" t="s">
        <v>451</v>
      </c>
      <c r="F3508" s="5" t="s">
        <v>551</v>
      </c>
      <c r="G3508" s="22">
        <v>1623606.77</v>
      </c>
      <c r="H3508" s="22">
        <v>0</v>
      </c>
      <c r="I3508" s="22">
        <v>0</v>
      </c>
      <c r="J3508" s="22">
        <v>0</v>
      </c>
      <c r="K3508" s="22">
        <v>-32472.14</v>
      </c>
      <c r="L3508" s="22">
        <v>1591134.63</v>
      </c>
      <c r="M3508" s="10"/>
      <c r="O3508" s="11"/>
    </row>
    <row r="3509" spans="1:15" x14ac:dyDescent="0.25">
      <c r="A3509" s="6">
        <v>1731</v>
      </c>
      <c r="B3509" s="5" t="s">
        <v>550</v>
      </c>
      <c r="C3509" s="5" t="s">
        <v>13</v>
      </c>
      <c r="D3509" s="5" t="s">
        <v>450</v>
      </c>
      <c r="E3509" s="5" t="s">
        <v>451</v>
      </c>
      <c r="F3509" s="5" t="s">
        <v>551</v>
      </c>
      <c r="G3509" s="22">
        <v>0</v>
      </c>
      <c r="H3509" s="22">
        <v>0</v>
      </c>
      <c r="I3509" s="22">
        <v>0</v>
      </c>
      <c r="J3509" s="22">
        <v>953.38</v>
      </c>
      <c r="K3509" s="22">
        <v>0</v>
      </c>
      <c r="L3509" s="22">
        <v>953.38</v>
      </c>
      <c r="M3509" s="10"/>
      <c r="O3509" s="11"/>
    </row>
    <row r="3510" spans="1:15" s="4" customFormat="1" x14ac:dyDescent="0.25">
      <c r="A3510" s="6"/>
      <c r="B3510" s="5"/>
      <c r="C3510" s="5"/>
      <c r="D3510" s="5" t="s">
        <v>450</v>
      </c>
      <c r="E3510" s="5" t="s">
        <v>451</v>
      </c>
      <c r="F3510" s="5" t="s">
        <v>551</v>
      </c>
      <c r="G3510" s="14">
        <f t="shared" ref="G3510:L3510" si="886">SUBTOTAL(9,G3506:G3509)</f>
        <v>1631551.6300000001</v>
      </c>
      <c r="H3510" s="14">
        <f t="shared" si="886"/>
        <v>0</v>
      </c>
      <c r="I3510" s="14">
        <f t="shared" si="886"/>
        <v>0</v>
      </c>
      <c r="J3510" s="14">
        <f t="shared" si="886"/>
        <v>195786.19</v>
      </c>
      <c r="K3510" s="14">
        <f t="shared" si="886"/>
        <v>-32631.040000000001</v>
      </c>
      <c r="L3510" s="14">
        <f t="shared" si="886"/>
        <v>1794706.7799999998</v>
      </c>
      <c r="M3510" s="10">
        <v>2966</v>
      </c>
      <c r="N3510" s="67"/>
      <c r="O3510" s="11">
        <f>O3504+1</f>
        <v>847</v>
      </c>
    </row>
    <row r="3511" spans="1:15" x14ac:dyDescent="0.25">
      <c r="A3511" s="10"/>
      <c r="G3511" s="21"/>
      <c r="H3511" s="21"/>
      <c r="I3511" s="21"/>
      <c r="J3511" s="21"/>
      <c r="K3511" s="21"/>
      <c r="L3511" s="21"/>
      <c r="M3511" s="10"/>
      <c r="O3511" s="11"/>
    </row>
    <row r="3512" spans="1:15" x14ac:dyDescent="0.25">
      <c r="A3512" s="6">
        <v>1732</v>
      </c>
      <c r="B3512" s="5" t="s">
        <v>550</v>
      </c>
      <c r="C3512" s="5" t="s">
        <v>17</v>
      </c>
      <c r="D3512" s="5" t="s">
        <v>450</v>
      </c>
      <c r="E3512" s="5" t="s">
        <v>451</v>
      </c>
      <c r="F3512" s="5" t="s">
        <v>552</v>
      </c>
      <c r="G3512" s="22">
        <v>0.56999999999999995</v>
      </c>
      <c r="H3512" s="22">
        <v>0</v>
      </c>
      <c r="I3512" s="22">
        <v>0</v>
      </c>
      <c r="J3512" s="22">
        <v>0</v>
      </c>
      <c r="K3512" s="22">
        <v>-0.01</v>
      </c>
      <c r="L3512" s="22">
        <v>0.56000000000000005</v>
      </c>
      <c r="M3512" s="10"/>
      <c r="O3512" s="11"/>
    </row>
    <row r="3513" spans="1:15" s="4" customFormat="1" x14ac:dyDescent="0.25">
      <c r="A3513" s="6">
        <v>1733</v>
      </c>
      <c r="B3513" s="5" t="s">
        <v>550</v>
      </c>
      <c r="C3513" s="5" t="s">
        <v>13</v>
      </c>
      <c r="D3513" s="5" t="s">
        <v>450</v>
      </c>
      <c r="E3513" s="5" t="s">
        <v>451</v>
      </c>
      <c r="F3513" s="5" t="s">
        <v>552</v>
      </c>
      <c r="G3513" s="22">
        <v>0</v>
      </c>
      <c r="H3513" s="22">
        <v>0</v>
      </c>
      <c r="I3513" s="22">
        <v>0</v>
      </c>
      <c r="J3513" s="22">
        <v>14.01</v>
      </c>
      <c r="K3513" s="22">
        <v>0</v>
      </c>
      <c r="L3513" s="22">
        <v>14.01</v>
      </c>
      <c r="M3513" s="10"/>
      <c r="N3513" s="67"/>
      <c r="O3513" s="11"/>
    </row>
    <row r="3514" spans="1:15" x14ac:dyDescent="0.25">
      <c r="A3514" s="6">
        <v>1734</v>
      </c>
      <c r="B3514" s="5" t="s">
        <v>550</v>
      </c>
      <c r="C3514" s="5" t="s">
        <v>17</v>
      </c>
      <c r="D3514" s="5" t="s">
        <v>450</v>
      </c>
      <c r="E3514" s="5" t="s">
        <v>451</v>
      </c>
      <c r="F3514" s="5" t="s">
        <v>552</v>
      </c>
      <c r="G3514" s="22">
        <v>116.78</v>
      </c>
      <c r="H3514" s="22">
        <v>0</v>
      </c>
      <c r="I3514" s="22">
        <v>0</v>
      </c>
      <c r="J3514" s="22">
        <v>0</v>
      </c>
      <c r="K3514" s="22">
        <v>-2.34</v>
      </c>
      <c r="L3514" s="22">
        <v>114.44</v>
      </c>
      <c r="M3514" s="10"/>
      <c r="O3514" s="11"/>
    </row>
    <row r="3515" spans="1:15" x14ac:dyDescent="0.25">
      <c r="A3515" s="6">
        <v>1735</v>
      </c>
      <c r="B3515" s="5" t="s">
        <v>550</v>
      </c>
      <c r="C3515" s="5" t="s">
        <v>13</v>
      </c>
      <c r="D3515" s="5" t="s">
        <v>450</v>
      </c>
      <c r="E3515" s="5" t="s">
        <v>451</v>
      </c>
      <c r="F3515" s="5" t="s">
        <v>552</v>
      </c>
      <c r="G3515" s="22">
        <v>0</v>
      </c>
      <c r="H3515" s="22">
        <v>0</v>
      </c>
      <c r="I3515" s="22">
        <v>0</v>
      </c>
      <c r="J3515" s="22">
        <v>7.0000000000000007E-2</v>
      </c>
      <c r="K3515" s="22">
        <v>0</v>
      </c>
      <c r="L3515" s="22">
        <v>7.0000000000000007E-2</v>
      </c>
      <c r="M3515" s="10"/>
      <c r="O3515" s="11"/>
    </row>
    <row r="3516" spans="1:15" s="4" customFormat="1" x14ac:dyDescent="0.25">
      <c r="A3516" s="6"/>
      <c r="B3516" s="5"/>
      <c r="C3516" s="5"/>
      <c r="D3516" s="5" t="s">
        <v>450</v>
      </c>
      <c r="E3516" s="5" t="s">
        <v>451</v>
      </c>
      <c r="F3516" s="5" t="s">
        <v>552</v>
      </c>
      <c r="G3516" s="14">
        <f t="shared" ref="G3516:L3516" si="887">SUBTOTAL(9,G3512:G3515)</f>
        <v>117.35</v>
      </c>
      <c r="H3516" s="14">
        <f t="shared" si="887"/>
        <v>0</v>
      </c>
      <c r="I3516" s="14">
        <f t="shared" si="887"/>
        <v>0</v>
      </c>
      <c r="J3516" s="14">
        <f t="shared" si="887"/>
        <v>14.08</v>
      </c>
      <c r="K3516" s="14">
        <f t="shared" si="887"/>
        <v>-2.3499999999999996</v>
      </c>
      <c r="L3516" s="14">
        <f t="shared" si="887"/>
        <v>129.07999999999998</v>
      </c>
      <c r="M3516" s="10">
        <v>2967</v>
      </c>
      <c r="N3516" s="67"/>
      <c r="O3516" s="11">
        <f>O3510+1</f>
        <v>848</v>
      </c>
    </row>
    <row r="3517" spans="1:15" x14ac:dyDescent="0.25">
      <c r="A3517" s="10"/>
      <c r="G3517" s="21"/>
      <c r="H3517" s="21"/>
      <c r="I3517" s="21"/>
      <c r="J3517" s="21"/>
      <c r="K3517" s="21"/>
      <c r="L3517" s="21"/>
      <c r="M3517" s="10"/>
      <c r="O3517" s="11"/>
    </row>
    <row r="3518" spans="1:15" x14ac:dyDescent="0.25">
      <c r="A3518" s="6">
        <v>1736</v>
      </c>
      <c r="B3518" s="5" t="s">
        <v>559</v>
      </c>
      <c r="C3518" s="5" t="s">
        <v>17</v>
      </c>
      <c r="D3518" s="5" t="s">
        <v>452</v>
      </c>
      <c r="E3518" s="5" t="s">
        <v>453</v>
      </c>
      <c r="F3518" s="5" t="s">
        <v>560</v>
      </c>
      <c r="G3518" s="22">
        <v>0.04</v>
      </c>
      <c r="H3518" s="22">
        <v>0</v>
      </c>
      <c r="I3518" s="22">
        <v>0</v>
      </c>
      <c r="J3518" s="22">
        <v>0</v>
      </c>
      <c r="K3518" s="22">
        <v>0</v>
      </c>
      <c r="L3518" s="22">
        <v>0.04</v>
      </c>
      <c r="M3518" s="10"/>
      <c r="O3518" s="11"/>
    </row>
    <row r="3519" spans="1:15" s="4" customFormat="1" x14ac:dyDescent="0.25">
      <c r="A3519" s="6">
        <v>1737</v>
      </c>
      <c r="B3519" s="5" t="s">
        <v>559</v>
      </c>
      <c r="C3519" s="5" t="s">
        <v>13</v>
      </c>
      <c r="D3519" s="5" t="s">
        <v>452</v>
      </c>
      <c r="E3519" s="5" t="s">
        <v>453</v>
      </c>
      <c r="F3519" s="5" t="s">
        <v>560</v>
      </c>
      <c r="G3519" s="22">
        <v>0</v>
      </c>
      <c r="H3519" s="22">
        <v>0</v>
      </c>
      <c r="I3519" s="22">
        <v>0</v>
      </c>
      <c r="J3519" s="22">
        <v>0</v>
      </c>
      <c r="K3519" s="22">
        <v>0</v>
      </c>
      <c r="L3519" s="22">
        <v>0</v>
      </c>
      <c r="M3519" s="10"/>
      <c r="N3519" s="67"/>
      <c r="O3519" s="11"/>
    </row>
    <row r="3520" spans="1:15" x14ac:dyDescent="0.25">
      <c r="A3520" s="6"/>
      <c r="B3520" s="5"/>
      <c r="C3520" s="5"/>
      <c r="D3520" s="5" t="s">
        <v>452</v>
      </c>
      <c r="E3520" s="5" t="s">
        <v>453</v>
      </c>
      <c r="F3520" s="5" t="s">
        <v>560</v>
      </c>
      <c r="G3520" s="14">
        <f t="shared" ref="G3520:L3520" si="888">SUBTOTAL(9,G3518:G3519)</f>
        <v>0.04</v>
      </c>
      <c r="H3520" s="14">
        <f t="shared" si="888"/>
        <v>0</v>
      </c>
      <c r="I3520" s="14">
        <f t="shared" si="888"/>
        <v>0</v>
      </c>
      <c r="J3520" s="14">
        <f t="shared" si="888"/>
        <v>0</v>
      </c>
      <c r="K3520" s="14">
        <f t="shared" si="888"/>
        <v>0</v>
      </c>
      <c r="L3520" s="14">
        <f t="shared" si="888"/>
        <v>0.04</v>
      </c>
      <c r="M3520" s="10">
        <v>2968</v>
      </c>
      <c r="O3520" s="11">
        <f>O3516+1</f>
        <v>849</v>
      </c>
    </row>
    <row r="3521" spans="1:15" x14ac:dyDescent="0.25">
      <c r="A3521" s="10"/>
      <c r="G3521" s="21"/>
      <c r="H3521" s="21"/>
      <c r="I3521" s="21"/>
      <c r="J3521" s="21"/>
      <c r="K3521" s="21"/>
      <c r="L3521" s="21"/>
      <c r="M3521" s="10"/>
      <c r="O3521" s="11"/>
    </row>
    <row r="3522" spans="1:15" s="4" customFormat="1" x14ac:dyDescent="0.25">
      <c r="A3522" s="6">
        <v>1738</v>
      </c>
      <c r="B3522" s="5" t="s">
        <v>550</v>
      </c>
      <c r="C3522" s="5" t="s">
        <v>13</v>
      </c>
      <c r="D3522" s="5" t="s">
        <v>452</v>
      </c>
      <c r="E3522" s="5" t="s">
        <v>453</v>
      </c>
      <c r="F3522" s="5" t="s">
        <v>551</v>
      </c>
      <c r="G3522" s="22">
        <v>0</v>
      </c>
      <c r="H3522" s="22">
        <v>0</v>
      </c>
      <c r="I3522" s="22">
        <v>0</v>
      </c>
      <c r="J3522" s="22">
        <v>10248.26</v>
      </c>
      <c r="K3522" s="22">
        <v>0</v>
      </c>
      <c r="L3522" s="22">
        <v>10248.26</v>
      </c>
      <c r="M3522" s="10"/>
      <c r="N3522" s="67"/>
      <c r="O3522" s="11"/>
    </row>
    <row r="3523" spans="1:15" x14ac:dyDescent="0.25">
      <c r="A3523" s="6">
        <v>1739</v>
      </c>
      <c r="B3523" s="5" t="s">
        <v>550</v>
      </c>
      <c r="C3523" s="5" t="s">
        <v>13</v>
      </c>
      <c r="D3523" s="5" t="s">
        <v>452</v>
      </c>
      <c r="E3523" s="5" t="s">
        <v>453</v>
      </c>
      <c r="F3523" s="5" t="s">
        <v>551</v>
      </c>
      <c r="G3523" s="22">
        <v>0</v>
      </c>
      <c r="H3523" s="22">
        <v>0</v>
      </c>
      <c r="I3523" s="22">
        <v>0</v>
      </c>
      <c r="J3523" s="22">
        <v>1356.69</v>
      </c>
      <c r="K3523" s="22">
        <v>0</v>
      </c>
      <c r="L3523" s="22">
        <v>1356.69</v>
      </c>
      <c r="M3523" s="10"/>
      <c r="O3523" s="11"/>
    </row>
    <row r="3524" spans="1:15" x14ac:dyDescent="0.25">
      <c r="A3524" s="6">
        <v>1740</v>
      </c>
      <c r="B3524" s="5" t="s">
        <v>550</v>
      </c>
      <c r="C3524" s="5" t="s">
        <v>17</v>
      </c>
      <c r="D3524" s="5" t="s">
        <v>452</v>
      </c>
      <c r="E3524" s="5" t="s">
        <v>453</v>
      </c>
      <c r="F3524" s="5" t="s">
        <v>551</v>
      </c>
      <c r="G3524" s="22">
        <v>85402.19</v>
      </c>
      <c r="H3524" s="22">
        <v>0</v>
      </c>
      <c r="I3524" s="22">
        <v>0</v>
      </c>
      <c r="J3524" s="22">
        <v>0</v>
      </c>
      <c r="K3524" s="22">
        <v>-1708.04</v>
      </c>
      <c r="L3524" s="22">
        <v>83694.149999999994</v>
      </c>
      <c r="M3524" s="10"/>
      <c r="O3524" s="11"/>
    </row>
    <row r="3525" spans="1:15" s="4" customFormat="1" x14ac:dyDescent="0.25">
      <c r="A3525" s="6">
        <v>1741</v>
      </c>
      <c r="B3525" s="5" t="s">
        <v>550</v>
      </c>
      <c r="C3525" s="5" t="s">
        <v>17</v>
      </c>
      <c r="D3525" s="5" t="s">
        <v>452</v>
      </c>
      <c r="E3525" s="5" t="s">
        <v>453</v>
      </c>
      <c r="F3525" s="5" t="s">
        <v>551</v>
      </c>
      <c r="G3525" s="22">
        <v>11305.79</v>
      </c>
      <c r="H3525" s="22">
        <v>0</v>
      </c>
      <c r="I3525" s="22">
        <v>0</v>
      </c>
      <c r="J3525" s="22">
        <v>0</v>
      </c>
      <c r="K3525" s="22">
        <v>-226.12</v>
      </c>
      <c r="L3525" s="22">
        <v>11079.67</v>
      </c>
      <c r="M3525" s="10"/>
      <c r="N3525" s="67"/>
      <c r="O3525" s="11"/>
    </row>
    <row r="3526" spans="1:15" s="4" customFormat="1" x14ac:dyDescent="0.25">
      <c r="A3526" s="6"/>
      <c r="B3526" s="5"/>
      <c r="C3526" s="5"/>
      <c r="D3526" s="5" t="s">
        <v>452</v>
      </c>
      <c r="E3526" s="5" t="s">
        <v>453</v>
      </c>
      <c r="F3526" s="5" t="s">
        <v>551</v>
      </c>
      <c r="G3526" s="14">
        <f t="shared" ref="G3526:L3526" si="889">SUBTOTAL(9,G3522:G3525)</f>
        <v>96707.98000000001</v>
      </c>
      <c r="H3526" s="14">
        <f t="shared" si="889"/>
        <v>0</v>
      </c>
      <c r="I3526" s="14">
        <f t="shared" si="889"/>
        <v>0</v>
      </c>
      <c r="J3526" s="14">
        <f t="shared" si="889"/>
        <v>11604.95</v>
      </c>
      <c r="K3526" s="14">
        <f t="shared" si="889"/>
        <v>-1934.1599999999999</v>
      </c>
      <c r="L3526" s="14">
        <f t="shared" si="889"/>
        <v>106378.76999999999</v>
      </c>
      <c r="M3526" s="10">
        <v>2969</v>
      </c>
      <c r="N3526" s="67"/>
      <c r="O3526" s="11">
        <f>O3520+1</f>
        <v>850</v>
      </c>
    </row>
    <row r="3527" spans="1:15" x14ac:dyDescent="0.25">
      <c r="A3527" s="10"/>
      <c r="G3527" s="21"/>
      <c r="H3527" s="21"/>
      <c r="I3527" s="21"/>
      <c r="J3527" s="21"/>
      <c r="K3527" s="21"/>
      <c r="L3527" s="21"/>
      <c r="M3527" s="10"/>
      <c r="O3527" s="11"/>
    </row>
    <row r="3528" spans="1:15" x14ac:dyDescent="0.25">
      <c r="A3528" s="6">
        <v>1742</v>
      </c>
      <c r="B3528" s="5" t="s">
        <v>550</v>
      </c>
      <c r="C3528" s="5" t="s">
        <v>13</v>
      </c>
      <c r="D3528" s="5" t="s">
        <v>452</v>
      </c>
      <c r="E3528" s="5" t="s">
        <v>453</v>
      </c>
      <c r="F3528" s="5" t="s">
        <v>552</v>
      </c>
      <c r="G3528" s="22">
        <v>0</v>
      </c>
      <c r="H3528" s="22">
        <v>0</v>
      </c>
      <c r="I3528" s="22">
        <v>0</v>
      </c>
      <c r="J3528" s="22">
        <v>0.74</v>
      </c>
      <c r="K3528" s="22">
        <v>0</v>
      </c>
      <c r="L3528" s="22">
        <v>0.74</v>
      </c>
      <c r="M3528" s="10"/>
      <c r="O3528" s="11"/>
    </row>
    <row r="3529" spans="1:15" s="4" customFormat="1" x14ac:dyDescent="0.25">
      <c r="A3529" s="6">
        <v>1743</v>
      </c>
      <c r="B3529" s="5" t="s">
        <v>550</v>
      </c>
      <c r="C3529" s="5" t="s">
        <v>13</v>
      </c>
      <c r="D3529" s="5" t="s">
        <v>452</v>
      </c>
      <c r="E3529" s="5" t="s">
        <v>453</v>
      </c>
      <c r="F3529" s="5" t="s">
        <v>552</v>
      </c>
      <c r="G3529" s="22">
        <v>0</v>
      </c>
      <c r="H3529" s="22">
        <v>0</v>
      </c>
      <c r="I3529" s="22">
        <v>0</v>
      </c>
      <c r="J3529" s="22">
        <v>0.1</v>
      </c>
      <c r="K3529" s="22">
        <v>0</v>
      </c>
      <c r="L3529" s="22">
        <v>0.1</v>
      </c>
      <c r="M3529" s="10"/>
      <c r="N3529" s="67"/>
      <c r="O3529" s="11"/>
    </row>
    <row r="3530" spans="1:15" x14ac:dyDescent="0.25">
      <c r="A3530" s="6">
        <v>1744</v>
      </c>
      <c r="B3530" s="5" t="s">
        <v>550</v>
      </c>
      <c r="C3530" s="5" t="s">
        <v>17</v>
      </c>
      <c r="D3530" s="5" t="s">
        <v>452</v>
      </c>
      <c r="E3530" s="5" t="s">
        <v>453</v>
      </c>
      <c r="F3530" s="5" t="s">
        <v>552</v>
      </c>
      <c r="G3530" s="22">
        <v>6.14</v>
      </c>
      <c r="H3530" s="22">
        <v>0</v>
      </c>
      <c r="I3530" s="22">
        <v>0</v>
      </c>
      <c r="J3530" s="22">
        <v>0</v>
      </c>
      <c r="K3530" s="22">
        <v>-0.12</v>
      </c>
      <c r="L3530" s="22">
        <v>6.02</v>
      </c>
      <c r="M3530" s="10"/>
      <c r="O3530" s="11"/>
    </row>
    <row r="3531" spans="1:15" x14ac:dyDescent="0.25">
      <c r="A3531" s="6">
        <v>1745</v>
      </c>
      <c r="B3531" s="5" t="s">
        <v>550</v>
      </c>
      <c r="C3531" s="5" t="s">
        <v>17</v>
      </c>
      <c r="D3531" s="5" t="s">
        <v>452</v>
      </c>
      <c r="E3531" s="5" t="s">
        <v>453</v>
      </c>
      <c r="F3531" s="5" t="s">
        <v>552</v>
      </c>
      <c r="G3531" s="22">
        <v>0.81</v>
      </c>
      <c r="H3531" s="22">
        <v>0</v>
      </c>
      <c r="I3531" s="22">
        <v>0</v>
      </c>
      <c r="J3531" s="22">
        <v>0</v>
      </c>
      <c r="K3531" s="22">
        <v>-0.02</v>
      </c>
      <c r="L3531" s="22">
        <v>0.79</v>
      </c>
      <c r="M3531" s="10"/>
      <c r="O3531" s="11"/>
    </row>
    <row r="3532" spans="1:15" s="4" customFormat="1" x14ac:dyDescent="0.25">
      <c r="A3532" s="6"/>
      <c r="B3532" s="5"/>
      <c r="C3532" s="5"/>
      <c r="D3532" s="5" t="s">
        <v>452</v>
      </c>
      <c r="E3532" s="5" t="s">
        <v>453</v>
      </c>
      <c r="F3532" s="5" t="s">
        <v>552</v>
      </c>
      <c r="G3532" s="14">
        <f t="shared" ref="G3532:L3532" si="890">SUBTOTAL(9,G3528:G3531)</f>
        <v>6.9499999999999993</v>
      </c>
      <c r="H3532" s="14">
        <f t="shared" si="890"/>
        <v>0</v>
      </c>
      <c r="I3532" s="14">
        <f t="shared" si="890"/>
        <v>0</v>
      </c>
      <c r="J3532" s="14">
        <f t="shared" si="890"/>
        <v>0.84</v>
      </c>
      <c r="K3532" s="14">
        <f t="shared" si="890"/>
        <v>-0.13999999999999999</v>
      </c>
      <c r="L3532" s="14">
        <f t="shared" si="890"/>
        <v>7.6499999999999995</v>
      </c>
      <c r="M3532" s="10">
        <v>2970</v>
      </c>
      <c r="N3532" s="67"/>
      <c r="O3532" s="11">
        <f>O3526+1</f>
        <v>851</v>
      </c>
    </row>
    <row r="3533" spans="1:15" x14ac:dyDescent="0.25">
      <c r="A3533" s="10"/>
      <c r="G3533" s="21"/>
      <c r="H3533" s="21"/>
      <c r="I3533" s="21"/>
      <c r="J3533" s="21"/>
      <c r="K3533" s="21"/>
      <c r="L3533" s="21"/>
      <c r="M3533" s="10"/>
      <c r="O3533" s="11"/>
    </row>
    <row r="3534" spans="1:15" x14ac:dyDescent="0.25">
      <c r="A3534" s="6">
        <v>1746</v>
      </c>
      <c r="B3534" s="5" t="s">
        <v>555</v>
      </c>
      <c r="C3534" s="5" t="s">
        <v>17</v>
      </c>
      <c r="D3534" s="5" t="s">
        <v>454</v>
      </c>
      <c r="E3534" s="5" t="s">
        <v>455</v>
      </c>
      <c r="F3534" s="5" t="s">
        <v>556</v>
      </c>
      <c r="G3534" s="22">
        <v>543</v>
      </c>
      <c r="H3534" s="22">
        <v>0</v>
      </c>
      <c r="I3534" s="22">
        <v>0</v>
      </c>
      <c r="J3534" s="22">
        <v>0</v>
      </c>
      <c r="K3534" s="22">
        <v>-10.86</v>
      </c>
      <c r="L3534" s="22">
        <v>532.14</v>
      </c>
      <c r="M3534" s="10"/>
      <c r="O3534" s="11"/>
    </row>
    <row r="3535" spans="1:15" s="4" customFormat="1" x14ac:dyDescent="0.25">
      <c r="A3535" s="6">
        <v>1747</v>
      </c>
      <c r="B3535" s="5" t="s">
        <v>555</v>
      </c>
      <c r="C3535" s="5" t="s">
        <v>13</v>
      </c>
      <c r="D3535" s="5" t="s">
        <v>454</v>
      </c>
      <c r="E3535" s="5" t="s">
        <v>455</v>
      </c>
      <c r="F3535" s="5" t="s">
        <v>556</v>
      </c>
      <c r="G3535" s="22">
        <v>0</v>
      </c>
      <c r="H3535" s="22">
        <v>0</v>
      </c>
      <c r="I3535" s="22">
        <v>0</v>
      </c>
      <c r="J3535" s="22">
        <v>65.16</v>
      </c>
      <c r="K3535" s="22">
        <v>0</v>
      </c>
      <c r="L3535" s="22">
        <v>65.16</v>
      </c>
      <c r="M3535" s="10"/>
      <c r="N3535" s="67"/>
      <c r="O3535" s="11"/>
    </row>
    <row r="3536" spans="1:15" x14ac:dyDescent="0.25">
      <c r="A3536" s="6"/>
      <c r="B3536" s="5"/>
      <c r="C3536" s="5"/>
      <c r="D3536" s="5" t="s">
        <v>454</v>
      </c>
      <c r="E3536" s="5" t="s">
        <v>455</v>
      </c>
      <c r="F3536" s="5" t="s">
        <v>556</v>
      </c>
      <c r="G3536" s="14">
        <f t="shared" ref="G3536:L3536" si="891">SUBTOTAL(9,G3534:G3535)</f>
        <v>543</v>
      </c>
      <c r="H3536" s="14">
        <f t="shared" si="891"/>
        <v>0</v>
      </c>
      <c r="I3536" s="14">
        <f t="shared" si="891"/>
        <v>0</v>
      </c>
      <c r="J3536" s="14">
        <f t="shared" si="891"/>
        <v>65.16</v>
      </c>
      <c r="K3536" s="14">
        <f t="shared" si="891"/>
        <v>-10.86</v>
      </c>
      <c r="L3536" s="14">
        <f t="shared" si="891"/>
        <v>597.29999999999995</v>
      </c>
      <c r="M3536" s="10">
        <v>2971</v>
      </c>
      <c r="O3536" s="11">
        <f>O3532+1</f>
        <v>852</v>
      </c>
    </row>
    <row r="3537" spans="1:15" x14ac:dyDescent="0.25">
      <c r="A3537" s="10"/>
      <c r="G3537" s="21"/>
      <c r="H3537" s="21"/>
      <c r="I3537" s="21"/>
      <c r="J3537" s="21"/>
      <c r="K3537" s="21"/>
      <c r="L3537" s="21"/>
      <c r="M3537" s="10"/>
      <c r="O3537" s="11"/>
    </row>
    <row r="3538" spans="1:15" s="4" customFormat="1" x14ac:dyDescent="0.25">
      <c r="A3538" s="6">
        <v>1748</v>
      </c>
      <c r="B3538" s="5" t="s">
        <v>557</v>
      </c>
      <c r="C3538" s="5" t="s">
        <v>17</v>
      </c>
      <c r="D3538" s="5" t="s">
        <v>454</v>
      </c>
      <c r="E3538" s="5" t="s">
        <v>455</v>
      </c>
      <c r="F3538" s="5" t="s">
        <v>558</v>
      </c>
      <c r="G3538" s="22">
        <v>275.36</v>
      </c>
      <c r="H3538" s="22">
        <v>0</v>
      </c>
      <c r="I3538" s="22">
        <v>0</v>
      </c>
      <c r="J3538" s="22">
        <v>0</v>
      </c>
      <c r="K3538" s="22">
        <v>-5.51</v>
      </c>
      <c r="L3538" s="22">
        <v>269.85000000000002</v>
      </c>
      <c r="M3538" s="10"/>
      <c r="N3538" s="67"/>
      <c r="O3538" s="11"/>
    </row>
    <row r="3539" spans="1:15" s="4" customFormat="1" x14ac:dyDescent="0.25">
      <c r="A3539" s="6">
        <v>1749</v>
      </c>
      <c r="B3539" s="5" t="s">
        <v>557</v>
      </c>
      <c r="C3539" s="5" t="s">
        <v>13</v>
      </c>
      <c r="D3539" s="5" t="s">
        <v>454</v>
      </c>
      <c r="E3539" s="5" t="s">
        <v>455</v>
      </c>
      <c r="F3539" s="5" t="s">
        <v>558</v>
      </c>
      <c r="G3539" s="22">
        <v>0</v>
      </c>
      <c r="H3539" s="22">
        <v>0</v>
      </c>
      <c r="I3539" s="22">
        <v>0</v>
      </c>
      <c r="J3539" s="22">
        <v>33.04</v>
      </c>
      <c r="K3539" s="22">
        <v>0</v>
      </c>
      <c r="L3539" s="22">
        <v>33.04</v>
      </c>
      <c r="M3539" s="10"/>
      <c r="N3539" s="67"/>
      <c r="O3539" s="11"/>
    </row>
    <row r="3540" spans="1:15" s="4" customFormat="1" x14ac:dyDescent="0.25">
      <c r="A3540" s="6"/>
      <c r="B3540" s="5"/>
      <c r="C3540" s="5"/>
      <c r="D3540" s="5" t="s">
        <v>454</v>
      </c>
      <c r="E3540" s="5" t="s">
        <v>455</v>
      </c>
      <c r="F3540" s="5" t="s">
        <v>558</v>
      </c>
      <c r="G3540" s="14">
        <f t="shared" ref="G3540:L3540" si="892">SUBTOTAL(9,G3538:G3539)</f>
        <v>275.36</v>
      </c>
      <c r="H3540" s="14">
        <f t="shared" si="892"/>
        <v>0</v>
      </c>
      <c r="I3540" s="14">
        <f t="shared" si="892"/>
        <v>0</v>
      </c>
      <c r="J3540" s="14">
        <f t="shared" si="892"/>
        <v>33.04</v>
      </c>
      <c r="K3540" s="14">
        <f t="shared" si="892"/>
        <v>-5.51</v>
      </c>
      <c r="L3540" s="14">
        <f t="shared" si="892"/>
        <v>302.89000000000004</v>
      </c>
      <c r="M3540" s="10">
        <v>2972</v>
      </c>
      <c r="N3540" s="67"/>
      <c r="O3540" s="11">
        <f>O3536+1</f>
        <v>853</v>
      </c>
    </row>
    <row r="3541" spans="1:15" x14ac:dyDescent="0.25">
      <c r="A3541" s="10"/>
      <c r="G3541" s="21"/>
      <c r="H3541" s="21"/>
      <c r="I3541" s="21"/>
      <c r="J3541" s="21"/>
      <c r="K3541" s="21"/>
      <c r="L3541" s="21"/>
      <c r="M3541" s="10"/>
      <c r="O3541" s="11"/>
    </row>
    <row r="3542" spans="1:15" x14ac:dyDescent="0.25">
      <c r="A3542" s="6">
        <v>1750</v>
      </c>
      <c r="B3542" s="5" t="s">
        <v>18</v>
      </c>
      <c r="C3542" s="5" t="s">
        <v>17</v>
      </c>
      <c r="D3542" s="5" t="s">
        <v>454</v>
      </c>
      <c r="E3542" s="5" t="s">
        <v>455</v>
      </c>
      <c r="F3542" s="5" t="s">
        <v>19</v>
      </c>
      <c r="G3542" s="22">
        <v>0.96</v>
      </c>
      <c r="H3542" s="22">
        <v>0</v>
      </c>
      <c r="I3542" s="22">
        <v>0</v>
      </c>
      <c r="J3542" s="22">
        <v>0</v>
      </c>
      <c r="K3542" s="22">
        <v>-0.85</v>
      </c>
      <c r="L3542" s="22">
        <v>0.11</v>
      </c>
      <c r="M3542" s="10"/>
      <c r="O3542" s="11"/>
    </row>
    <row r="3543" spans="1:15" s="4" customFormat="1" x14ac:dyDescent="0.25">
      <c r="A3543" s="6"/>
      <c r="B3543" s="5"/>
      <c r="C3543" s="5"/>
      <c r="D3543" s="5" t="s">
        <v>454</v>
      </c>
      <c r="E3543" s="5" t="s">
        <v>455</v>
      </c>
      <c r="F3543" s="5" t="s">
        <v>19</v>
      </c>
      <c r="G3543" s="14">
        <f t="shared" ref="G3543:L3543" si="893">SUBTOTAL(9,G3542:G3542)</f>
        <v>0.96</v>
      </c>
      <c r="H3543" s="14">
        <f t="shared" si="893"/>
        <v>0</v>
      </c>
      <c r="I3543" s="14">
        <f t="shared" si="893"/>
        <v>0</v>
      </c>
      <c r="J3543" s="14">
        <f t="shared" si="893"/>
        <v>0</v>
      </c>
      <c r="K3543" s="14">
        <f t="shared" si="893"/>
        <v>-0.85</v>
      </c>
      <c r="L3543" s="14">
        <f t="shared" si="893"/>
        <v>0.11</v>
      </c>
      <c r="M3543" s="10">
        <v>2973</v>
      </c>
      <c r="N3543" s="67"/>
      <c r="O3543" s="11">
        <f>O3540+1</f>
        <v>854</v>
      </c>
    </row>
    <row r="3544" spans="1:15" s="4" customFormat="1" x14ac:dyDescent="0.25">
      <c r="A3544" s="10"/>
      <c r="B3544"/>
      <c r="C3544"/>
      <c r="D3544"/>
      <c r="E3544"/>
      <c r="F3544"/>
      <c r="G3544" s="21"/>
      <c r="H3544" s="21"/>
      <c r="I3544" s="21"/>
      <c r="J3544" s="21"/>
      <c r="K3544" s="21"/>
      <c r="L3544" s="21"/>
      <c r="M3544" s="10"/>
      <c r="N3544" s="67"/>
      <c r="O3544" s="11"/>
    </row>
    <row r="3545" spans="1:15" s="4" customFormat="1" x14ac:dyDescent="0.25">
      <c r="A3545" s="6">
        <v>1751</v>
      </c>
      <c r="B3545" s="5" t="s">
        <v>550</v>
      </c>
      <c r="C3545" s="5" t="s">
        <v>13</v>
      </c>
      <c r="D3545" s="5" t="s">
        <v>454</v>
      </c>
      <c r="E3545" s="5" t="s">
        <v>455</v>
      </c>
      <c r="F3545" s="5" t="s">
        <v>551</v>
      </c>
      <c r="G3545" s="22">
        <v>0</v>
      </c>
      <c r="H3545" s="22">
        <v>0</v>
      </c>
      <c r="I3545" s="22">
        <v>0</v>
      </c>
      <c r="J3545" s="22">
        <v>11890.56</v>
      </c>
      <c r="K3545" s="22">
        <v>0</v>
      </c>
      <c r="L3545" s="22">
        <v>11890.56</v>
      </c>
      <c r="M3545" s="10"/>
      <c r="N3545" s="67"/>
      <c r="O3545" s="11"/>
    </row>
    <row r="3546" spans="1:15" x14ac:dyDescent="0.25">
      <c r="A3546" s="6">
        <v>1752</v>
      </c>
      <c r="B3546" s="5" t="s">
        <v>550</v>
      </c>
      <c r="C3546" s="5" t="s">
        <v>13</v>
      </c>
      <c r="D3546" s="5" t="s">
        <v>454</v>
      </c>
      <c r="E3546" s="5" t="s">
        <v>455</v>
      </c>
      <c r="F3546" s="5" t="s">
        <v>551</v>
      </c>
      <c r="G3546" s="22">
        <v>0</v>
      </c>
      <c r="H3546" s="22">
        <v>0</v>
      </c>
      <c r="I3546" s="22">
        <v>0</v>
      </c>
      <c r="J3546" s="22">
        <v>2067.83</v>
      </c>
      <c r="K3546" s="22">
        <v>0</v>
      </c>
      <c r="L3546" s="22">
        <v>2067.83</v>
      </c>
      <c r="M3546" s="10"/>
      <c r="O3546" s="11"/>
    </row>
    <row r="3547" spans="1:15" x14ac:dyDescent="0.25">
      <c r="A3547" s="6">
        <v>1753</v>
      </c>
      <c r="B3547" s="5" t="s">
        <v>550</v>
      </c>
      <c r="C3547" s="5" t="s">
        <v>17</v>
      </c>
      <c r="D3547" s="5" t="s">
        <v>454</v>
      </c>
      <c r="E3547" s="5" t="s">
        <v>455</v>
      </c>
      <c r="F3547" s="5" t="s">
        <v>551</v>
      </c>
      <c r="G3547" s="22">
        <v>99088.03</v>
      </c>
      <c r="H3547" s="22">
        <v>0</v>
      </c>
      <c r="I3547" s="22">
        <v>0</v>
      </c>
      <c r="J3547" s="22">
        <v>0</v>
      </c>
      <c r="K3547" s="22">
        <v>-1981.76</v>
      </c>
      <c r="L3547" s="22">
        <v>97106.27</v>
      </c>
      <c r="M3547" s="10"/>
      <c r="O3547" s="11"/>
    </row>
    <row r="3548" spans="1:15" s="4" customFormat="1" x14ac:dyDescent="0.25">
      <c r="A3548" s="6">
        <v>1754</v>
      </c>
      <c r="B3548" s="5" t="s">
        <v>550</v>
      </c>
      <c r="C3548" s="5" t="s">
        <v>17</v>
      </c>
      <c r="D3548" s="5" t="s">
        <v>454</v>
      </c>
      <c r="E3548" s="5" t="s">
        <v>455</v>
      </c>
      <c r="F3548" s="5" t="s">
        <v>551</v>
      </c>
      <c r="G3548" s="22">
        <v>17231.939999999999</v>
      </c>
      <c r="H3548" s="22">
        <v>0</v>
      </c>
      <c r="I3548" s="22">
        <v>0</v>
      </c>
      <c r="J3548" s="22">
        <v>0</v>
      </c>
      <c r="K3548" s="22">
        <v>-344.64</v>
      </c>
      <c r="L3548" s="22">
        <v>16887.3</v>
      </c>
      <c r="M3548" s="10"/>
      <c r="N3548" s="67"/>
      <c r="O3548" s="11"/>
    </row>
    <row r="3549" spans="1:15" s="4" customFormat="1" x14ac:dyDescent="0.25">
      <c r="A3549" s="6"/>
      <c r="B3549" s="5"/>
      <c r="C3549" s="5"/>
      <c r="D3549" s="5" t="s">
        <v>454</v>
      </c>
      <c r="E3549" s="5" t="s">
        <v>455</v>
      </c>
      <c r="F3549" s="5" t="s">
        <v>551</v>
      </c>
      <c r="G3549" s="14">
        <f t="shared" ref="G3549:L3549" si="894">SUBTOTAL(9,G3545:G3548)</f>
        <v>116319.97</v>
      </c>
      <c r="H3549" s="14">
        <f t="shared" si="894"/>
        <v>0</v>
      </c>
      <c r="I3549" s="14">
        <f t="shared" si="894"/>
        <v>0</v>
      </c>
      <c r="J3549" s="14">
        <f t="shared" si="894"/>
        <v>13958.39</v>
      </c>
      <c r="K3549" s="14">
        <f t="shared" si="894"/>
        <v>-2326.4</v>
      </c>
      <c r="L3549" s="14">
        <f t="shared" si="894"/>
        <v>127951.96</v>
      </c>
      <c r="M3549" s="10">
        <v>2974</v>
      </c>
      <c r="N3549" s="67"/>
      <c r="O3549" s="11">
        <f>O3543+1</f>
        <v>855</v>
      </c>
    </row>
    <row r="3550" spans="1:15" x14ac:dyDescent="0.25">
      <c r="A3550" s="10"/>
      <c r="G3550" s="21"/>
      <c r="H3550" s="21"/>
      <c r="I3550" s="21"/>
      <c r="J3550" s="21"/>
      <c r="K3550" s="21"/>
      <c r="L3550" s="21"/>
      <c r="M3550" s="10"/>
      <c r="O3550" s="11"/>
    </row>
    <row r="3551" spans="1:15" x14ac:dyDescent="0.25">
      <c r="A3551" s="6">
        <v>1755</v>
      </c>
      <c r="B3551" s="5" t="s">
        <v>550</v>
      </c>
      <c r="C3551" s="5" t="s">
        <v>13</v>
      </c>
      <c r="D3551" s="5" t="s">
        <v>454</v>
      </c>
      <c r="E3551" s="5" t="s">
        <v>455</v>
      </c>
      <c r="F3551" s="5" t="s">
        <v>552</v>
      </c>
      <c r="G3551" s="22">
        <v>0</v>
      </c>
      <c r="H3551" s="22">
        <v>0</v>
      </c>
      <c r="I3551" s="22">
        <v>0</v>
      </c>
      <c r="J3551" s="22">
        <v>0.86</v>
      </c>
      <c r="K3551" s="22">
        <v>0</v>
      </c>
      <c r="L3551" s="22">
        <v>0.86</v>
      </c>
      <c r="M3551" s="10"/>
      <c r="O3551" s="11"/>
    </row>
    <row r="3552" spans="1:15" s="4" customFormat="1" x14ac:dyDescent="0.25">
      <c r="A3552" s="6">
        <v>1756</v>
      </c>
      <c r="B3552" s="5" t="s">
        <v>550</v>
      </c>
      <c r="C3552" s="5" t="s">
        <v>13</v>
      </c>
      <c r="D3552" s="5" t="s">
        <v>454</v>
      </c>
      <c r="E3552" s="5" t="s">
        <v>455</v>
      </c>
      <c r="F3552" s="5" t="s">
        <v>552</v>
      </c>
      <c r="G3552" s="22">
        <v>0</v>
      </c>
      <c r="H3552" s="22">
        <v>0</v>
      </c>
      <c r="I3552" s="22">
        <v>0</v>
      </c>
      <c r="J3552" s="22">
        <v>0.15</v>
      </c>
      <c r="K3552" s="22">
        <v>0</v>
      </c>
      <c r="L3552" s="22">
        <v>0.15</v>
      </c>
      <c r="M3552" s="10"/>
      <c r="N3552" s="67"/>
      <c r="O3552" s="11"/>
    </row>
    <row r="3553" spans="1:15" x14ac:dyDescent="0.25">
      <c r="A3553" s="6">
        <v>1757</v>
      </c>
      <c r="B3553" s="5" t="s">
        <v>550</v>
      </c>
      <c r="C3553" s="5" t="s">
        <v>17</v>
      </c>
      <c r="D3553" s="5" t="s">
        <v>454</v>
      </c>
      <c r="E3553" s="5" t="s">
        <v>455</v>
      </c>
      <c r="F3553" s="5" t="s">
        <v>552</v>
      </c>
      <c r="G3553" s="22">
        <v>7.13</v>
      </c>
      <c r="H3553" s="22">
        <v>0</v>
      </c>
      <c r="I3553" s="22">
        <v>0</v>
      </c>
      <c r="J3553" s="22">
        <v>0</v>
      </c>
      <c r="K3553" s="22">
        <v>-0.14000000000000001</v>
      </c>
      <c r="L3553" s="22">
        <v>6.99</v>
      </c>
      <c r="M3553" s="10"/>
      <c r="O3553" s="11"/>
    </row>
    <row r="3554" spans="1:15" x14ac:dyDescent="0.25">
      <c r="A3554" s="6">
        <v>1758</v>
      </c>
      <c r="B3554" s="5" t="s">
        <v>550</v>
      </c>
      <c r="C3554" s="5" t="s">
        <v>17</v>
      </c>
      <c r="D3554" s="5" t="s">
        <v>454</v>
      </c>
      <c r="E3554" s="5" t="s">
        <v>455</v>
      </c>
      <c r="F3554" s="5" t="s">
        <v>552</v>
      </c>
      <c r="G3554" s="22">
        <v>1.24</v>
      </c>
      <c r="H3554" s="22">
        <v>0</v>
      </c>
      <c r="I3554" s="22">
        <v>0</v>
      </c>
      <c r="J3554" s="22">
        <v>0</v>
      </c>
      <c r="K3554" s="22">
        <v>-0.02</v>
      </c>
      <c r="L3554" s="22">
        <v>1.22</v>
      </c>
      <c r="M3554" s="10"/>
      <c r="O3554" s="11"/>
    </row>
    <row r="3555" spans="1:15" s="4" customFormat="1" x14ac:dyDescent="0.25">
      <c r="A3555" s="6"/>
      <c r="B3555" s="5"/>
      <c r="C3555" s="5"/>
      <c r="D3555" s="5" t="s">
        <v>454</v>
      </c>
      <c r="E3555" s="5" t="s">
        <v>455</v>
      </c>
      <c r="F3555" s="5" t="s">
        <v>552</v>
      </c>
      <c r="G3555" s="14">
        <f t="shared" ref="G3555:L3555" si="895">SUBTOTAL(9,G3551:G3554)</f>
        <v>8.3699999999999992</v>
      </c>
      <c r="H3555" s="14">
        <f t="shared" si="895"/>
        <v>0</v>
      </c>
      <c r="I3555" s="14">
        <f t="shared" si="895"/>
        <v>0</v>
      </c>
      <c r="J3555" s="14">
        <f t="shared" si="895"/>
        <v>1.01</v>
      </c>
      <c r="K3555" s="14">
        <f t="shared" si="895"/>
        <v>-0.16</v>
      </c>
      <c r="L3555" s="14">
        <f t="shared" si="895"/>
        <v>9.2200000000000006</v>
      </c>
      <c r="M3555" s="10">
        <v>2975</v>
      </c>
      <c r="N3555" s="67"/>
      <c r="O3555" s="11">
        <f>O3549+1</f>
        <v>856</v>
      </c>
    </row>
    <row r="3556" spans="1:15" x14ac:dyDescent="0.25">
      <c r="A3556" s="10"/>
      <c r="G3556" s="21"/>
      <c r="H3556" s="21"/>
      <c r="I3556" s="21"/>
      <c r="J3556" s="21"/>
      <c r="K3556" s="21"/>
      <c r="L3556" s="21"/>
      <c r="M3556" s="10"/>
      <c r="O3556" s="11"/>
    </row>
    <row r="3557" spans="1:15" x14ac:dyDescent="0.25">
      <c r="A3557" s="6">
        <v>1759</v>
      </c>
      <c r="B3557" s="5" t="s">
        <v>555</v>
      </c>
      <c r="C3557" s="5" t="s">
        <v>17</v>
      </c>
      <c r="D3557" s="5" t="s">
        <v>456</v>
      </c>
      <c r="E3557" s="5" t="s">
        <v>457</v>
      </c>
      <c r="F3557" s="5" t="s">
        <v>556</v>
      </c>
      <c r="G3557" s="22">
        <v>92.13</v>
      </c>
      <c r="H3557" s="22">
        <v>0</v>
      </c>
      <c r="I3557" s="22">
        <v>0</v>
      </c>
      <c r="J3557" s="22">
        <v>0</v>
      </c>
      <c r="K3557" s="22">
        <v>-1.84</v>
      </c>
      <c r="L3557" s="22">
        <v>90.29</v>
      </c>
      <c r="M3557" s="10"/>
      <c r="O3557" s="11"/>
    </row>
    <row r="3558" spans="1:15" s="4" customFormat="1" x14ac:dyDescent="0.25">
      <c r="A3558" s="6">
        <v>1760</v>
      </c>
      <c r="B3558" s="5" t="s">
        <v>555</v>
      </c>
      <c r="C3558" s="5" t="s">
        <v>13</v>
      </c>
      <c r="D3558" s="5" t="s">
        <v>456</v>
      </c>
      <c r="E3558" s="5" t="s">
        <v>457</v>
      </c>
      <c r="F3558" s="5" t="s">
        <v>556</v>
      </c>
      <c r="G3558" s="22">
        <v>0</v>
      </c>
      <c r="H3558" s="22">
        <v>0</v>
      </c>
      <c r="I3558" s="22">
        <v>0</v>
      </c>
      <c r="J3558" s="22">
        <v>11.06</v>
      </c>
      <c r="K3558" s="22">
        <v>0</v>
      </c>
      <c r="L3558" s="22">
        <v>11.06</v>
      </c>
      <c r="M3558" s="10"/>
      <c r="N3558" s="67"/>
      <c r="O3558" s="11"/>
    </row>
    <row r="3559" spans="1:15" x14ac:dyDescent="0.25">
      <c r="A3559" s="6"/>
      <c r="B3559" s="5"/>
      <c r="C3559" s="5"/>
      <c r="D3559" s="5" t="s">
        <v>456</v>
      </c>
      <c r="E3559" s="5" t="s">
        <v>457</v>
      </c>
      <c r="F3559" s="5" t="s">
        <v>556</v>
      </c>
      <c r="G3559" s="14">
        <f t="shared" ref="G3559:L3559" si="896">SUBTOTAL(9,G3557:G3558)</f>
        <v>92.13</v>
      </c>
      <c r="H3559" s="14">
        <f t="shared" si="896"/>
        <v>0</v>
      </c>
      <c r="I3559" s="14">
        <f t="shared" si="896"/>
        <v>0</v>
      </c>
      <c r="J3559" s="14">
        <f t="shared" si="896"/>
        <v>11.06</v>
      </c>
      <c r="K3559" s="14">
        <f t="shared" si="896"/>
        <v>-1.84</v>
      </c>
      <c r="L3559" s="14">
        <f t="shared" si="896"/>
        <v>101.35000000000001</v>
      </c>
      <c r="M3559" s="10">
        <v>2976</v>
      </c>
      <c r="O3559" s="11">
        <f>O3555+1</f>
        <v>857</v>
      </c>
    </row>
    <row r="3560" spans="1:15" x14ac:dyDescent="0.25">
      <c r="A3560" s="10"/>
      <c r="G3560" s="21"/>
      <c r="H3560" s="21"/>
      <c r="I3560" s="21"/>
      <c r="J3560" s="21"/>
      <c r="K3560" s="21"/>
      <c r="L3560" s="21"/>
      <c r="M3560" s="10"/>
      <c r="O3560" s="11"/>
    </row>
    <row r="3561" spans="1:15" s="4" customFormat="1" x14ac:dyDescent="0.25">
      <c r="A3561" s="6">
        <v>1761</v>
      </c>
      <c r="B3561" s="5" t="s">
        <v>557</v>
      </c>
      <c r="C3561" s="5" t="s">
        <v>17</v>
      </c>
      <c r="D3561" s="5" t="s">
        <v>456</v>
      </c>
      <c r="E3561" s="5" t="s">
        <v>457</v>
      </c>
      <c r="F3561" s="5" t="s">
        <v>558</v>
      </c>
      <c r="G3561" s="22">
        <v>54.02</v>
      </c>
      <c r="H3561" s="22">
        <v>0</v>
      </c>
      <c r="I3561" s="22">
        <v>0</v>
      </c>
      <c r="J3561" s="22">
        <v>0</v>
      </c>
      <c r="K3561" s="22">
        <v>-1.08</v>
      </c>
      <c r="L3561" s="22">
        <v>52.94</v>
      </c>
      <c r="M3561" s="10"/>
      <c r="N3561" s="67"/>
      <c r="O3561" s="11"/>
    </row>
    <row r="3562" spans="1:15" s="4" customFormat="1" x14ac:dyDescent="0.25">
      <c r="A3562" s="6">
        <v>1762</v>
      </c>
      <c r="B3562" s="5" t="s">
        <v>557</v>
      </c>
      <c r="C3562" s="5" t="s">
        <v>13</v>
      </c>
      <c r="D3562" s="5" t="s">
        <v>456</v>
      </c>
      <c r="E3562" s="5" t="s">
        <v>457</v>
      </c>
      <c r="F3562" s="5" t="s">
        <v>558</v>
      </c>
      <c r="G3562" s="22">
        <v>0</v>
      </c>
      <c r="H3562" s="22">
        <v>0</v>
      </c>
      <c r="I3562" s="22">
        <v>0</v>
      </c>
      <c r="J3562" s="22">
        <v>6.48</v>
      </c>
      <c r="K3562" s="22">
        <v>0</v>
      </c>
      <c r="L3562" s="22">
        <v>6.48</v>
      </c>
      <c r="M3562" s="10"/>
      <c r="N3562" s="67"/>
      <c r="O3562" s="11"/>
    </row>
    <row r="3563" spans="1:15" x14ac:dyDescent="0.25">
      <c r="A3563" s="6"/>
      <c r="B3563" s="5"/>
      <c r="C3563" s="5"/>
      <c r="D3563" s="5" t="s">
        <v>456</v>
      </c>
      <c r="E3563" s="5" t="s">
        <v>457</v>
      </c>
      <c r="F3563" s="5" t="s">
        <v>558</v>
      </c>
      <c r="G3563" s="14">
        <f t="shared" ref="G3563:L3563" si="897">SUBTOTAL(9,G3561:G3562)</f>
        <v>54.02</v>
      </c>
      <c r="H3563" s="14">
        <f t="shared" si="897"/>
        <v>0</v>
      </c>
      <c r="I3563" s="14">
        <f t="shared" si="897"/>
        <v>0</v>
      </c>
      <c r="J3563" s="14">
        <f t="shared" si="897"/>
        <v>6.48</v>
      </c>
      <c r="K3563" s="14">
        <f t="shared" si="897"/>
        <v>-1.08</v>
      </c>
      <c r="L3563" s="14">
        <f t="shared" si="897"/>
        <v>59.42</v>
      </c>
      <c r="M3563" s="10">
        <v>2977</v>
      </c>
      <c r="O3563" s="11">
        <f>O3559+1</f>
        <v>858</v>
      </c>
    </row>
    <row r="3564" spans="1:15" x14ac:dyDescent="0.25">
      <c r="A3564" s="10"/>
      <c r="G3564" s="21"/>
      <c r="H3564" s="21"/>
      <c r="I3564" s="21"/>
      <c r="J3564" s="21"/>
      <c r="K3564" s="21"/>
      <c r="L3564" s="21"/>
      <c r="M3564" s="10"/>
      <c r="O3564" s="11"/>
    </row>
    <row r="3565" spans="1:15" s="4" customFormat="1" x14ac:dyDescent="0.25">
      <c r="A3565" s="6">
        <v>1763</v>
      </c>
      <c r="B3565" s="5" t="s">
        <v>559</v>
      </c>
      <c r="C3565" s="5" t="s">
        <v>17</v>
      </c>
      <c r="D3565" s="5" t="s">
        <v>456</v>
      </c>
      <c r="E3565" s="5" t="s">
        <v>457</v>
      </c>
      <c r="F3565" s="5" t="s">
        <v>560</v>
      </c>
      <c r="G3565" s="22">
        <v>0.62</v>
      </c>
      <c r="H3565" s="22">
        <v>0</v>
      </c>
      <c r="I3565" s="22">
        <v>0</v>
      </c>
      <c r="J3565" s="22">
        <v>0</v>
      </c>
      <c r="K3565" s="22">
        <v>-0.01</v>
      </c>
      <c r="L3565" s="22">
        <v>0.61</v>
      </c>
      <c r="M3565" s="10"/>
      <c r="N3565" s="67"/>
      <c r="O3565" s="11"/>
    </row>
    <row r="3566" spans="1:15" s="4" customFormat="1" x14ac:dyDescent="0.25">
      <c r="A3566" s="6">
        <v>1764</v>
      </c>
      <c r="B3566" s="5" t="s">
        <v>559</v>
      </c>
      <c r="C3566" s="5" t="s">
        <v>17</v>
      </c>
      <c r="D3566" s="5" t="s">
        <v>456</v>
      </c>
      <c r="E3566" s="5" t="s">
        <v>457</v>
      </c>
      <c r="F3566" s="5" t="s">
        <v>560</v>
      </c>
      <c r="G3566" s="22">
        <v>1.18</v>
      </c>
      <c r="H3566" s="22">
        <v>0</v>
      </c>
      <c r="I3566" s="22">
        <v>0</v>
      </c>
      <c r="J3566" s="22">
        <v>0</v>
      </c>
      <c r="K3566" s="22">
        <v>-0.02</v>
      </c>
      <c r="L3566" s="22">
        <v>1.1599999999999999</v>
      </c>
      <c r="M3566" s="10"/>
      <c r="N3566" s="67"/>
      <c r="O3566" s="11"/>
    </row>
    <row r="3567" spans="1:15" x14ac:dyDescent="0.25">
      <c r="A3567" s="6">
        <v>1765</v>
      </c>
      <c r="B3567" s="5" t="s">
        <v>559</v>
      </c>
      <c r="C3567" s="5" t="s">
        <v>17</v>
      </c>
      <c r="D3567" s="5" t="s">
        <v>456</v>
      </c>
      <c r="E3567" s="5" t="s">
        <v>457</v>
      </c>
      <c r="F3567" s="5" t="s">
        <v>560</v>
      </c>
      <c r="G3567" s="22">
        <v>0.01</v>
      </c>
      <c r="H3567" s="22">
        <v>0</v>
      </c>
      <c r="I3567" s="22">
        <v>0</v>
      </c>
      <c r="J3567" s="22">
        <v>0</v>
      </c>
      <c r="K3567" s="22">
        <v>0</v>
      </c>
      <c r="L3567" s="22">
        <v>0.01</v>
      </c>
      <c r="M3567" s="10"/>
      <c r="O3567" s="11"/>
    </row>
    <row r="3568" spans="1:15" x14ac:dyDescent="0.25">
      <c r="A3568" s="6">
        <v>1766</v>
      </c>
      <c r="B3568" s="5" t="s">
        <v>559</v>
      </c>
      <c r="C3568" s="5" t="s">
        <v>17</v>
      </c>
      <c r="D3568" s="5" t="s">
        <v>456</v>
      </c>
      <c r="E3568" s="5" t="s">
        <v>457</v>
      </c>
      <c r="F3568" s="5" t="s">
        <v>560</v>
      </c>
      <c r="G3568" s="22">
        <v>0.02</v>
      </c>
      <c r="H3568" s="22">
        <v>0</v>
      </c>
      <c r="I3568" s="22">
        <v>0</v>
      </c>
      <c r="J3568" s="22">
        <v>0</v>
      </c>
      <c r="K3568" s="22">
        <v>0</v>
      </c>
      <c r="L3568" s="22">
        <v>0.02</v>
      </c>
      <c r="M3568" s="10"/>
      <c r="O3568" s="11"/>
    </row>
    <row r="3569" spans="1:15" s="4" customFormat="1" x14ac:dyDescent="0.25">
      <c r="A3569" s="6">
        <v>1767</v>
      </c>
      <c r="B3569" s="5" t="s">
        <v>559</v>
      </c>
      <c r="C3569" s="5" t="s">
        <v>17</v>
      </c>
      <c r="D3569" s="5" t="s">
        <v>456</v>
      </c>
      <c r="E3569" s="5" t="s">
        <v>457</v>
      </c>
      <c r="F3569" s="5" t="s">
        <v>560</v>
      </c>
      <c r="G3569" s="22">
        <v>10.19</v>
      </c>
      <c r="H3569" s="22">
        <v>0</v>
      </c>
      <c r="I3569" s="22">
        <v>0</v>
      </c>
      <c r="J3569" s="22">
        <v>0</v>
      </c>
      <c r="K3569" s="22">
        <v>-0.2</v>
      </c>
      <c r="L3569" s="22">
        <v>9.99</v>
      </c>
      <c r="M3569" s="10"/>
      <c r="N3569" s="67"/>
      <c r="O3569" s="11"/>
    </row>
    <row r="3570" spans="1:15" s="4" customFormat="1" x14ac:dyDescent="0.25">
      <c r="A3570" s="6">
        <v>1768</v>
      </c>
      <c r="B3570" s="5" t="s">
        <v>559</v>
      </c>
      <c r="C3570" s="5" t="s">
        <v>17</v>
      </c>
      <c r="D3570" s="5" t="s">
        <v>456</v>
      </c>
      <c r="E3570" s="5" t="s">
        <v>457</v>
      </c>
      <c r="F3570" s="5" t="s">
        <v>560</v>
      </c>
      <c r="G3570" s="22">
        <v>0.05</v>
      </c>
      <c r="H3570" s="22">
        <v>0</v>
      </c>
      <c r="I3570" s="22">
        <v>0</v>
      </c>
      <c r="J3570" s="22">
        <v>0</v>
      </c>
      <c r="K3570" s="22">
        <v>0</v>
      </c>
      <c r="L3570" s="22">
        <v>0.05</v>
      </c>
      <c r="M3570" s="10"/>
      <c r="N3570" s="67"/>
      <c r="O3570" s="11"/>
    </row>
    <row r="3571" spans="1:15" x14ac:dyDescent="0.25">
      <c r="A3571" s="6">
        <v>1769</v>
      </c>
      <c r="B3571" s="5" t="s">
        <v>559</v>
      </c>
      <c r="C3571" s="5" t="s">
        <v>17</v>
      </c>
      <c r="D3571" s="5" t="s">
        <v>456</v>
      </c>
      <c r="E3571" s="5" t="s">
        <v>457</v>
      </c>
      <c r="F3571" s="5" t="s">
        <v>560</v>
      </c>
      <c r="G3571" s="22">
        <v>0.19</v>
      </c>
      <c r="H3571" s="22">
        <v>0</v>
      </c>
      <c r="I3571" s="22">
        <v>0</v>
      </c>
      <c r="J3571" s="22">
        <v>0</v>
      </c>
      <c r="K3571" s="22">
        <v>0</v>
      </c>
      <c r="L3571" s="22">
        <v>0.19</v>
      </c>
      <c r="M3571" s="10"/>
      <c r="O3571" s="11"/>
    </row>
    <row r="3572" spans="1:15" x14ac:dyDescent="0.25">
      <c r="A3572" s="6">
        <v>1770</v>
      </c>
      <c r="B3572" s="5" t="s">
        <v>559</v>
      </c>
      <c r="C3572" s="5" t="s">
        <v>13</v>
      </c>
      <c r="D3572" s="5" t="s">
        <v>456</v>
      </c>
      <c r="E3572" s="5" t="s">
        <v>457</v>
      </c>
      <c r="F3572" s="5" t="s">
        <v>560</v>
      </c>
      <c r="G3572" s="22">
        <v>0</v>
      </c>
      <c r="H3572" s="22">
        <v>0</v>
      </c>
      <c r="I3572" s="22">
        <v>0</v>
      </c>
      <c r="J3572" s="22">
        <v>7.0000000000000007E-2</v>
      </c>
      <c r="K3572" s="22">
        <v>0</v>
      </c>
      <c r="L3572" s="22">
        <v>7.0000000000000007E-2</v>
      </c>
      <c r="M3572" s="10"/>
      <c r="O3572" s="11"/>
    </row>
    <row r="3573" spans="1:15" s="4" customFormat="1" x14ac:dyDescent="0.25">
      <c r="A3573" s="6">
        <v>1771</v>
      </c>
      <c r="B3573" s="5" t="s">
        <v>559</v>
      </c>
      <c r="C3573" s="5" t="s">
        <v>13</v>
      </c>
      <c r="D3573" s="5" t="s">
        <v>456</v>
      </c>
      <c r="E3573" s="5" t="s">
        <v>457</v>
      </c>
      <c r="F3573" s="5" t="s">
        <v>560</v>
      </c>
      <c r="G3573" s="22">
        <v>0</v>
      </c>
      <c r="H3573" s="22">
        <v>0</v>
      </c>
      <c r="I3573" s="22">
        <v>0</v>
      </c>
      <c r="J3573" s="22">
        <v>0.14000000000000001</v>
      </c>
      <c r="K3573" s="22">
        <v>0</v>
      </c>
      <c r="L3573" s="22">
        <v>0.14000000000000001</v>
      </c>
      <c r="M3573" s="10"/>
      <c r="N3573" s="67"/>
      <c r="O3573" s="11"/>
    </row>
    <row r="3574" spans="1:15" s="4" customFormat="1" x14ac:dyDescent="0.25">
      <c r="A3574" s="6">
        <v>1772</v>
      </c>
      <c r="B3574" s="5" t="s">
        <v>559</v>
      </c>
      <c r="C3574" s="5" t="s">
        <v>13</v>
      </c>
      <c r="D3574" s="5" t="s">
        <v>456</v>
      </c>
      <c r="E3574" s="5" t="s">
        <v>457</v>
      </c>
      <c r="F3574" s="5" t="s">
        <v>560</v>
      </c>
      <c r="G3574" s="22">
        <v>0</v>
      </c>
      <c r="H3574" s="22">
        <v>0</v>
      </c>
      <c r="I3574" s="22">
        <v>0</v>
      </c>
      <c r="J3574" s="22">
        <v>0</v>
      </c>
      <c r="K3574" s="22">
        <v>0</v>
      </c>
      <c r="L3574" s="22">
        <v>0</v>
      </c>
      <c r="M3574" s="10"/>
      <c r="N3574" s="67"/>
      <c r="O3574" s="11"/>
    </row>
    <row r="3575" spans="1:15" x14ac:dyDescent="0.25">
      <c r="A3575" s="6">
        <v>1773</v>
      </c>
      <c r="B3575" s="5" t="s">
        <v>559</v>
      </c>
      <c r="C3575" s="5" t="s">
        <v>13</v>
      </c>
      <c r="D3575" s="5" t="s">
        <v>456</v>
      </c>
      <c r="E3575" s="5" t="s">
        <v>457</v>
      </c>
      <c r="F3575" s="5" t="s">
        <v>560</v>
      </c>
      <c r="G3575" s="22">
        <v>0</v>
      </c>
      <c r="H3575" s="22">
        <v>0</v>
      </c>
      <c r="I3575" s="22">
        <v>0</v>
      </c>
      <c r="J3575" s="22">
        <v>0</v>
      </c>
      <c r="K3575" s="22">
        <v>0</v>
      </c>
      <c r="L3575" s="22">
        <v>0</v>
      </c>
      <c r="M3575" s="10"/>
      <c r="O3575" s="11"/>
    </row>
    <row r="3576" spans="1:15" x14ac:dyDescent="0.25">
      <c r="A3576" s="6">
        <v>1774</v>
      </c>
      <c r="B3576" s="5" t="s">
        <v>559</v>
      </c>
      <c r="C3576" s="5" t="s">
        <v>13</v>
      </c>
      <c r="D3576" s="5" t="s">
        <v>456</v>
      </c>
      <c r="E3576" s="5" t="s">
        <v>457</v>
      </c>
      <c r="F3576" s="5" t="s">
        <v>560</v>
      </c>
      <c r="G3576" s="22">
        <v>0</v>
      </c>
      <c r="H3576" s="22">
        <v>0</v>
      </c>
      <c r="I3576" s="22">
        <v>0</v>
      </c>
      <c r="J3576" s="22">
        <v>1.22</v>
      </c>
      <c r="K3576" s="22">
        <v>0</v>
      </c>
      <c r="L3576" s="22">
        <v>1.22</v>
      </c>
      <c r="M3576" s="10"/>
      <c r="O3576" s="11"/>
    </row>
    <row r="3577" spans="1:15" s="4" customFormat="1" x14ac:dyDescent="0.25">
      <c r="A3577" s="6">
        <v>1775</v>
      </c>
      <c r="B3577" s="5" t="s">
        <v>559</v>
      </c>
      <c r="C3577" s="5" t="s">
        <v>13</v>
      </c>
      <c r="D3577" s="5" t="s">
        <v>456</v>
      </c>
      <c r="E3577" s="5" t="s">
        <v>457</v>
      </c>
      <c r="F3577" s="5" t="s">
        <v>560</v>
      </c>
      <c r="G3577" s="22">
        <v>0</v>
      </c>
      <c r="H3577" s="22">
        <v>0</v>
      </c>
      <c r="I3577" s="22">
        <v>0</v>
      </c>
      <c r="J3577" s="22">
        <v>0.01</v>
      </c>
      <c r="K3577" s="22">
        <v>0</v>
      </c>
      <c r="L3577" s="22">
        <v>0.01</v>
      </c>
      <c r="M3577" s="10"/>
      <c r="N3577" s="67"/>
      <c r="O3577" s="11"/>
    </row>
    <row r="3578" spans="1:15" x14ac:dyDescent="0.25">
      <c r="A3578" s="6">
        <v>1776</v>
      </c>
      <c r="B3578" s="5" t="s">
        <v>559</v>
      </c>
      <c r="C3578" s="5" t="s">
        <v>13</v>
      </c>
      <c r="D3578" s="5" t="s">
        <v>456</v>
      </c>
      <c r="E3578" s="5" t="s">
        <v>457</v>
      </c>
      <c r="F3578" s="5" t="s">
        <v>560</v>
      </c>
      <c r="G3578" s="22">
        <v>0</v>
      </c>
      <c r="H3578" s="22">
        <v>0</v>
      </c>
      <c r="I3578" s="22">
        <v>0</v>
      </c>
      <c r="J3578" s="22">
        <v>0.02</v>
      </c>
      <c r="K3578" s="22">
        <v>0</v>
      </c>
      <c r="L3578" s="22">
        <v>0.02</v>
      </c>
      <c r="M3578" s="10"/>
      <c r="O3578" s="11"/>
    </row>
    <row r="3579" spans="1:15" x14ac:dyDescent="0.25">
      <c r="A3579" s="6"/>
      <c r="B3579" s="5"/>
      <c r="C3579" s="5"/>
      <c r="D3579" s="5" t="s">
        <v>456</v>
      </c>
      <c r="E3579" s="5" t="s">
        <v>457</v>
      </c>
      <c r="F3579" s="5" t="s">
        <v>560</v>
      </c>
      <c r="G3579" s="14">
        <f t="shared" ref="G3579:L3579" si="898">SUBTOTAL(9,G3565:G3578)</f>
        <v>12.26</v>
      </c>
      <c r="H3579" s="14">
        <f t="shared" si="898"/>
        <v>0</v>
      </c>
      <c r="I3579" s="14">
        <f t="shared" si="898"/>
        <v>0</v>
      </c>
      <c r="J3579" s="14">
        <f t="shared" si="898"/>
        <v>1.46</v>
      </c>
      <c r="K3579" s="14">
        <f t="shared" si="898"/>
        <v>-0.23</v>
      </c>
      <c r="L3579" s="14">
        <f t="shared" si="898"/>
        <v>13.490000000000002</v>
      </c>
      <c r="M3579" s="10">
        <v>2978</v>
      </c>
      <c r="O3579" s="11">
        <f>O3563+1</f>
        <v>859</v>
      </c>
    </row>
    <row r="3580" spans="1:15" s="4" customFormat="1" x14ac:dyDescent="0.25">
      <c r="A3580" s="10"/>
      <c r="B3580"/>
      <c r="C3580"/>
      <c r="D3580"/>
      <c r="E3580"/>
      <c r="F3580"/>
      <c r="G3580" s="21"/>
      <c r="H3580" s="21"/>
      <c r="I3580" s="21"/>
      <c r="J3580" s="21"/>
      <c r="K3580" s="21"/>
      <c r="L3580" s="21"/>
      <c r="M3580" s="10"/>
      <c r="N3580" s="67"/>
      <c r="O3580" s="11"/>
    </row>
    <row r="3581" spans="1:15" x14ac:dyDescent="0.25">
      <c r="A3581" s="6">
        <v>1777</v>
      </c>
      <c r="B3581" s="5" t="s">
        <v>18</v>
      </c>
      <c r="C3581" s="5" t="s">
        <v>17</v>
      </c>
      <c r="D3581" s="5" t="s">
        <v>456</v>
      </c>
      <c r="E3581" s="5" t="s">
        <v>457</v>
      </c>
      <c r="F3581" s="5" t="s">
        <v>19</v>
      </c>
      <c r="G3581" s="22">
        <v>10.66</v>
      </c>
      <c r="H3581" s="22">
        <v>0</v>
      </c>
      <c r="I3581" s="22">
        <v>0</v>
      </c>
      <c r="J3581" s="22">
        <v>0</v>
      </c>
      <c r="K3581" s="22">
        <v>-9.4600000000000009</v>
      </c>
      <c r="L3581" s="22">
        <v>1.2</v>
      </c>
      <c r="M3581" s="10"/>
      <c r="O3581" s="11"/>
    </row>
    <row r="3582" spans="1:15" x14ac:dyDescent="0.25">
      <c r="A3582" s="6">
        <v>1778</v>
      </c>
      <c r="B3582" s="5" t="s">
        <v>18</v>
      </c>
      <c r="C3582" s="5" t="s">
        <v>17</v>
      </c>
      <c r="D3582" s="5" t="s">
        <v>456</v>
      </c>
      <c r="E3582" s="5" t="s">
        <v>457</v>
      </c>
      <c r="F3582" s="5" t="s">
        <v>19</v>
      </c>
      <c r="G3582" s="22">
        <v>0.01</v>
      </c>
      <c r="H3582" s="22">
        <v>0</v>
      </c>
      <c r="I3582" s="22">
        <v>0</v>
      </c>
      <c r="J3582" s="22">
        <v>0</v>
      </c>
      <c r="K3582" s="22">
        <v>-0.01</v>
      </c>
      <c r="L3582" s="22">
        <v>0</v>
      </c>
      <c r="M3582" s="10"/>
      <c r="O3582" s="11"/>
    </row>
    <row r="3583" spans="1:15" s="4" customFormat="1" x14ac:dyDescent="0.25">
      <c r="A3583" s="6">
        <v>1779</v>
      </c>
      <c r="B3583" s="5" t="s">
        <v>18</v>
      </c>
      <c r="C3583" s="5" t="s">
        <v>17</v>
      </c>
      <c r="D3583" s="5" t="s">
        <v>456</v>
      </c>
      <c r="E3583" s="5" t="s">
        <v>457</v>
      </c>
      <c r="F3583" s="5" t="s">
        <v>19</v>
      </c>
      <c r="G3583" s="22">
        <v>0.01</v>
      </c>
      <c r="H3583" s="22">
        <v>0</v>
      </c>
      <c r="I3583" s="22">
        <v>0</v>
      </c>
      <c r="J3583" s="22">
        <v>0</v>
      </c>
      <c r="K3583" s="22">
        <v>-0.01</v>
      </c>
      <c r="L3583" s="22">
        <v>0</v>
      </c>
      <c r="M3583" s="10"/>
      <c r="N3583" s="67"/>
      <c r="O3583" s="11"/>
    </row>
    <row r="3584" spans="1:15" s="4" customFormat="1" x14ac:dyDescent="0.25">
      <c r="A3584" s="6">
        <v>1780</v>
      </c>
      <c r="B3584" s="5" t="s">
        <v>18</v>
      </c>
      <c r="C3584" s="5" t="s">
        <v>17</v>
      </c>
      <c r="D3584" s="5" t="s">
        <v>456</v>
      </c>
      <c r="E3584" s="5" t="s">
        <v>457</v>
      </c>
      <c r="F3584" s="5" t="s">
        <v>19</v>
      </c>
      <c r="G3584" s="22">
        <v>0</v>
      </c>
      <c r="H3584" s="22">
        <v>0</v>
      </c>
      <c r="I3584" s="22">
        <v>0</v>
      </c>
      <c r="J3584" s="22">
        <v>0</v>
      </c>
      <c r="K3584" s="22">
        <v>0</v>
      </c>
      <c r="L3584" s="22">
        <v>0</v>
      </c>
      <c r="M3584" s="10"/>
      <c r="N3584" s="67"/>
      <c r="O3584" s="11"/>
    </row>
    <row r="3585" spans="1:15" x14ac:dyDescent="0.25">
      <c r="A3585" s="6">
        <v>1781</v>
      </c>
      <c r="B3585" s="5" t="s">
        <v>18</v>
      </c>
      <c r="C3585" s="5" t="s">
        <v>17</v>
      </c>
      <c r="D3585" s="5" t="s">
        <v>456</v>
      </c>
      <c r="E3585" s="5" t="s">
        <v>457</v>
      </c>
      <c r="F3585" s="5" t="s">
        <v>19</v>
      </c>
      <c r="G3585" s="22">
        <v>25.77</v>
      </c>
      <c r="H3585" s="22">
        <v>0</v>
      </c>
      <c r="I3585" s="22">
        <v>0</v>
      </c>
      <c r="J3585" s="22">
        <v>0</v>
      </c>
      <c r="K3585" s="22">
        <v>-22.86</v>
      </c>
      <c r="L3585" s="22">
        <v>2.91</v>
      </c>
      <c r="M3585" s="10"/>
      <c r="O3585" s="11"/>
    </row>
    <row r="3586" spans="1:15" x14ac:dyDescent="0.25">
      <c r="A3586" s="6">
        <v>1782</v>
      </c>
      <c r="B3586" s="5" t="s">
        <v>18</v>
      </c>
      <c r="C3586" s="5" t="s">
        <v>17</v>
      </c>
      <c r="D3586" s="5" t="s">
        <v>456</v>
      </c>
      <c r="E3586" s="5" t="s">
        <v>457</v>
      </c>
      <c r="F3586" s="5" t="s">
        <v>19</v>
      </c>
      <c r="G3586" s="22">
        <v>8.6</v>
      </c>
      <c r="H3586" s="22">
        <v>0</v>
      </c>
      <c r="I3586" s="22">
        <v>0</v>
      </c>
      <c r="J3586" s="22">
        <v>0</v>
      </c>
      <c r="K3586" s="22">
        <v>-7.63</v>
      </c>
      <c r="L3586" s="22">
        <v>0.97</v>
      </c>
      <c r="M3586" s="10"/>
      <c r="O3586" s="11"/>
    </row>
    <row r="3587" spans="1:15" s="4" customFormat="1" x14ac:dyDescent="0.25">
      <c r="A3587" s="6">
        <v>1783</v>
      </c>
      <c r="B3587" s="5" t="s">
        <v>18</v>
      </c>
      <c r="C3587" s="5" t="s">
        <v>17</v>
      </c>
      <c r="D3587" s="5" t="s">
        <v>456</v>
      </c>
      <c r="E3587" s="5" t="s">
        <v>457</v>
      </c>
      <c r="F3587" s="5" t="s">
        <v>19</v>
      </c>
      <c r="G3587" s="22">
        <v>0.19</v>
      </c>
      <c r="H3587" s="22">
        <v>0</v>
      </c>
      <c r="I3587" s="22">
        <v>0</v>
      </c>
      <c r="J3587" s="22">
        <v>0</v>
      </c>
      <c r="K3587" s="22">
        <v>-0.17</v>
      </c>
      <c r="L3587" s="22">
        <v>0.02</v>
      </c>
      <c r="M3587" s="10"/>
      <c r="N3587" s="67"/>
      <c r="O3587" s="11"/>
    </row>
    <row r="3588" spans="1:15" s="4" customFormat="1" x14ac:dyDescent="0.25">
      <c r="A3588" s="6">
        <v>1784</v>
      </c>
      <c r="B3588" s="5" t="s">
        <v>18</v>
      </c>
      <c r="C3588" s="5" t="s">
        <v>17</v>
      </c>
      <c r="D3588" s="5" t="s">
        <v>456</v>
      </c>
      <c r="E3588" s="5" t="s">
        <v>457</v>
      </c>
      <c r="F3588" s="5" t="s">
        <v>19</v>
      </c>
      <c r="G3588" s="22">
        <v>0</v>
      </c>
      <c r="H3588" s="22">
        <v>0</v>
      </c>
      <c r="I3588" s="22">
        <v>0</v>
      </c>
      <c r="J3588" s="22">
        <v>0</v>
      </c>
      <c r="K3588" s="22">
        <v>0</v>
      </c>
      <c r="L3588" s="22">
        <v>0</v>
      </c>
      <c r="M3588" s="10"/>
      <c r="N3588" s="67"/>
      <c r="O3588" s="11"/>
    </row>
    <row r="3589" spans="1:15" x14ac:dyDescent="0.25">
      <c r="A3589" s="6">
        <v>1785</v>
      </c>
      <c r="B3589" s="5" t="s">
        <v>18</v>
      </c>
      <c r="C3589" s="5" t="s">
        <v>17</v>
      </c>
      <c r="D3589" s="5" t="s">
        <v>456</v>
      </c>
      <c r="E3589" s="5" t="s">
        <v>457</v>
      </c>
      <c r="F3589" s="5" t="s">
        <v>19</v>
      </c>
      <c r="G3589" s="22">
        <v>12.05</v>
      </c>
      <c r="H3589" s="22">
        <v>0</v>
      </c>
      <c r="I3589" s="22">
        <v>0</v>
      </c>
      <c r="J3589" s="22">
        <v>0</v>
      </c>
      <c r="K3589" s="22">
        <v>-10.69</v>
      </c>
      <c r="L3589" s="22">
        <v>1.36</v>
      </c>
      <c r="M3589" s="10"/>
      <c r="O3589" s="11"/>
    </row>
    <row r="3590" spans="1:15" x14ac:dyDescent="0.25">
      <c r="A3590" s="6">
        <v>1786</v>
      </c>
      <c r="B3590" s="5" t="s">
        <v>18</v>
      </c>
      <c r="C3590" s="5" t="s">
        <v>17</v>
      </c>
      <c r="D3590" s="5" t="s">
        <v>456</v>
      </c>
      <c r="E3590" s="5" t="s">
        <v>457</v>
      </c>
      <c r="F3590" s="5" t="s">
        <v>19</v>
      </c>
      <c r="G3590" s="22">
        <v>0.01</v>
      </c>
      <c r="H3590" s="22">
        <v>0</v>
      </c>
      <c r="I3590" s="22">
        <v>0</v>
      </c>
      <c r="J3590" s="22">
        <v>0</v>
      </c>
      <c r="K3590" s="22">
        <v>-0.01</v>
      </c>
      <c r="L3590" s="22">
        <v>0</v>
      </c>
      <c r="M3590" s="10"/>
      <c r="O3590" s="11"/>
    </row>
    <row r="3591" spans="1:15" s="4" customFormat="1" x14ac:dyDescent="0.25">
      <c r="A3591" s="6"/>
      <c r="B3591" s="5"/>
      <c r="C3591" s="5"/>
      <c r="D3591" s="5" t="s">
        <v>456</v>
      </c>
      <c r="E3591" s="5" t="s">
        <v>457</v>
      </c>
      <c r="F3591" s="5" t="s">
        <v>19</v>
      </c>
      <c r="G3591" s="14">
        <f t="shared" ref="G3591:L3591" si="899">SUBTOTAL(9,G3581:G3590)</f>
        <v>57.300000000000004</v>
      </c>
      <c r="H3591" s="14">
        <f t="shared" si="899"/>
        <v>0</v>
      </c>
      <c r="I3591" s="14">
        <f t="shared" si="899"/>
        <v>0</v>
      </c>
      <c r="J3591" s="14">
        <f t="shared" si="899"/>
        <v>0</v>
      </c>
      <c r="K3591" s="14">
        <f t="shared" si="899"/>
        <v>-50.84</v>
      </c>
      <c r="L3591" s="14">
        <f t="shared" si="899"/>
        <v>6.46</v>
      </c>
      <c r="M3591" s="10">
        <v>2979</v>
      </c>
      <c r="N3591" s="67"/>
      <c r="O3591" s="11">
        <f>O3579+1</f>
        <v>860</v>
      </c>
    </row>
    <row r="3592" spans="1:15" x14ac:dyDescent="0.25">
      <c r="A3592" s="10"/>
      <c r="G3592" s="21"/>
      <c r="H3592" s="21"/>
      <c r="I3592" s="21"/>
      <c r="J3592" s="21"/>
      <c r="K3592" s="21"/>
      <c r="L3592" s="21"/>
      <c r="M3592" s="10"/>
      <c r="O3592" s="11"/>
    </row>
    <row r="3593" spans="1:15" x14ac:dyDescent="0.25">
      <c r="A3593" s="6">
        <v>1787</v>
      </c>
      <c r="B3593" s="5" t="s">
        <v>550</v>
      </c>
      <c r="C3593" s="5" t="s">
        <v>17</v>
      </c>
      <c r="D3593" s="5" t="s">
        <v>456</v>
      </c>
      <c r="E3593" s="5" t="s">
        <v>457</v>
      </c>
      <c r="F3593" s="5" t="s">
        <v>551</v>
      </c>
      <c r="G3593" s="22">
        <v>88.12</v>
      </c>
      <c r="H3593" s="22">
        <v>0</v>
      </c>
      <c r="I3593" s="22">
        <v>0</v>
      </c>
      <c r="J3593" s="22">
        <v>0</v>
      </c>
      <c r="K3593" s="22">
        <v>-1.76</v>
      </c>
      <c r="L3593" s="22">
        <v>86.36</v>
      </c>
      <c r="M3593" s="10"/>
      <c r="O3593" s="11"/>
    </row>
    <row r="3594" spans="1:15" s="4" customFormat="1" x14ac:dyDescent="0.25">
      <c r="A3594" s="6">
        <v>1788</v>
      </c>
      <c r="B3594" s="5" t="s">
        <v>550</v>
      </c>
      <c r="C3594" s="5" t="s">
        <v>17</v>
      </c>
      <c r="D3594" s="5" t="s">
        <v>456</v>
      </c>
      <c r="E3594" s="5" t="s">
        <v>457</v>
      </c>
      <c r="F3594" s="5" t="s">
        <v>551</v>
      </c>
      <c r="G3594" s="22">
        <v>212987.41</v>
      </c>
      <c r="H3594" s="22">
        <v>0</v>
      </c>
      <c r="I3594" s="22">
        <v>0</v>
      </c>
      <c r="J3594" s="22">
        <v>0</v>
      </c>
      <c r="K3594" s="22">
        <v>-4259.75</v>
      </c>
      <c r="L3594" s="22">
        <v>208727.66</v>
      </c>
      <c r="M3594" s="10"/>
      <c r="N3594" s="67"/>
      <c r="O3594" s="11"/>
    </row>
    <row r="3595" spans="1:15" x14ac:dyDescent="0.25">
      <c r="A3595" s="6">
        <v>1789</v>
      </c>
      <c r="B3595" s="5" t="s">
        <v>550</v>
      </c>
      <c r="C3595" s="5" t="s">
        <v>17</v>
      </c>
      <c r="D3595" s="5" t="s">
        <v>456</v>
      </c>
      <c r="E3595" s="5" t="s">
        <v>457</v>
      </c>
      <c r="F3595" s="5" t="s">
        <v>551</v>
      </c>
      <c r="G3595" s="22">
        <v>5.19</v>
      </c>
      <c r="H3595" s="22">
        <v>0</v>
      </c>
      <c r="I3595" s="22">
        <v>0</v>
      </c>
      <c r="J3595" s="22">
        <v>0</v>
      </c>
      <c r="K3595" s="22">
        <v>-0.1</v>
      </c>
      <c r="L3595" s="22">
        <v>5.09</v>
      </c>
      <c r="M3595" s="10"/>
      <c r="O3595" s="11"/>
    </row>
    <row r="3596" spans="1:15" x14ac:dyDescent="0.25">
      <c r="A3596" s="6">
        <v>1790</v>
      </c>
      <c r="B3596" s="5" t="s">
        <v>550</v>
      </c>
      <c r="C3596" s="5" t="s">
        <v>17</v>
      </c>
      <c r="D3596" s="5" t="s">
        <v>456</v>
      </c>
      <c r="E3596" s="5" t="s">
        <v>457</v>
      </c>
      <c r="F3596" s="5" t="s">
        <v>551</v>
      </c>
      <c r="G3596" s="22">
        <v>318.25</v>
      </c>
      <c r="H3596" s="22">
        <v>0</v>
      </c>
      <c r="I3596" s="22">
        <v>0</v>
      </c>
      <c r="J3596" s="22">
        <v>0</v>
      </c>
      <c r="K3596" s="22">
        <v>-6.36</v>
      </c>
      <c r="L3596" s="22">
        <v>311.89</v>
      </c>
      <c r="M3596" s="10"/>
      <c r="O3596" s="11"/>
    </row>
    <row r="3597" spans="1:15" s="4" customFormat="1" x14ac:dyDescent="0.25">
      <c r="A3597" s="6">
        <v>1791</v>
      </c>
      <c r="B3597" s="5" t="s">
        <v>550</v>
      </c>
      <c r="C3597" s="5" t="s">
        <v>13</v>
      </c>
      <c r="D3597" s="5" t="s">
        <v>456</v>
      </c>
      <c r="E3597" s="5" t="s">
        <v>457</v>
      </c>
      <c r="F3597" s="5" t="s">
        <v>551</v>
      </c>
      <c r="G3597" s="22">
        <v>0</v>
      </c>
      <c r="H3597" s="22">
        <v>0</v>
      </c>
      <c r="I3597" s="22">
        <v>0</v>
      </c>
      <c r="J3597" s="22">
        <v>58</v>
      </c>
      <c r="K3597" s="22">
        <v>0</v>
      </c>
      <c r="L3597" s="22">
        <v>58</v>
      </c>
      <c r="M3597" s="10"/>
      <c r="N3597" s="67"/>
      <c r="O3597" s="11"/>
    </row>
    <row r="3598" spans="1:15" x14ac:dyDescent="0.25">
      <c r="A3598" s="6">
        <v>1792</v>
      </c>
      <c r="B3598" s="5" t="s">
        <v>550</v>
      </c>
      <c r="C3598" s="5" t="s">
        <v>13</v>
      </c>
      <c r="D3598" s="5" t="s">
        <v>456</v>
      </c>
      <c r="E3598" s="5" t="s">
        <v>457</v>
      </c>
      <c r="F3598" s="5" t="s">
        <v>551</v>
      </c>
      <c r="G3598" s="22">
        <v>0</v>
      </c>
      <c r="H3598" s="22">
        <v>0</v>
      </c>
      <c r="I3598" s="22">
        <v>0</v>
      </c>
      <c r="J3598" s="22">
        <v>44.7</v>
      </c>
      <c r="K3598" s="22">
        <v>0</v>
      </c>
      <c r="L3598" s="22">
        <v>44.7</v>
      </c>
      <c r="M3598" s="10"/>
      <c r="O3598" s="11"/>
    </row>
    <row r="3599" spans="1:15" x14ac:dyDescent="0.25">
      <c r="A3599" s="6">
        <v>1793</v>
      </c>
      <c r="B3599" s="5" t="s">
        <v>550</v>
      </c>
      <c r="C3599" s="5" t="s">
        <v>13</v>
      </c>
      <c r="D3599" s="5" t="s">
        <v>456</v>
      </c>
      <c r="E3599" s="5" t="s">
        <v>457</v>
      </c>
      <c r="F3599" s="5" t="s">
        <v>551</v>
      </c>
      <c r="G3599" s="22">
        <v>0</v>
      </c>
      <c r="H3599" s="22">
        <v>0</v>
      </c>
      <c r="I3599" s="22">
        <v>0</v>
      </c>
      <c r="J3599" s="22">
        <v>35318.26</v>
      </c>
      <c r="K3599" s="22">
        <v>0</v>
      </c>
      <c r="L3599" s="22">
        <v>35318.26</v>
      </c>
      <c r="M3599" s="10"/>
      <c r="O3599" s="11"/>
    </row>
    <row r="3600" spans="1:15" s="4" customFormat="1" x14ac:dyDescent="0.25">
      <c r="A3600" s="6">
        <v>1794</v>
      </c>
      <c r="B3600" s="5" t="s">
        <v>550</v>
      </c>
      <c r="C3600" s="5" t="s">
        <v>13</v>
      </c>
      <c r="D3600" s="5" t="s">
        <v>456</v>
      </c>
      <c r="E3600" s="5" t="s">
        <v>457</v>
      </c>
      <c r="F3600" s="5" t="s">
        <v>551</v>
      </c>
      <c r="G3600" s="22">
        <v>0</v>
      </c>
      <c r="H3600" s="22">
        <v>0</v>
      </c>
      <c r="I3600" s="22">
        <v>0</v>
      </c>
      <c r="J3600" s="22">
        <v>17163.32</v>
      </c>
      <c r="K3600" s="22">
        <v>0</v>
      </c>
      <c r="L3600" s="22">
        <v>17163.32</v>
      </c>
      <c r="M3600" s="10"/>
      <c r="N3600" s="67"/>
      <c r="O3600" s="11"/>
    </row>
    <row r="3601" spans="1:15" x14ac:dyDescent="0.25">
      <c r="A3601" s="6">
        <v>1795</v>
      </c>
      <c r="B3601" s="5" t="s">
        <v>550</v>
      </c>
      <c r="C3601" s="5" t="s">
        <v>13</v>
      </c>
      <c r="D3601" s="5" t="s">
        <v>456</v>
      </c>
      <c r="E3601" s="5" t="s">
        <v>457</v>
      </c>
      <c r="F3601" s="5" t="s">
        <v>551</v>
      </c>
      <c r="G3601" s="22">
        <v>0</v>
      </c>
      <c r="H3601" s="22">
        <v>0</v>
      </c>
      <c r="I3601" s="22">
        <v>0</v>
      </c>
      <c r="J3601" s="22">
        <v>153.65</v>
      </c>
      <c r="K3601" s="22">
        <v>0</v>
      </c>
      <c r="L3601" s="22">
        <v>153.65</v>
      </c>
      <c r="M3601" s="10"/>
      <c r="O3601" s="11"/>
    </row>
    <row r="3602" spans="1:15" x14ac:dyDescent="0.25">
      <c r="A3602" s="6">
        <v>1796</v>
      </c>
      <c r="B3602" s="5" t="s">
        <v>550</v>
      </c>
      <c r="C3602" s="5" t="s">
        <v>17</v>
      </c>
      <c r="D3602" s="5" t="s">
        <v>456</v>
      </c>
      <c r="E3602" s="5" t="s">
        <v>457</v>
      </c>
      <c r="F3602" s="5" t="s">
        <v>551</v>
      </c>
      <c r="G3602" s="22">
        <v>96.42</v>
      </c>
      <c r="H3602" s="22">
        <v>0</v>
      </c>
      <c r="I3602" s="22">
        <v>0</v>
      </c>
      <c r="J3602" s="22">
        <v>0</v>
      </c>
      <c r="K3602" s="22">
        <v>-1.93</v>
      </c>
      <c r="L3602" s="22">
        <v>94.49</v>
      </c>
      <c r="M3602" s="10"/>
      <c r="O3602" s="11"/>
    </row>
    <row r="3603" spans="1:15" s="4" customFormat="1" x14ac:dyDescent="0.25">
      <c r="A3603" s="6">
        <v>1797</v>
      </c>
      <c r="B3603" s="5" t="s">
        <v>550</v>
      </c>
      <c r="C3603" s="5" t="s">
        <v>17</v>
      </c>
      <c r="D3603" s="5" t="s">
        <v>456</v>
      </c>
      <c r="E3603" s="5" t="s">
        <v>457</v>
      </c>
      <c r="F3603" s="5" t="s">
        <v>551</v>
      </c>
      <c r="G3603" s="22">
        <v>400.35</v>
      </c>
      <c r="H3603" s="22">
        <v>0</v>
      </c>
      <c r="I3603" s="22">
        <v>0</v>
      </c>
      <c r="J3603" s="22">
        <v>0</v>
      </c>
      <c r="K3603" s="22">
        <v>-8.01</v>
      </c>
      <c r="L3603" s="22">
        <v>392.34</v>
      </c>
      <c r="M3603" s="10"/>
      <c r="N3603" s="67"/>
      <c r="O3603" s="11"/>
    </row>
    <row r="3604" spans="1:15" x14ac:dyDescent="0.25">
      <c r="A3604" s="6">
        <v>1798</v>
      </c>
      <c r="B3604" s="5" t="s">
        <v>550</v>
      </c>
      <c r="C3604" s="5" t="s">
        <v>17</v>
      </c>
      <c r="D3604" s="5" t="s">
        <v>456</v>
      </c>
      <c r="E3604" s="5" t="s">
        <v>457</v>
      </c>
      <c r="F3604" s="5" t="s">
        <v>551</v>
      </c>
      <c r="G3604" s="22">
        <v>0.91</v>
      </c>
      <c r="H3604" s="22">
        <v>0</v>
      </c>
      <c r="I3604" s="22">
        <v>0</v>
      </c>
      <c r="J3604" s="22">
        <v>0</v>
      </c>
      <c r="K3604" s="22">
        <v>-0.02</v>
      </c>
      <c r="L3604" s="22">
        <v>0.89</v>
      </c>
      <c r="M3604" s="10"/>
      <c r="O3604" s="11"/>
    </row>
    <row r="3605" spans="1:15" x14ac:dyDescent="0.25">
      <c r="A3605" s="6">
        <v>1799</v>
      </c>
      <c r="B3605" s="5" t="s">
        <v>550</v>
      </c>
      <c r="C3605" s="5" t="s">
        <v>17</v>
      </c>
      <c r="D3605" s="5" t="s">
        <v>456</v>
      </c>
      <c r="E3605" s="5" t="s">
        <v>457</v>
      </c>
      <c r="F3605" s="5" t="s">
        <v>551</v>
      </c>
      <c r="G3605" s="22">
        <v>112486.27</v>
      </c>
      <c r="H3605" s="22">
        <v>0</v>
      </c>
      <c r="I3605" s="22">
        <v>0</v>
      </c>
      <c r="J3605" s="22">
        <v>0</v>
      </c>
      <c r="K3605" s="22">
        <v>-2249.73</v>
      </c>
      <c r="L3605" s="22">
        <v>110236.54</v>
      </c>
      <c r="M3605" s="10"/>
      <c r="O3605" s="11"/>
    </row>
    <row r="3606" spans="1:15" s="4" customFormat="1" x14ac:dyDescent="0.25">
      <c r="A3606" s="6">
        <v>1800</v>
      </c>
      <c r="B3606" s="5" t="s">
        <v>550</v>
      </c>
      <c r="C3606" s="5" t="s">
        <v>17</v>
      </c>
      <c r="D3606" s="5" t="s">
        <v>456</v>
      </c>
      <c r="E3606" s="5" t="s">
        <v>457</v>
      </c>
      <c r="F3606" s="5" t="s">
        <v>551</v>
      </c>
      <c r="G3606" s="22">
        <v>483.33</v>
      </c>
      <c r="H3606" s="22">
        <v>0</v>
      </c>
      <c r="I3606" s="22">
        <v>0</v>
      </c>
      <c r="J3606" s="22">
        <v>0</v>
      </c>
      <c r="K3606" s="22">
        <v>-9.67</v>
      </c>
      <c r="L3606" s="22">
        <v>473.66</v>
      </c>
      <c r="M3606" s="10"/>
      <c r="N3606" s="67"/>
      <c r="O3606" s="11"/>
    </row>
    <row r="3607" spans="1:15" x14ac:dyDescent="0.25">
      <c r="A3607" s="6">
        <v>1801</v>
      </c>
      <c r="B3607" s="5" t="s">
        <v>550</v>
      </c>
      <c r="C3607" s="5" t="s">
        <v>17</v>
      </c>
      <c r="D3607" s="5" t="s">
        <v>456</v>
      </c>
      <c r="E3607" s="5" t="s">
        <v>457</v>
      </c>
      <c r="F3607" s="5" t="s">
        <v>551</v>
      </c>
      <c r="G3607" s="22">
        <v>372.49</v>
      </c>
      <c r="H3607" s="22">
        <v>0</v>
      </c>
      <c r="I3607" s="22">
        <v>0</v>
      </c>
      <c r="J3607" s="22">
        <v>0</v>
      </c>
      <c r="K3607" s="22">
        <v>-7.45</v>
      </c>
      <c r="L3607" s="22">
        <v>365.04</v>
      </c>
      <c r="M3607" s="10"/>
      <c r="O3607" s="11"/>
    </row>
    <row r="3608" spans="1:15" x14ac:dyDescent="0.25">
      <c r="A3608" s="6">
        <v>1802</v>
      </c>
      <c r="B3608" s="5" t="s">
        <v>550</v>
      </c>
      <c r="C3608" s="5" t="s">
        <v>17</v>
      </c>
      <c r="D3608" s="5" t="s">
        <v>456</v>
      </c>
      <c r="E3608" s="5" t="s">
        <v>457</v>
      </c>
      <c r="F3608" s="5" t="s">
        <v>551</v>
      </c>
      <c r="G3608" s="22">
        <v>294318.84999999998</v>
      </c>
      <c r="H3608" s="22">
        <v>0</v>
      </c>
      <c r="I3608" s="22">
        <v>0</v>
      </c>
      <c r="J3608" s="22">
        <v>0</v>
      </c>
      <c r="K3608" s="22">
        <v>-5886.38</v>
      </c>
      <c r="L3608" s="22">
        <v>288432.46999999997</v>
      </c>
      <c r="M3608" s="10"/>
      <c r="O3608" s="11"/>
    </row>
    <row r="3609" spans="1:15" s="4" customFormat="1" x14ac:dyDescent="0.25">
      <c r="A3609" s="6">
        <v>1803</v>
      </c>
      <c r="B3609" s="5" t="s">
        <v>550</v>
      </c>
      <c r="C3609" s="5" t="s">
        <v>17</v>
      </c>
      <c r="D3609" s="5" t="s">
        <v>456</v>
      </c>
      <c r="E3609" s="5" t="s">
        <v>457</v>
      </c>
      <c r="F3609" s="5" t="s">
        <v>551</v>
      </c>
      <c r="G3609" s="22">
        <v>143027.66</v>
      </c>
      <c r="H3609" s="22">
        <v>0</v>
      </c>
      <c r="I3609" s="22">
        <v>0</v>
      </c>
      <c r="J3609" s="22">
        <v>0</v>
      </c>
      <c r="K3609" s="22">
        <v>-2860.55</v>
      </c>
      <c r="L3609" s="22">
        <v>140167.10999999999</v>
      </c>
      <c r="M3609" s="10"/>
      <c r="N3609" s="67"/>
      <c r="O3609" s="11"/>
    </row>
    <row r="3610" spans="1:15" x14ac:dyDescent="0.25">
      <c r="A3610" s="6">
        <v>1804</v>
      </c>
      <c r="B3610" s="5" t="s">
        <v>550</v>
      </c>
      <c r="C3610" s="5" t="s">
        <v>17</v>
      </c>
      <c r="D3610" s="5" t="s">
        <v>456</v>
      </c>
      <c r="E3610" s="5" t="s">
        <v>457</v>
      </c>
      <c r="F3610" s="5" t="s">
        <v>551</v>
      </c>
      <c r="G3610" s="22">
        <v>1280.42</v>
      </c>
      <c r="H3610" s="22">
        <v>0</v>
      </c>
      <c r="I3610" s="22">
        <v>0</v>
      </c>
      <c r="J3610" s="22">
        <v>0</v>
      </c>
      <c r="K3610" s="22">
        <v>-25.61</v>
      </c>
      <c r="L3610" s="22">
        <v>1254.81</v>
      </c>
      <c r="M3610" s="10"/>
      <c r="O3610" s="11"/>
    </row>
    <row r="3611" spans="1:15" x14ac:dyDescent="0.25">
      <c r="A3611" s="6">
        <v>1805</v>
      </c>
      <c r="B3611" s="5" t="s">
        <v>550</v>
      </c>
      <c r="C3611" s="5" t="s">
        <v>13</v>
      </c>
      <c r="D3611" s="5" t="s">
        <v>456</v>
      </c>
      <c r="E3611" s="5" t="s">
        <v>457</v>
      </c>
      <c r="F3611" s="5" t="s">
        <v>551</v>
      </c>
      <c r="G3611" s="22">
        <v>0</v>
      </c>
      <c r="H3611" s="22">
        <v>0</v>
      </c>
      <c r="I3611" s="22">
        <v>0</v>
      </c>
      <c r="J3611" s="22">
        <v>10.57</v>
      </c>
      <c r="K3611" s="22">
        <v>0</v>
      </c>
      <c r="L3611" s="22">
        <v>10.57</v>
      </c>
      <c r="M3611" s="10"/>
      <c r="O3611" s="11"/>
    </row>
    <row r="3612" spans="1:15" s="4" customFormat="1" x14ac:dyDescent="0.25">
      <c r="A3612" s="6">
        <v>1806</v>
      </c>
      <c r="B3612" s="5" t="s">
        <v>550</v>
      </c>
      <c r="C3612" s="5" t="s">
        <v>13</v>
      </c>
      <c r="D3612" s="5" t="s">
        <v>456</v>
      </c>
      <c r="E3612" s="5" t="s">
        <v>457</v>
      </c>
      <c r="F3612" s="5" t="s">
        <v>551</v>
      </c>
      <c r="G3612" s="22">
        <v>0</v>
      </c>
      <c r="H3612" s="22">
        <v>0</v>
      </c>
      <c r="I3612" s="22">
        <v>0</v>
      </c>
      <c r="J3612" s="22">
        <v>25558.49</v>
      </c>
      <c r="K3612" s="22">
        <v>0</v>
      </c>
      <c r="L3612" s="22">
        <v>25558.49</v>
      </c>
      <c r="M3612" s="10"/>
      <c r="N3612" s="67"/>
      <c r="O3612" s="11"/>
    </row>
    <row r="3613" spans="1:15" x14ac:dyDescent="0.25">
      <c r="A3613" s="6">
        <v>1807</v>
      </c>
      <c r="B3613" s="5" t="s">
        <v>550</v>
      </c>
      <c r="C3613" s="5" t="s">
        <v>13</v>
      </c>
      <c r="D3613" s="5" t="s">
        <v>456</v>
      </c>
      <c r="E3613" s="5" t="s">
        <v>457</v>
      </c>
      <c r="F3613" s="5" t="s">
        <v>551</v>
      </c>
      <c r="G3613" s="22">
        <v>0</v>
      </c>
      <c r="H3613" s="22">
        <v>0</v>
      </c>
      <c r="I3613" s="22">
        <v>0</v>
      </c>
      <c r="J3613" s="22">
        <v>0.62</v>
      </c>
      <c r="K3613" s="22">
        <v>0</v>
      </c>
      <c r="L3613" s="22">
        <v>0.62</v>
      </c>
      <c r="M3613" s="10"/>
      <c r="O3613" s="11"/>
    </row>
    <row r="3614" spans="1:15" x14ac:dyDescent="0.25">
      <c r="A3614" s="6">
        <v>1808</v>
      </c>
      <c r="B3614" s="5" t="s">
        <v>550</v>
      </c>
      <c r="C3614" s="5" t="s">
        <v>13</v>
      </c>
      <c r="D3614" s="5" t="s">
        <v>456</v>
      </c>
      <c r="E3614" s="5" t="s">
        <v>457</v>
      </c>
      <c r="F3614" s="5" t="s">
        <v>551</v>
      </c>
      <c r="G3614" s="22">
        <v>0</v>
      </c>
      <c r="H3614" s="22">
        <v>0</v>
      </c>
      <c r="I3614" s="22">
        <v>0</v>
      </c>
      <c r="J3614" s="22">
        <v>38.19</v>
      </c>
      <c r="K3614" s="22">
        <v>0</v>
      </c>
      <c r="L3614" s="22">
        <v>38.19</v>
      </c>
      <c r="M3614" s="10"/>
      <c r="O3614" s="11"/>
    </row>
    <row r="3615" spans="1:15" s="4" customFormat="1" x14ac:dyDescent="0.25">
      <c r="A3615" s="6">
        <v>1809</v>
      </c>
      <c r="B3615" s="5" t="s">
        <v>550</v>
      </c>
      <c r="C3615" s="5" t="s">
        <v>13</v>
      </c>
      <c r="D3615" s="5" t="s">
        <v>456</v>
      </c>
      <c r="E3615" s="5" t="s">
        <v>457</v>
      </c>
      <c r="F3615" s="5" t="s">
        <v>551</v>
      </c>
      <c r="G3615" s="22">
        <v>0</v>
      </c>
      <c r="H3615" s="22">
        <v>0</v>
      </c>
      <c r="I3615" s="22">
        <v>0</v>
      </c>
      <c r="J3615" s="22">
        <v>11.57</v>
      </c>
      <c r="K3615" s="22">
        <v>0</v>
      </c>
      <c r="L3615" s="22">
        <v>11.57</v>
      </c>
      <c r="M3615" s="10"/>
      <c r="N3615" s="67"/>
      <c r="O3615" s="11"/>
    </row>
    <row r="3616" spans="1:15" x14ac:dyDescent="0.25">
      <c r="A3616" s="6">
        <v>1810</v>
      </c>
      <c r="B3616" s="5" t="s">
        <v>550</v>
      </c>
      <c r="C3616" s="5" t="s">
        <v>13</v>
      </c>
      <c r="D3616" s="5" t="s">
        <v>456</v>
      </c>
      <c r="E3616" s="5" t="s">
        <v>457</v>
      </c>
      <c r="F3616" s="5" t="s">
        <v>551</v>
      </c>
      <c r="G3616" s="22">
        <v>0</v>
      </c>
      <c r="H3616" s="22">
        <v>0</v>
      </c>
      <c r="I3616" s="22">
        <v>0</v>
      </c>
      <c r="J3616" s="22">
        <v>48.04</v>
      </c>
      <c r="K3616" s="22">
        <v>0</v>
      </c>
      <c r="L3616" s="22">
        <v>48.04</v>
      </c>
      <c r="M3616" s="10"/>
      <c r="O3616" s="11"/>
    </row>
    <row r="3617" spans="1:15" x14ac:dyDescent="0.25">
      <c r="A3617" s="6">
        <v>1811</v>
      </c>
      <c r="B3617" s="5" t="s">
        <v>550</v>
      </c>
      <c r="C3617" s="5" t="s">
        <v>13</v>
      </c>
      <c r="D3617" s="5" t="s">
        <v>456</v>
      </c>
      <c r="E3617" s="5" t="s">
        <v>457</v>
      </c>
      <c r="F3617" s="5" t="s">
        <v>551</v>
      </c>
      <c r="G3617" s="22">
        <v>0</v>
      </c>
      <c r="H3617" s="22">
        <v>0</v>
      </c>
      <c r="I3617" s="22">
        <v>0</v>
      </c>
      <c r="J3617" s="22">
        <v>0.11</v>
      </c>
      <c r="K3617" s="22">
        <v>0</v>
      </c>
      <c r="L3617" s="22">
        <v>0.11</v>
      </c>
      <c r="M3617" s="10"/>
      <c r="O3617" s="11"/>
    </row>
    <row r="3618" spans="1:15" s="4" customFormat="1" x14ac:dyDescent="0.25">
      <c r="A3618" s="6">
        <v>1812</v>
      </c>
      <c r="B3618" s="5" t="s">
        <v>550</v>
      </c>
      <c r="C3618" s="5" t="s">
        <v>13</v>
      </c>
      <c r="D3618" s="5" t="s">
        <v>456</v>
      </c>
      <c r="E3618" s="5" t="s">
        <v>457</v>
      </c>
      <c r="F3618" s="5" t="s">
        <v>551</v>
      </c>
      <c r="G3618" s="22">
        <v>0</v>
      </c>
      <c r="H3618" s="22">
        <v>0</v>
      </c>
      <c r="I3618" s="22">
        <v>0</v>
      </c>
      <c r="J3618" s="22">
        <v>13498.35</v>
      </c>
      <c r="K3618" s="22">
        <v>0</v>
      </c>
      <c r="L3618" s="22">
        <v>13498.35</v>
      </c>
      <c r="M3618" s="10"/>
      <c r="N3618" s="67"/>
      <c r="O3618" s="11"/>
    </row>
    <row r="3619" spans="1:15" x14ac:dyDescent="0.25">
      <c r="A3619" s="6"/>
      <c r="B3619" s="5"/>
      <c r="C3619" s="5"/>
      <c r="D3619" s="5" t="s">
        <v>456</v>
      </c>
      <c r="E3619" s="5" t="s">
        <v>457</v>
      </c>
      <c r="F3619" s="5" t="s">
        <v>551</v>
      </c>
      <c r="G3619" s="14">
        <f t="shared" ref="G3619:L3619" si="900">SUBTOTAL(9,G3593:G3618)</f>
        <v>765865.67000000016</v>
      </c>
      <c r="H3619" s="14">
        <f t="shared" si="900"/>
        <v>0</v>
      </c>
      <c r="I3619" s="14">
        <f t="shared" si="900"/>
        <v>0</v>
      </c>
      <c r="J3619" s="14">
        <f t="shared" si="900"/>
        <v>91903.87000000001</v>
      </c>
      <c r="K3619" s="14">
        <f t="shared" si="900"/>
        <v>-15317.320000000003</v>
      </c>
      <c r="L3619" s="14">
        <f t="shared" si="900"/>
        <v>842452.21999999974</v>
      </c>
      <c r="M3619" s="10">
        <v>2980</v>
      </c>
      <c r="O3619" s="11">
        <f>O3591+1</f>
        <v>861</v>
      </c>
    </row>
    <row r="3620" spans="1:15" x14ac:dyDescent="0.25">
      <c r="A3620" s="10"/>
      <c r="G3620" s="21"/>
      <c r="H3620" s="21"/>
      <c r="I3620" s="21"/>
      <c r="J3620" s="21"/>
      <c r="K3620" s="21"/>
      <c r="L3620" s="21"/>
      <c r="M3620" s="10"/>
      <c r="O3620" s="11"/>
    </row>
    <row r="3621" spans="1:15" s="4" customFormat="1" x14ac:dyDescent="0.25">
      <c r="A3621" s="6">
        <v>1813</v>
      </c>
      <c r="B3621" s="5" t="s">
        <v>550</v>
      </c>
      <c r="C3621" s="5" t="s">
        <v>17</v>
      </c>
      <c r="D3621" s="5" t="s">
        <v>456</v>
      </c>
      <c r="E3621" s="5" t="s">
        <v>457</v>
      </c>
      <c r="F3621" s="5" t="s">
        <v>552</v>
      </c>
      <c r="G3621" s="22">
        <v>0.01</v>
      </c>
      <c r="H3621" s="22">
        <v>0</v>
      </c>
      <c r="I3621" s="22">
        <v>0</v>
      </c>
      <c r="J3621" s="22">
        <v>0</v>
      </c>
      <c r="K3621" s="22">
        <v>0</v>
      </c>
      <c r="L3621" s="22">
        <v>0.01</v>
      </c>
      <c r="M3621" s="10"/>
      <c r="N3621" s="67"/>
      <c r="O3621" s="11"/>
    </row>
    <row r="3622" spans="1:15" x14ac:dyDescent="0.25">
      <c r="A3622" s="6">
        <v>1814</v>
      </c>
      <c r="B3622" s="5" t="s">
        <v>550</v>
      </c>
      <c r="C3622" s="5" t="s">
        <v>17</v>
      </c>
      <c r="D3622" s="5" t="s">
        <v>456</v>
      </c>
      <c r="E3622" s="5" t="s">
        <v>457</v>
      </c>
      <c r="F3622" s="5" t="s">
        <v>552</v>
      </c>
      <c r="G3622" s="22">
        <v>15.32</v>
      </c>
      <c r="H3622" s="22">
        <v>0</v>
      </c>
      <c r="I3622" s="22">
        <v>0</v>
      </c>
      <c r="J3622" s="22">
        <v>0</v>
      </c>
      <c r="K3622" s="22">
        <v>-0.31</v>
      </c>
      <c r="L3622" s="22">
        <v>15.01</v>
      </c>
      <c r="M3622" s="10"/>
      <c r="O3622" s="11"/>
    </row>
    <row r="3623" spans="1:15" x14ac:dyDescent="0.25">
      <c r="A3623" s="6">
        <v>1815</v>
      </c>
      <c r="B3623" s="5" t="s">
        <v>550</v>
      </c>
      <c r="C3623" s="5" t="s">
        <v>17</v>
      </c>
      <c r="D3623" s="5" t="s">
        <v>456</v>
      </c>
      <c r="E3623" s="5" t="s">
        <v>457</v>
      </c>
      <c r="F3623" s="5" t="s">
        <v>552</v>
      </c>
      <c r="G3623" s="22">
        <v>0.02</v>
      </c>
      <c r="H3623" s="22">
        <v>0</v>
      </c>
      <c r="I3623" s="22">
        <v>0</v>
      </c>
      <c r="J3623" s="22">
        <v>0</v>
      </c>
      <c r="K3623" s="22">
        <v>0</v>
      </c>
      <c r="L3623" s="22">
        <v>0.02</v>
      </c>
      <c r="M3623" s="10"/>
      <c r="O3623" s="11"/>
    </row>
    <row r="3624" spans="1:15" s="4" customFormat="1" x14ac:dyDescent="0.25">
      <c r="A3624" s="6">
        <v>1816</v>
      </c>
      <c r="B3624" s="5" t="s">
        <v>550</v>
      </c>
      <c r="C3624" s="5" t="s">
        <v>13</v>
      </c>
      <c r="D3624" s="5" t="s">
        <v>456</v>
      </c>
      <c r="E3624" s="5" t="s">
        <v>457</v>
      </c>
      <c r="F3624" s="5" t="s">
        <v>552</v>
      </c>
      <c r="G3624" s="22">
        <v>0</v>
      </c>
      <c r="H3624" s="22">
        <v>0</v>
      </c>
      <c r="I3624" s="22">
        <v>0</v>
      </c>
      <c r="J3624" s="22">
        <v>0</v>
      </c>
      <c r="K3624" s="22">
        <v>0</v>
      </c>
      <c r="L3624" s="22">
        <v>0</v>
      </c>
      <c r="M3624" s="10"/>
      <c r="N3624" s="67"/>
      <c r="O3624" s="11"/>
    </row>
    <row r="3625" spans="1:15" x14ac:dyDescent="0.25">
      <c r="A3625" s="6">
        <v>1817</v>
      </c>
      <c r="B3625" s="5" t="s">
        <v>550</v>
      </c>
      <c r="C3625" s="5" t="s">
        <v>13</v>
      </c>
      <c r="D3625" s="5" t="s">
        <v>456</v>
      </c>
      <c r="E3625" s="5" t="s">
        <v>457</v>
      </c>
      <c r="F3625" s="5" t="s">
        <v>552</v>
      </c>
      <c r="G3625" s="22">
        <v>0</v>
      </c>
      <c r="H3625" s="22">
        <v>0</v>
      </c>
      <c r="I3625" s="22">
        <v>0</v>
      </c>
      <c r="J3625" s="22">
        <v>0</v>
      </c>
      <c r="K3625" s="22">
        <v>0</v>
      </c>
      <c r="L3625" s="22">
        <v>0</v>
      </c>
      <c r="M3625" s="10"/>
      <c r="O3625" s="11"/>
    </row>
    <row r="3626" spans="1:15" x14ac:dyDescent="0.25">
      <c r="A3626" s="6">
        <v>1818</v>
      </c>
      <c r="B3626" s="5" t="s">
        <v>550</v>
      </c>
      <c r="C3626" s="5" t="s">
        <v>13</v>
      </c>
      <c r="D3626" s="5" t="s">
        <v>456</v>
      </c>
      <c r="E3626" s="5" t="s">
        <v>457</v>
      </c>
      <c r="F3626" s="5" t="s">
        <v>552</v>
      </c>
      <c r="G3626" s="22">
        <v>0</v>
      </c>
      <c r="H3626" s="22">
        <v>0</v>
      </c>
      <c r="I3626" s="22">
        <v>0</v>
      </c>
      <c r="J3626" s="22">
        <v>2.54</v>
      </c>
      <c r="K3626" s="22">
        <v>0</v>
      </c>
      <c r="L3626" s="22">
        <v>2.54</v>
      </c>
      <c r="M3626" s="10"/>
      <c r="O3626" s="11"/>
    </row>
    <row r="3627" spans="1:15" s="4" customFormat="1" x14ac:dyDescent="0.25">
      <c r="A3627" s="6">
        <v>1819</v>
      </c>
      <c r="B3627" s="5" t="s">
        <v>550</v>
      </c>
      <c r="C3627" s="5" t="s">
        <v>13</v>
      </c>
      <c r="D3627" s="5" t="s">
        <v>456</v>
      </c>
      <c r="E3627" s="5" t="s">
        <v>457</v>
      </c>
      <c r="F3627" s="5" t="s">
        <v>552</v>
      </c>
      <c r="G3627" s="22">
        <v>0</v>
      </c>
      <c r="H3627" s="22">
        <v>0</v>
      </c>
      <c r="I3627" s="22">
        <v>0</v>
      </c>
      <c r="J3627" s="22">
        <v>1.23</v>
      </c>
      <c r="K3627" s="22">
        <v>0</v>
      </c>
      <c r="L3627" s="22">
        <v>1.23</v>
      </c>
      <c r="M3627" s="10"/>
      <c r="N3627" s="67"/>
      <c r="O3627" s="11"/>
    </row>
    <row r="3628" spans="1:15" x14ac:dyDescent="0.25">
      <c r="A3628" s="6">
        <v>1820</v>
      </c>
      <c r="B3628" s="5" t="s">
        <v>550</v>
      </c>
      <c r="C3628" s="5" t="s">
        <v>13</v>
      </c>
      <c r="D3628" s="5" t="s">
        <v>456</v>
      </c>
      <c r="E3628" s="5" t="s">
        <v>457</v>
      </c>
      <c r="F3628" s="5" t="s">
        <v>552</v>
      </c>
      <c r="G3628" s="22">
        <v>0</v>
      </c>
      <c r="H3628" s="22">
        <v>0</v>
      </c>
      <c r="I3628" s="22">
        <v>0</v>
      </c>
      <c r="J3628" s="22">
        <v>0.01</v>
      </c>
      <c r="K3628" s="22">
        <v>0</v>
      </c>
      <c r="L3628" s="22">
        <v>0.01</v>
      </c>
      <c r="M3628" s="10"/>
      <c r="O3628" s="11"/>
    </row>
    <row r="3629" spans="1:15" x14ac:dyDescent="0.25">
      <c r="A3629" s="6">
        <v>1821</v>
      </c>
      <c r="B3629" s="5" t="s">
        <v>550</v>
      </c>
      <c r="C3629" s="5" t="s">
        <v>17</v>
      </c>
      <c r="D3629" s="5" t="s">
        <v>456</v>
      </c>
      <c r="E3629" s="5" t="s">
        <v>457</v>
      </c>
      <c r="F3629" s="5" t="s">
        <v>552</v>
      </c>
      <c r="G3629" s="22">
        <v>0.01</v>
      </c>
      <c r="H3629" s="22">
        <v>0</v>
      </c>
      <c r="I3629" s="22">
        <v>0</v>
      </c>
      <c r="J3629" s="22">
        <v>0</v>
      </c>
      <c r="K3629" s="22">
        <v>0</v>
      </c>
      <c r="L3629" s="22">
        <v>0.01</v>
      </c>
      <c r="M3629" s="10"/>
      <c r="O3629" s="11"/>
    </row>
    <row r="3630" spans="1:15" s="4" customFormat="1" x14ac:dyDescent="0.25">
      <c r="A3630" s="6">
        <v>1822</v>
      </c>
      <c r="B3630" s="5" t="s">
        <v>550</v>
      </c>
      <c r="C3630" s="5" t="s">
        <v>17</v>
      </c>
      <c r="D3630" s="5" t="s">
        <v>456</v>
      </c>
      <c r="E3630" s="5" t="s">
        <v>457</v>
      </c>
      <c r="F3630" s="5" t="s">
        <v>552</v>
      </c>
      <c r="G3630" s="22">
        <v>0.03</v>
      </c>
      <c r="H3630" s="22">
        <v>0</v>
      </c>
      <c r="I3630" s="22">
        <v>0</v>
      </c>
      <c r="J3630" s="22">
        <v>0</v>
      </c>
      <c r="K3630" s="22">
        <v>0</v>
      </c>
      <c r="L3630" s="22">
        <v>0.03</v>
      </c>
      <c r="M3630" s="10"/>
      <c r="N3630" s="67"/>
      <c r="O3630" s="11"/>
    </row>
    <row r="3631" spans="1:15" x14ac:dyDescent="0.25">
      <c r="A3631" s="6">
        <v>1823</v>
      </c>
      <c r="B3631" s="5" t="s">
        <v>550</v>
      </c>
      <c r="C3631" s="5" t="s">
        <v>17</v>
      </c>
      <c r="D3631" s="5" t="s">
        <v>456</v>
      </c>
      <c r="E3631" s="5" t="s">
        <v>457</v>
      </c>
      <c r="F3631" s="5" t="s">
        <v>552</v>
      </c>
      <c r="G3631" s="22">
        <v>8.09</v>
      </c>
      <c r="H3631" s="22">
        <v>0</v>
      </c>
      <c r="I3631" s="22">
        <v>0</v>
      </c>
      <c r="J3631" s="22">
        <v>0</v>
      </c>
      <c r="K3631" s="22">
        <v>-0.16</v>
      </c>
      <c r="L3631" s="22">
        <v>7.93</v>
      </c>
      <c r="M3631" s="10"/>
      <c r="O3631" s="11"/>
    </row>
    <row r="3632" spans="1:15" x14ac:dyDescent="0.25">
      <c r="A3632" s="6">
        <v>1824</v>
      </c>
      <c r="B3632" s="5" t="s">
        <v>550</v>
      </c>
      <c r="C3632" s="5" t="s">
        <v>17</v>
      </c>
      <c r="D3632" s="5" t="s">
        <v>456</v>
      </c>
      <c r="E3632" s="5" t="s">
        <v>457</v>
      </c>
      <c r="F3632" s="5" t="s">
        <v>552</v>
      </c>
      <c r="G3632" s="22">
        <v>0.03</v>
      </c>
      <c r="H3632" s="22">
        <v>0</v>
      </c>
      <c r="I3632" s="22">
        <v>0</v>
      </c>
      <c r="J3632" s="22">
        <v>0</v>
      </c>
      <c r="K3632" s="22">
        <v>0</v>
      </c>
      <c r="L3632" s="22">
        <v>0.03</v>
      </c>
      <c r="M3632" s="10"/>
      <c r="O3632" s="11"/>
    </row>
    <row r="3633" spans="1:15" s="4" customFormat="1" x14ac:dyDescent="0.25">
      <c r="A3633" s="6">
        <v>1825</v>
      </c>
      <c r="B3633" s="5" t="s">
        <v>550</v>
      </c>
      <c r="C3633" s="5" t="s">
        <v>17</v>
      </c>
      <c r="D3633" s="5" t="s">
        <v>456</v>
      </c>
      <c r="E3633" s="5" t="s">
        <v>457</v>
      </c>
      <c r="F3633" s="5" t="s">
        <v>552</v>
      </c>
      <c r="G3633" s="22">
        <v>0.03</v>
      </c>
      <c r="H3633" s="22">
        <v>0</v>
      </c>
      <c r="I3633" s="22">
        <v>0</v>
      </c>
      <c r="J3633" s="22">
        <v>0</v>
      </c>
      <c r="K3633" s="22">
        <v>0</v>
      </c>
      <c r="L3633" s="22">
        <v>0.03</v>
      </c>
      <c r="M3633" s="10"/>
      <c r="N3633" s="67"/>
      <c r="O3633" s="11"/>
    </row>
    <row r="3634" spans="1:15" x14ac:dyDescent="0.25">
      <c r="A3634" s="6">
        <v>1826</v>
      </c>
      <c r="B3634" s="5" t="s">
        <v>550</v>
      </c>
      <c r="C3634" s="5" t="s">
        <v>17</v>
      </c>
      <c r="D3634" s="5" t="s">
        <v>456</v>
      </c>
      <c r="E3634" s="5" t="s">
        <v>457</v>
      </c>
      <c r="F3634" s="5" t="s">
        <v>552</v>
      </c>
      <c r="G3634" s="22">
        <v>21.17</v>
      </c>
      <c r="H3634" s="22">
        <v>0</v>
      </c>
      <c r="I3634" s="22">
        <v>0</v>
      </c>
      <c r="J3634" s="22">
        <v>0</v>
      </c>
      <c r="K3634" s="22">
        <v>-0.42</v>
      </c>
      <c r="L3634" s="22">
        <v>20.75</v>
      </c>
      <c r="M3634" s="10"/>
      <c r="O3634" s="11"/>
    </row>
    <row r="3635" spans="1:15" x14ac:dyDescent="0.25">
      <c r="A3635" s="6">
        <v>1827</v>
      </c>
      <c r="B3635" s="5" t="s">
        <v>550</v>
      </c>
      <c r="C3635" s="5" t="s">
        <v>17</v>
      </c>
      <c r="D3635" s="5" t="s">
        <v>456</v>
      </c>
      <c r="E3635" s="5" t="s">
        <v>457</v>
      </c>
      <c r="F3635" s="5" t="s">
        <v>552</v>
      </c>
      <c r="G3635" s="22">
        <v>10.29</v>
      </c>
      <c r="H3635" s="22">
        <v>0</v>
      </c>
      <c r="I3635" s="22">
        <v>0</v>
      </c>
      <c r="J3635" s="22">
        <v>0</v>
      </c>
      <c r="K3635" s="22">
        <v>-0.21</v>
      </c>
      <c r="L3635" s="22">
        <v>10.08</v>
      </c>
      <c r="M3635" s="10"/>
      <c r="O3635" s="11"/>
    </row>
    <row r="3636" spans="1:15" s="4" customFormat="1" x14ac:dyDescent="0.25">
      <c r="A3636" s="6">
        <v>1828</v>
      </c>
      <c r="B3636" s="5" t="s">
        <v>550</v>
      </c>
      <c r="C3636" s="5" t="s">
        <v>17</v>
      </c>
      <c r="D3636" s="5" t="s">
        <v>456</v>
      </c>
      <c r="E3636" s="5" t="s">
        <v>457</v>
      </c>
      <c r="F3636" s="5" t="s">
        <v>552</v>
      </c>
      <c r="G3636" s="22">
        <v>0.09</v>
      </c>
      <c r="H3636" s="22">
        <v>0</v>
      </c>
      <c r="I3636" s="22">
        <v>0</v>
      </c>
      <c r="J3636" s="22">
        <v>0</v>
      </c>
      <c r="K3636" s="22">
        <v>0</v>
      </c>
      <c r="L3636" s="22">
        <v>0.09</v>
      </c>
      <c r="M3636" s="10"/>
      <c r="N3636" s="67"/>
      <c r="O3636" s="11"/>
    </row>
    <row r="3637" spans="1:15" x14ac:dyDescent="0.25">
      <c r="A3637" s="6">
        <v>1829</v>
      </c>
      <c r="B3637" s="5" t="s">
        <v>550</v>
      </c>
      <c r="C3637" s="5" t="s">
        <v>13</v>
      </c>
      <c r="D3637" s="5" t="s">
        <v>456</v>
      </c>
      <c r="E3637" s="5" t="s">
        <v>457</v>
      </c>
      <c r="F3637" s="5" t="s">
        <v>552</v>
      </c>
      <c r="G3637" s="22">
        <v>0</v>
      </c>
      <c r="H3637" s="22">
        <v>0</v>
      </c>
      <c r="I3637" s="22">
        <v>0</v>
      </c>
      <c r="J3637" s="22">
        <v>0</v>
      </c>
      <c r="K3637" s="22">
        <v>0</v>
      </c>
      <c r="L3637" s="22">
        <v>0</v>
      </c>
      <c r="M3637" s="10"/>
      <c r="O3637" s="11"/>
    </row>
    <row r="3638" spans="1:15" x14ac:dyDescent="0.25">
      <c r="A3638" s="6">
        <v>1830</v>
      </c>
      <c r="B3638" s="5" t="s">
        <v>550</v>
      </c>
      <c r="C3638" s="5" t="s">
        <v>13</v>
      </c>
      <c r="D3638" s="5" t="s">
        <v>456</v>
      </c>
      <c r="E3638" s="5" t="s">
        <v>457</v>
      </c>
      <c r="F3638" s="5" t="s">
        <v>552</v>
      </c>
      <c r="G3638" s="22">
        <v>0</v>
      </c>
      <c r="H3638" s="22">
        <v>0</v>
      </c>
      <c r="I3638" s="22">
        <v>0</v>
      </c>
      <c r="J3638" s="22">
        <v>1.84</v>
      </c>
      <c r="K3638" s="22">
        <v>0</v>
      </c>
      <c r="L3638" s="22">
        <v>1.84</v>
      </c>
      <c r="M3638" s="10"/>
      <c r="O3638" s="11"/>
    </row>
    <row r="3639" spans="1:15" s="4" customFormat="1" x14ac:dyDescent="0.25">
      <c r="A3639" s="6">
        <v>1831</v>
      </c>
      <c r="B3639" s="5" t="s">
        <v>550</v>
      </c>
      <c r="C3639" s="5" t="s">
        <v>13</v>
      </c>
      <c r="D3639" s="5" t="s">
        <v>456</v>
      </c>
      <c r="E3639" s="5" t="s">
        <v>457</v>
      </c>
      <c r="F3639" s="5" t="s">
        <v>552</v>
      </c>
      <c r="G3639" s="22">
        <v>0</v>
      </c>
      <c r="H3639" s="22">
        <v>0</v>
      </c>
      <c r="I3639" s="22">
        <v>0</v>
      </c>
      <c r="J3639" s="22">
        <v>0</v>
      </c>
      <c r="K3639" s="22">
        <v>0</v>
      </c>
      <c r="L3639" s="22">
        <v>0</v>
      </c>
      <c r="M3639" s="10"/>
      <c r="N3639" s="67"/>
      <c r="O3639" s="11"/>
    </row>
    <row r="3640" spans="1:15" x14ac:dyDescent="0.25">
      <c r="A3640" s="6">
        <v>1832</v>
      </c>
      <c r="B3640" s="5" t="s">
        <v>550</v>
      </c>
      <c r="C3640" s="5" t="s">
        <v>13</v>
      </c>
      <c r="D3640" s="5" t="s">
        <v>456</v>
      </c>
      <c r="E3640" s="5" t="s">
        <v>457</v>
      </c>
      <c r="F3640" s="5" t="s">
        <v>552</v>
      </c>
      <c r="G3640" s="22">
        <v>0</v>
      </c>
      <c r="H3640" s="22">
        <v>0</v>
      </c>
      <c r="I3640" s="22">
        <v>0</v>
      </c>
      <c r="J3640" s="22">
        <v>0</v>
      </c>
      <c r="K3640" s="22">
        <v>0</v>
      </c>
      <c r="L3640" s="22">
        <v>0</v>
      </c>
      <c r="M3640" s="10"/>
      <c r="O3640" s="11"/>
    </row>
    <row r="3641" spans="1:15" x14ac:dyDescent="0.25">
      <c r="A3641" s="6">
        <v>1833</v>
      </c>
      <c r="B3641" s="5" t="s">
        <v>550</v>
      </c>
      <c r="C3641" s="5" t="s">
        <v>13</v>
      </c>
      <c r="D3641" s="5" t="s">
        <v>456</v>
      </c>
      <c r="E3641" s="5" t="s">
        <v>457</v>
      </c>
      <c r="F3641" s="5" t="s">
        <v>552</v>
      </c>
      <c r="G3641" s="22">
        <v>0</v>
      </c>
      <c r="H3641" s="22">
        <v>0</v>
      </c>
      <c r="I3641" s="22">
        <v>0</v>
      </c>
      <c r="J3641" s="22">
        <v>0</v>
      </c>
      <c r="K3641" s="22">
        <v>0</v>
      </c>
      <c r="L3641" s="22">
        <v>0</v>
      </c>
      <c r="M3641" s="10"/>
      <c r="O3641" s="11"/>
    </row>
    <row r="3642" spans="1:15" s="4" customFormat="1" x14ac:dyDescent="0.25">
      <c r="A3642" s="6">
        <v>1834</v>
      </c>
      <c r="B3642" s="5" t="s">
        <v>550</v>
      </c>
      <c r="C3642" s="5" t="s">
        <v>13</v>
      </c>
      <c r="D3642" s="5" t="s">
        <v>456</v>
      </c>
      <c r="E3642" s="5" t="s">
        <v>457</v>
      </c>
      <c r="F3642" s="5" t="s">
        <v>552</v>
      </c>
      <c r="G3642" s="22">
        <v>0</v>
      </c>
      <c r="H3642" s="22">
        <v>0</v>
      </c>
      <c r="I3642" s="22">
        <v>0</v>
      </c>
      <c r="J3642" s="22">
        <v>0.97</v>
      </c>
      <c r="K3642" s="22">
        <v>0</v>
      </c>
      <c r="L3642" s="22">
        <v>0.97</v>
      </c>
      <c r="M3642" s="10"/>
      <c r="N3642" s="67"/>
      <c r="O3642" s="11"/>
    </row>
    <row r="3643" spans="1:15" s="4" customFormat="1" x14ac:dyDescent="0.25">
      <c r="A3643" s="6"/>
      <c r="B3643" s="5"/>
      <c r="C3643" s="5"/>
      <c r="D3643" s="5" t="s">
        <v>456</v>
      </c>
      <c r="E3643" s="5" t="s">
        <v>457</v>
      </c>
      <c r="F3643" s="5" t="s">
        <v>552</v>
      </c>
      <c r="G3643" s="14">
        <f t="shared" ref="G3643:L3643" si="901">SUBTOTAL(9,G3621:G3642)</f>
        <v>55.09</v>
      </c>
      <c r="H3643" s="14">
        <f t="shared" si="901"/>
        <v>0</v>
      </c>
      <c r="I3643" s="14">
        <f t="shared" si="901"/>
        <v>0</v>
      </c>
      <c r="J3643" s="14">
        <f t="shared" si="901"/>
        <v>6.59</v>
      </c>
      <c r="K3643" s="14">
        <f t="shared" si="901"/>
        <v>-1.0999999999999999</v>
      </c>
      <c r="L3643" s="14">
        <f t="shared" si="901"/>
        <v>60.580000000000013</v>
      </c>
      <c r="M3643" s="10">
        <v>2981</v>
      </c>
      <c r="N3643" s="67"/>
      <c r="O3643" s="11">
        <f>O3619+1</f>
        <v>862</v>
      </c>
    </row>
    <row r="3644" spans="1:15" x14ac:dyDescent="0.25">
      <c r="A3644" s="10"/>
      <c r="G3644" s="21"/>
      <c r="H3644" s="21"/>
      <c r="I3644" s="21"/>
      <c r="J3644" s="21"/>
      <c r="K3644" s="21"/>
      <c r="L3644" s="21"/>
      <c r="M3644" s="10"/>
      <c r="O3644" s="11"/>
    </row>
    <row r="3645" spans="1:15" x14ac:dyDescent="0.25">
      <c r="A3645" s="6">
        <v>1835</v>
      </c>
      <c r="B3645" s="5" t="s">
        <v>22</v>
      </c>
      <c r="C3645" s="5" t="s">
        <v>17</v>
      </c>
      <c r="D3645" s="5" t="s">
        <v>638</v>
      </c>
      <c r="E3645" s="5" t="s">
        <v>639</v>
      </c>
      <c r="F3645" s="5" t="s">
        <v>23</v>
      </c>
      <c r="G3645" s="22">
        <v>0</v>
      </c>
      <c r="H3645" s="22">
        <v>0</v>
      </c>
      <c r="I3645" s="22">
        <v>0.18</v>
      </c>
      <c r="J3645" s="22">
        <v>0</v>
      </c>
      <c r="K3645" s="22">
        <v>0</v>
      </c>
      <c r="L3645" s="22">
        <v>0.18</v>
      </c>
      <c r="M3645" s="10"/>
      <c r="O3645" s="11"/>
    </row>
    <row r="3646" spans="1:15" s="4" customFormat="1" x14ac:dyDescent="0.25">
      <c r="A3646" s="6">
        <v>1836</v>
      </c>
      <c r="B3646" s="5" t="s">
        <v>22</v>
      </c>
      <c r="C3646" s="5" t="s">
        <v>17</v>
      </c>
      <c r="D3646" s="5" t="s">
        <v>638</v>
      </c>
      <c r="E3646" s="5" t="s">
        <v>639</v>
      </c>
      <c r="F3646" s="5" t="s">
        <v>23</v>
      </c>
      <c r="G3646" s="22">
        <v>0</v>
      </c>
      <c r="H3646" s="22">
        <v>0</v>
      </c>
      <c r="I3646" s="22">
        <v>0</v>
      </c>
      <c r="J3646" s="22">
        <v>0</v>
      </c>
      <c r="K3646" s="22">
        <v>0</v>
      </c>
      <c r="L3646" s="22">
        <v>0</v>
      </c>
      <c r="M3646" s="10"/>
      <c r="N3646" s="67"/>
      <c r="O3646" s="11"/>
    </row>
    <row r="3647" spans="1:15" s="4" customFormat="1" x14ac:dyDescent="0.25">
      <c r="A3647" s="6"/>
      <c r="B3647" s="5"/>
      <c r="C3647" s="5"/>
      <c r="D3647" s="5" t="s">
        <v>667</v>
      </c>
      <c r="E3647" s="5" t="s">
        <v>639</v>
      </c>
      <c r="F3647" s="5" t="s">
        <v>23</v>
      </c>
      <c r="G3647" s="14">
        <f t="shared" ref="G3647:L3647" si="902">SUBTOTAL(9,G3645:G3646)</f>
        <v>0</v>
      </c>
      <c r="H3647" s="14">
        <f t="shared" si="902"/>
        <v>0</v>
      </c>
      <c r="I3647" s="14">
        <f t="shared" si="902"/>
        <v>0.18</v>
      </c>
      <c r="J3647" s="14">
        <f t="shared" si="902"/>
        <v>0</v>
      </c>
      <c r="K3647" s="14">
        <f t="shared" si="902"/>
        <v>0</v>
      </c>
      <c r="L3647" s="14">
        <f t="shared" si="902"/>
        <v>0.18</v>
      </c>
      <c r="M3647" s="10">
        <v>2982</v>
      </c>
      <c r="N3647" s="67"/>
      <c r="O3647" s="11">
        <f>O3643+1</f>
        <v>863</v>
      </c>
    </row>
    <row r="3648" spans="1:15" x14ac:dyDescent="0.25">
      <c r="A3648" s="10"/>
      <c r="G3648" s="21"/>
      <c r="H3648" s="21"/>
      <c r="I3648" s="21"/>
      <c r="J3648" s="21"/>
      <c r="K3648" s="21"/>
      <c r="L3648" s="21"/>
      <c r="M3648" s="10"/>
      <c r="O3648" s="11"/>
    </row>
    <row r="3649" spans="1:15" x14ac:dyDescent="0.25">
      <c r="A3649" s="6">
        <v>1837</v>
      </c>
      <c r="B3649" s="5" t="s">
        <v>550</v>
      </c>
      <c r="C3649" s="5" t="s">
        <v>17</v>
      </c>
      <c r="D3649" s="5" t="s">
        <v>638</v>
      </c>
      <c r="E3649" s="5" t="s">
        <v>639</v>
      </c>
      <c r="F3649" s="5" t="s">
        <v>551</v>
      </c>
      <c r="G3649" s="22">
        <v>0</v>
      </c>
      <c r="H3649" s="22">
        <v>0</v>
      </c>
      <c r="I3649" s="22">
        <v>2.85</v>
      </c>
      <c r="J3649" s="22">
        <v>0</v>
      </c>
      <c r="K3649" s="22">
        <v>-0.06</v>
      </c>
      <c r="L3649" s="22">
        <v>2.79</v>
      </c>
      <c r="M3649" s="10"/>
      <c r="O3649" s="11"/>
    </row>
    <row r="3650" spans="1:15" s="4" customFormat="1" x14ac:dyDescent="0.25">
      <c r="A3650" s="6"/>
      <c r="B3650" s="5"/>
      <c r="C3650" s="5"/>
      <c r="D3650" s="5" t="s">
        <v>667</v>
      </c>
      <c r="E3650" s="5" t="s">
        <v>639</v>
      </c>
      <c r="F3650" s="5" t="s">
        <v>551</v>
      </c>
      <c r="G3650" s="14">
        <f t="shared" ref="G3650:L3650" si="903">SUBTOTAL(9,G3649:G3649)</f>
        <v>0</v>
      </c>
      <c r="H3650" s="14">
        <f t="shared" si="903"/>
        <v>0</v>
      </c>
      <c r="I3650" s="14">
        <f t="shared" si="903"/>
        <v>2.85</v>
      </c>
      <c r="J3650" s="14">
        <f t="shared" si="903"/>
        <v>0</v>
      </c>
      <c r="K3650" s="14">
        <f t="shared" si="903"/>
        <v>-0.06</v>
      </c>
      <c r="L3650" s="14">
        <f t="shared" si="903"/>
        <v>2.79</v>
      </c>
      <c r="M3650" s="10">
        <v>2983</v>
      </c>
      <c r="N3650" s="67"/>
      <c r="O3650" s="11">
        <f>O3647+1</f>
        <v>864</v>
      </c>
    </row>
    <row r="3651" spans="1:15" s="4" customFormat="1" x14ac:dyDescent="0.25">
      <c r="A3651" s="10"/>
      <c r="B3651"/>
      <c r="C3651"/>
      <c r="D3651"/>
      <c r="E3651"/>
      <c r="F3651"/>
      <c r="G3651" s="21"/>
      <c r="H3651" s="21"/>
      <c r="I3651" s="21"/>
      <c r="J3651" s="21"/>
      <c r="K3651" s="21"/>
      <c r="L3651" s="21"/>
      <c r="M3651" s="10"/>
      <c r="N3651" s="67"/>
      <c r="O3651" s="11"/>
    </row>
    <row r="3652" spans="1:15" x14ac:dyDescent="0.25">
      <c r="A3652" s="6">
        <v>1838</v>
      </c>
      <c r="B3652" s="5" t="s">
        <v>559</v>
      </c>
      <c r="C3652" s="5" t="s">
        <v>17</v>
      </c>
      <c r="D3652" s="5" t="s">
        <v>458</v>
      </c>
      <c r="E3652" s="5" t="s">
        <v>335</v>
      </c>
      <c r="F3652" s="5" t="s">
        <v>560</v>
      </c>
      <c r="G3652" s="22">
        <v>11.24</v>
      </c>
      <c r="H3652" s="22">
        <v>0</v>
      </c>
      <c r="I3652" s="22">
        <v>0</v>
      </c>
      <c r="J3652" s="22">
        <v>0</v>
      </c>
      <c r="K3652" s="22">
        <v>-0.22</v>
      </c>
      <c r="L3652" s="22">
        <v>11.02</v>
      </c>
      <c r="M3652" s="10"/>
      <c r="O3652" s="11"/>
    </row>
    <row r="3653" spans="1:15" x14ac:dyDescent="0.25">
      <c r="A3653" s="6">
        <v>1839</v>
      </c>
      <c r="B3653" s="5" t="s">
        <v>559</v>
      </c>
      <c r="C3653" s="5" t="s">
        <v>17</v>
      </c>
      <c r="D3653" s="5" t="s">
        <v>458</v>
      </c>
      <c r="E3653" s="5" t="s">
        <v>335</v>
      </c>
      <c r="F3653" s="5" t="s">
        <v>560</v>
      </c>
      <c r="G3653" s="22">
        <v>0</v>
      </c>
      <c r="H3653" s="22">
        <v>0</v>
      </c>
      <c r="I3653" s="22">
        <v>0.03</v>
      </c>
      <c r="J3653" s="22">
        <v>0</v>
      </c>
      <c r="K3653" s="22">
        <v>0</v>
      </c>
      <c r="L3653" s="22">
        <v>0.03</v>
      </c>
      <c r="M3653" s="10"/>
      <c r="O3653" s="11"/>
    </row>
    <row r="3654" spans="1:15" s="4" customFormat="1" x14ac:dyDescent="0.25">
      <c r="A3654" s="6">
        <v>1840</v>
      </c>
      <c r="B3654" s="5" t="s">
        <v>559</v>
      </c>
      <c r="C3654" s="5" t="s">
        <v>13</v>
      </c>
      <c r="D3654" s="5" t="s">
        <v>458</v>
      </c>
      <c r="E3654" s="5" t="s">
        <v>335</v>
      </c>
      <c r="F3654" s="5" t="s">
        <v>560</v>
      </c>
      <c r="G3654" s="22">
        <v>0</v>
      </c>
      <c r="H3654" s="22">
        <v>0</v>
      </c>
      <c r="I3654" s="22">
        <v>0</v>
      </c>
      <c r="J3654" s="22">
        <v>1.35</v>
      </c>
      <c r="K3654" s="22">
        <v>0</v>
      </c>
      <c r="L3654" s="22">
        <v>1.35</v>
      </c>
      <c r="M3654" s="10"/>
      <c r="N3654" s="67"/>
      <c r="O3654" s="11"/>
    </row>
    <row r="3655" spans="1:15" s="4" customFormat="1" x14ac:dyDescent="0.25">
      <c r="A3655" s="6"/>
      <c r="B3655" s="5"/>
      <c r="C3655" s="5"/>
      <c r="D3655" s="5" t="s">
        <v>458</v>
      </c>
      <c r="E3655" s="5" t="s">
        <v>335</v>
      </c>
      <c r="F3655" s="5" t="s">
        <v>560</v>
      </c>
      <c r="G3655" s="14">
        <f t="shared" ref="G3655:L3655" si="904">SUBTOTAL(9,G3652:G3654)</f>
        <v>11.24</v>
      </c>
      <c r="H3655" s="14">
        <f t="shared" si="904"/>
        <v>0</v>
      </c>
      <c r="I3655" s="14">
        <f t="shared" si="904"/>
        <v>0.03</v>
      </c>
      <c r="J3655" s="14">
        <f t="shared" si="904"/>
        <v>1.35</v>
      </c>
      <c r="K3655" s="14">
        <f t="shared" si="904"/>
        <v>-0.22</v>
      </c>
      <c r="L3655" s="14">
        <f t="shared" si="904"/>
        <v>12.399999999999999</v>
      </c>
      <c r="M3655" s="10">
        <v>2984</v>
      </c>
      <c r="N3655" s="67"/>
      <c r="O3655" s="11">
        <f>O3650+1</f>
        <v>865</v>
      </c>
    </row>
    <row r="3656" spans="1:15" x14ac:dyDescent="0.25">
      <c r="A3656" s="10"/>
      <c r="G3656" s="21"/>
      <c r="H3656" s="21"/>
      <c r="I3656" s="21"/>
      <c r="J3656" s="21"/>
      <c r="K3656" s="21"/>
      <c r="L3656" s="21"/>
      <c r="M3656" s="10"/>
      <c r="O3656" s="11"/>
    </row>
    <row r="3657" spans="1:15" x14ac:dyDescent="0.25">
      <c r="A3657" s="6">
        <v>1841</v>
      </c>
      <c r="B3657" s="5" t="s">
        <v>18</v>
      </c>
      <c r="C3657" s="5" t="s">
        <v>17</v>
      </c>
      <c r="D3657" s="5" t="s">
        <v>458</v>
      </c>
      <c r="E3657" s="5" t="s">
        <v>335</v>
      </c>
      <c r="F3657" s="5" t="s">
        <v>19</v>
      </c>
      <c r="G3657" s="22">
        <v>1.68</v>
      </c>
      <c r="H3657" s="22">
        <v>0</v>
      </c>
      <c r="I3657" s="22">
        <v>0</v>
      </c>
      <c r="J3657" s="22">
        <v>0</v>
      </c>
      <c r="K3657" s="22">
        <v>-1.49</v>
      </c>
      <c r="L3657" s="22">
        <v>0.19</v>
      </c>
      <c r="M3657" s="10"/>
      <c r="O3657" s="11"/>
    </row>
    <row r="3658" spans="1:15" s="4" customFormat="1" x14ac:dyDescent="0.25">
      <c r="A3658" s="6">
        <v>1842</v>
      </c>
      <c r="B3658" s="5" t="s">
        <v>18</v>
      </c>
      <c r="C3658" s="5" t="s">
        <v>17</v>
      </c>
      <c r="D3658" s="5" t="s">
        <v>458</v>
      </c>
      <c r="E3658" s="5" t="s">
        <v>335</v>
      </c>
      <c r="F3658" s="5" t="s">
        <v>19</v>
      </c>
      <c r="G3658" s="22">
        <v>0.02</v>
      </c>
      <c r="H3658" s="22">
        <v>0</v>
      </c>
      <c r="I3658" s="22">
        <v>0</v>
      </c>
      <c r="J3658" s="22">
        <v>0</v>
      </c>
      <c r="K3658" s="22">
        <v>-0.02</v>
      </c>
      <c r="L3658" s="22">
        <v>0</v>
      </c>
      <c r="M3658" s="10"/>
      <c r="N3658" s="67"/>
      <c r="O3658" s="11"/>
    </row>
    <row r="3659" spans="1:15" x14ac:dyDescent="0.25">
      <c r="A3659" s="6">
        <v>1843</v>
      </c>
      <c r="B3659" s="5" t="s">
        <v>18</v>
      </c>
      <c r="C3659" s="5" t="s">
        <v>17</v>
      </c>
      <c r="D3659" s="5" t="s">
        <v>458</v>
      </c>
      <c r="E3659" s="5" t="s">
        <v>335</v>
      </c>
      <c r="F3659" s="5" t="s">
        <v>19</v>
      </c>
      <c r="G3659" s="22">
        <v>2.41</v>
      </c>
      <c r="H3659" s="22">
        <v>0</v>
      </c>
      <c r="I3659" s="22">
        <v>0</v>
      </c>
      <c r="J3659" s="22">
        <v>0</v>
      </c>
      <c r="K3659" s="22">
        <v>-2.14</v>
      </c>
      <c r="L3659" s="22">
        <v>0.27</v>
      </c>
      <c r="M3659" s="10"/>
      <c r="O3659" s="11"/>
    </row>
    <row r="3660" spans="1:15" x14ac:dyDescent="0.25">
      <c r="A3660" s="6">
        <v>1844</v>
      </c>
      <c r="B3660" s="5" t="s">
        <v>18</v>
      </c>
      <c r="C3660" s="5" t="s">
        <v>17</v>
      </c>
      <c r="D3660" s="5" t="s">
        <v>458</v>
      </c>
      <c r="E3660" s="5" t="s">
        <v>335</v>
      </c>
      <c r="F3660" s="5" t="s">
        <v>19</v>
      </c>
      <c r="G3660" s="22">
        <v>0</v>
      </c>
      <c r="H3660" s="22">
        <v>0</v>
      </c>
      <c r="I3660" s="22">
        <v>0.08</v>
      </c>
      <c r="J3660" s="22">
        <v>0</v>
      </c>
      <c r="K3660" s="22">
        <v>-0.01</v>
      </c>
      <c r="L3660" s="22">
        <v>7.0000000000000007E-2</v>
      </c>
      <c r="M3660" s="10"/>
      <c r="O3660" s="11"/>
    </row>
    <row r="3661" spans="1:15" s="4" customFormat="1" x14ac:dyDescent="0.25">
      <c r="A3661" s="6">
        <v>1845</v>
      </c>
      <c r="B3661" s="5" t="s">
        <v>18</v>
      </c>
      <c r="C3661" s="5" t="s">
        <v>17</v>
      </c>
      <c r="D3661" s="5" t="s">
        <v>458</v>
      </c>
      <c r="E3661" s="5" t="s">
        <v>335</v>
      </c>
      <c r="F3661" s="5" t="s">
        <v>19</v>
      </c>
      <c r="G3661" s="22">
        <v>0</v>
      </c>
      <c r="H3661" s="22">
        <v>0</v>
      </c>
      <c r="I3661" s="22">
        <v>89.51</v>
      </c>
      <c r="J3661" s="22">
        <v>0</v>
      </c>
      <c r="K3661" s="22">
        <v>-10.53</v>
      </c>
      <c r="L3661" s="22">
        <v>78.98</v>
      </c>
      <c r="M3661" s="10"/>
      <c r="N3661" s="67"/>
      <c r="O3661" s="11"/>
    </row>
    <row r="3662" spans="1:15" x14ac:dyDescent="0.25">
      <c r="A3662" s="6"/>
      <c r="B3662" s="5"/>
      <c r="C3662" s="5"/>
      <c r="D3662" s="5" t="s">
        <v>458</v>
      </c>
      <c r="E3662" s="5" t="s">
        <v>335</v>
      </c>
      <c r="F3662" s="5" t="s">
        <v>19</v>
      </c>
      <c r="G3662" s="14">
        <f t="shared" ref="G3662:L3662" si="905">SUBTOTAL(9,G3657:G3661)</f>
        <v>4.1100000000000003</v>
      </c>
      <c r="H3662" s="14">
        <f t="shared" si="905"/>
        <v>0</v>
      </c>
      <c r="I3662" s="14">
        <f t="shared" si="905"/>
        <v>89.59</v>
      </c>
      <c r="J3662" s="14">
        <f t="shared" si="905"/>
        <v>0</v>
      </c>
      <c r="K3662" s="14">
        <f t="shared" si="905"/>
        <v>-14.19</v>
      </c>
      <c r="L3662" s="14">
        <f t="shared" si="905"/>
        <v>79.510000000000005</v>
      </c>
      <c r="M3662" s="10">
        <v>2985</v>
      </c>
      <c r="O3662" s="11">
        <f>O3655+1</f>
        <v>866</v>
      </c>
    </row>
    <row r="3663" spans="1:15" x14ac:dyDescent="0.25">
      <c r="A3663" s="10"/>
      <c r="G3663" s="21"/>
      <c r="H3663" s="21"/>
      <c r="I3663" s="21"/>
      <c r="J3663" s="21"/>
      <c r="K3663" s="21"/>
      <c r="L3663" s="21"/>
      <c r="M3663" s="10"/>
      <c r="O3663" s="11"/>
    </row>
    <row r="3664" spans="1:15" s="4" customFormat="1" x14ac:dyDescent="0.25">
      <c r="A3664" s="6">
        <v>1846</v>
      </c>
      <c r="B3664" s="5" t="s">
        <v>20</v>
      </c>
      <c r="C3664" s="5" t="s">
        <v>13</v>
      </c>
      <c r="D3664" s="5" t="s">
        <v>458</v>
      </c>
      <c r="E3664" s="5" t="s">
        <v>335</v>
      </c>
      <c r="F3664" s="5" t="s">
        <v>21</v>
      </c>
      <c r="G3664" s="22">
        <v>0</v>
      </c>
      <c r="H3664" s="22">
        <v>0</v>
      </c>
      <c r="I3664" s="22">
        <v>0</v>
      </c>
      <c r="J3664" s="22">
        <v>0.01</v>
      </c>
      <c r="K3664" s="22">
        <v>0</v>
      </c>
      <c r="L3664" s="22">
        <v>0.01</v>
      </c>
      <c r="M3664" s="10"/>
      <c r="N3664" s="67"/>
      <c r="O3664" s="11"/>
    </row>
    <row r="3665" spans="1:15" s="4" customFormat="1" x14ac:dyDescent="0.25">
      <c r="A3665" s="6"/>
      <c r="B3665" s="5"/>
      <c r="C3665" s="5"/>
      <c r="D3665" s="5" t="s">
        <v>458</v>
      </c>
      <c r="E3665" s="5" t="s">
        <v>335</v>
      </c>
      <c r="F3665" s="5" t="s">
        <v>21</v>
      </c>
      <c r="G3665" s="14">
        <f t="shared" ref="G3665:L3665" si="906">SUBTOTAL(9,G3664:G3664)</f>
        <v>0</v>
      </c>
      <c r="H3665" s="14">
        <f t="shared" si="906"/>
        <v>0</v>
      </c>
      <c r="I3665" s="14">
        <f t="shared" si="906"/>
        <v>0</v>
      </c>
      <c r="J3665" s="14">
        <f t="shared" si="906"/>
        <v>0.01</v>
      </c>
      <c r="K3665" s="14">
        <f t="shared" si="906"/>
        <v>0</v>
      </c>
      <c r="L3665" s="14">
        <f t="shared" si="906"/>
        <v>0.01</v>
      </c>
      <c r="M3665" s="10">
        <v>2986</v>
      </c>
      <c r="N3665" s="67"/>
      <c r="O3665" s="11">
        <f>O3662+1</f>
        <v>867</v>
      </c>
    </row>
    <row r="3666" spans="1:15" x14ac:dyDescent="0.25">
      <c r="A3666" s="10"/>
      <c r="G3666" s="21"/>
      <c r="H3666" s="21"/>
      <c r="I3666" s="21"/>
      <c r="J3666" s="21"/>
      <c r="K3666" s="21"/>
      <c r="L3666" s="21"/>
      <c r="M3666" s="10"/>
      <c r="O3666" s="11"/>
    </row>
    <row r="3667" spans="1:15" x14ac:dyDescent="0.25">
      <c r="A3667" s="6">
        <v>1847</v>
      </c>
      <c r="B3667" s="5" t="s">
        <v>550</v>
      </c>
      <c r="C3667" s="5" t="s">
        <v>13</v>
      </c>
      <c r="D3667" s="5" t="s">
        <v>458</v>
      </c>
      <c r="E3667" s="5" t="s">
        <v>335</v>
      </c>
      <c r="F3667" s="5" t="s">
        <v>551</v>
      </c>
      <c r="G3667" s="22">
        <v>0</v>
      </c>
      <c r="H3667" s="22">
        <v>0</v>
      </c>
      <c r="I3667" s="22">
        <v>0</v>
      </c>
      <c r="J3667" s="22">
        <v>6271.11</v>
      </c>
      <c r="K3667" s="22">
        <v>0</v>
      </c>
      <c r="L3667" s="22">
        <v>6271.11</v>
      </c>
      <c r="M3667" s="10"/>
      <c r="O3667" s="11"/>
    </row>
    <row r="3668" spans="1:15" s="4" customFormat="1" x14ac:dyDescent="0.25">
      <c r="A3668" s="6">
        <v>1848</v>
      </c>
      <c r="B3668" s="5" t="s">
        <v>550</v>
      </c>
      <c r="C3668" s="5" t="s">
        <v>17</v>
      </c>
      <c r="D3668" s="5" t="s">
        <v>458</v>
      </c>
      <c r="E3668" s="5" t="s">
        <v>335</v>
      </c>
      <c r="F3668" s="5" t="s">
        <v>551</v>
      </c>
      <c r="G3668" s="22">
        <v>33315.01</v>
      </c>
      <c r="H3668" s="22">
        <v>0</v>
      </c>
      <c r="I3668" s="22">
        <v>0</v>
      </c>
      <c r="J3668" s="22">
        <v>0</v>
      </c>
      <c r="K3668" s="22">
        <v>-666.3</v>
      </c>
      <c r="L3668" s="22">
        <v>32648.71</v>
      </c>
      <c r="M3668" s="10"/>
      <c r="N3668" s="67"/>
      <c r="O3668" s="11"/>
    </row>
    <row r="3669" spans="1:15" s="4" customFormat="1" x14ac:dyDescent="0.25">
      <c r="A3669" s="6">
        <v>1849</v>
      </c>
      <c r="B3669" s="5" t="s">
        <v>550</v>
      </c>
      <c r="C3669" s="5" t="s">
        <v>17</v>
      </c>
      <c r="D3669" s="5" t="s">
        <v>458</v>
      </c>
      <c r="E3669" s="5" t="s">
        <v>335</v>
      </c>
      <c r="F3669" s="5" t="s">
        <v>551</v>
      </c>
      <c r="G3669" s="22">
        <v>153.51</v>
      </c>
      <c r="H3669" s="22">
        <v>0</v>
      </c>
      <c r="I3669" s="22">
        <v>0</v>
      </c>
      <c r="J3669" s="22">
        <v>0</v>
      </c>
      <c r="K3669" s="22">
        <v>-3.07</v>
      </c>
      <c r="L3669" s="22">
        <v>150.44</v>
      </c>
      <c r="M3669" s="10"/>
      <c r="N3669" s="67"/>
      <c r="O3669" s="11"/>
    </row>
    <row r="3670" spans="1:15" x14ac:dyDescent="0.25">
      <c r="A3670" s="6">
        <v>1850</v>
      </c>
      <c r="B3670" s="5" t="s">
        <v>550</v>
      </c>
      <c r="C3670" s="5" t="s">
        <v>17</v>
      </c>
      <c r="D3670" s="5" t="s">
        <v>458</v>
      </c>
      <c r="E3670" s="5" t="s">
        <v>335</v>
      </c>
      <c r="F3670" s="5" t="s">
        <v>551</v>
      </c>
      <c r="G3670" s="22">
        <v>175.05</v>
      </c>
      <c r="H3670" s="22">
        <v>0</v>
      </c>
      <c r="I3670" s="22">
        <v>0</v>
      </c>
      <c r="J3670" s="22">
        <v>0</v>
      </c>
      <c r="K3670" s="22">
        <v>-3.5</v>
      </c>
      <c r="L3670" s="22">
        <v>171.55</v>
      </c>
      <c r="M3670" s="10"/>
      <c r="O3670" s="11"/>
    </row>
    <row r="3671" spans="1:15" x14ac:dyDescent="0.25">
      <c r="A3671" s="6">
        <v>1851</v>
      </c>
      <c r="B3671" s="5" t="s">
        <v>550</v>
      </c>
      <c r="C3671" s="5" t="s">
        <v>17</v>
      </c>
      <c r="D3671" s="5" t="s">
        <v>458</v>
      </c>
      <c r="E3671" s="5" t="s">
        <v>335</v>
      </c>
      <c r="F3671" s="5" t="s">
        <v>551</v>
      </c>
      <c r="G3671" s="22">
        <v>52259.22</v>
      </c>
      <c r="H3671" s="22">
        <v>0</v>
      </c>
      <c r="I3671" s="22">
        <v>0</v>
      </c>
      <c r="J3671" s="22">
        <v>0</v>
      </c>
      <c r="K3671" s="22">
        <v>-1045.18</v>
      </c>
      <c r="L3671" s="22">
        <v>51214.04</v>
      </c>
      <c r="M3671" s="10"/>
      <c r="O3671" s="11"/>
    </row>
    <row r="3672" spans="1:15" s="4" customFormat="1" x14ac:dyDescent="0.25">
      <c r="A3672" s="6">
        <v>1852</v>
      </c>
      <c r="B3672" s="5" t="s">
        <v>550</v>
      </c>
      <c r="C3672" s="5" t="s">
        <v>17</v>
      </c>
      <c r="D3672" s="5" t="s">
        <v>458</v>
      </c>
      <c r="E3672" s="5" t="s">
        <v>335</v>
      </c>
      <c r="F3672" s="5" t="s">
        <v>551</v>
      </c>
      <c r="G3672" s="22">
        <v>0</v>
      </c>
      <c r="H3672" s="22">
        <v>0</v>
      </c>
      <c r="I3672" s="22">
        <v>675742.04</v>
      </c>
      <c r="J3672" s="22">
        <v>0</v>
      </c>
      <c r="K3672" s="22">
        <v>-13514.84</v>
      </c>
      <c r="L3672" s="22">
        <v>662227.19999999995</v>
      </c>
      <c r="M3672" s="10"/>
      <c r="N3672" s="67"/>
      <c r="O3672" s="11"/>
    </row>
    <row r="3673" spans="1:15" s="4" customFormat="1" x14ac:dyDescent="0.25">
      <c r="A3673" s="6">
        <v>1853</v>
      </c>
      <c r="B3673" s="5" t="s">
        <v>550</v>
      </c>
      <c r="C3673" s="5" t="s">
        <v>17</v>
      </c>
      <c r="D3673" s="5" t="s">
        <v>458</v>
      </c>
      <c r="E3673" s="5" t="s">
        <v>335</v>
      </c>
      <c r="F3673" s="5" t="s">
        <v>551</v>
      </c>
      <c r="G3673" s="22">
        <v>0</v>
      </c>
      <c r="H3673" s="22">
        <v>0</v>
      </c>
      <c r="I3673" s="22">
        <v>506.37</v>
      </c>
      <c r="J3673" s="22">
        <v>0</v>
      </c>
      <c r="K3673" s="22">
        <v>-10.130000000000001</v>
      </c>
      <c r="L3673" s="22">
        <v>496.24</v>
      </c>
      <c r="M3673" s="10"/>
      <c r="N3673" s="67"/>
      <c r="O3673" s="11"/>
    </row>
    <row r="3674" spans="1:15" s="4" customFormat="1" x14ac:dyDescent="0.25">
      <c r="A3674" s="6">
        <v>1854</v>
      </c>
      <c r="B3674" s="5" t="s">
        <v>550</v>
      </c>
      <c r="C3674" s="5" t="s">
        <v>13</v>
      </c>
      <c r="D3674" s="5" t="s">
        <v>458</v>
      </c>
      <c r="E3674" s="5" t="s">
        <v>335</v>
      </c>
      <c r="F3674" s="5" t="s">
        <v>551</v>
      </c>
      <c r="G3674" s="22">
        <v>0</v>
      </c>
      <c r="H3674" s="22">
        <v>0</v>
      </c>
      <c r="I3674" s="22">
        <v>0</v>
      </c>
      <c r="J3674" s="22">
        <v>3997.8</v>
      </c>
      <c r="K3674" s="22">
        <v>0</v>
      </c>
      <c r="L3674" s="22">
        <v>3997.8</v>
      </c>
      <c r="M3674" s="10"/>
      <c r="N3674" s="67"/>
      <c r="O3674" s="11"/>
    </row>
    <row r="3675" spans="1:15" x14ac:dyDescent="0.25">
      <c r="A3675" s="6">
        <v>1855</v>
      </c>
      <c r="B3675" s="5" t="s">
        <v>550</v>
      </c>
      <c r="C3675" s="5" t="s">
        <v>13</v>
      </c>
      <c r="D3675" s="5" t="s">
        <v>458</v>
      </c>
      <c r="E3675" s="5" t="s">
        <v>335</v>
      </c>
      <c r="F3675" s="5" t="s">
        <v>551</v>
      </c>
      <c r="G3675" s="22">
        <v>0</v>
      </c>
      <c r="H3675" s="22">
        <v>0</v>
      </c>
      <c r="I3675" s="22">
        <v>0</v>
      </c>
      <c r="J3675" s="22">
        <v>18.420000000000002</v>
      </c>
      <c r="K3675" s="22">
        <v>0</v>
      </c>
      <c r="L3675" s="22">
        <v>18.420000000000002</v>
      </c>
      <c r="M3675" s="10"/>
      <c r="O3675" s="11"/>
    </row>
    <row r="3676" spans="1:15" x14ac:dyDescent="0.25">
      <c r="A3676" s="6">
        <v>1856</v>
      </c>
      <c r="B3676" s="5" t="s">
        <v>550</v>
      </c>
      <c r="C3676" s="5" t="s">
        <v>13</v>
      </c>
      <c r="D3676" s="5" t="s">
        <v>458</v>
      </c>
      <c r="E3676" s="5" t="s">
        <v>335</v>
      </c>
      <c r="F3676" s="5" t="s">
        <v>551</v>
      </c>
      <c r="G3676" s="22">
        <v>0</v>
      </c>
      <c r="H3676" s="22">
        <v>0</v>
      </c>
      <c r="I3676" s="22">
        <v>0</v>
      </c>
      <c r="J3676" s="22">
        <v>21.01</v>
      </c>
      <c r="K3676" s="22">
        <v>0</v>
      </c>
      <c r="L3676" s="22">
        <v>21.01</v>
      </c>
      <c r="M3676" s="10"/>
      <c r="O3676" s="11"/>
    </row>
    <row r="3677" spans="1:15" s="4" customFormat="1" x14ac:dyDescent="0.25">
      <c r="A3677" s="6"/>
      <c r="B3677" s="5"/>
      <c r="C3677" s="5"/>
      <c r="D3677" s="5" t="s">
        <v>458</v>
      </c>
      <c r="E3677" s="5" t="s">
        <v>335</v>
      </c>
      <c r="F3677" s="5" t="s">
        <v>551</v>
      </c>
      <c r="G3677" s="14">
        <f t="shared" ref="G3677:L3677" si="907">SUBTOTAL(9,G3667:G3676)</f>
        <v>85902.790000000008</v>
      </c>
      <c r="H3677" s="14">
        <f t="shared" si="907"/>
        <v>0</v>
      </c>
      <c r="I3677" s="14">
        <f t="shared" si="907"/>
        <v>676248.41</v>
      </c>
      <c r="J3677" s="14">
        <f t="shared" si="907"/>
        <v>10308.34</v>
      </c>
      <c r="K3677" s="14">
        <f t="shared" si="907"/>
        <v>-15243.019999999999</v>
      </c>
      <c r="L3677" s="14">
        <f t="shared" si="907"/>
        <v>757216.52</v>
      </c>
      <c r="M3677" s="10">
        <v>2987</v>
      </c>
      <c r="N3677" s="67"/>
      <c r="O3677" s="11">
        <f>O3665+1</f>
        <v>868</v>
      </c>
    </row>
    <row r="3678" spans="1:15" s="4" customFormat="1" x14ac:dyDescent="0.25">
      <c r="A3678" s="10"/>
      <c r="B3678"/>
      <c r="C3678"/>
      <c r="D3678"/>
      <c r="E3678"/>
      <c r="F3678"/>
      <c r="G3678" s="21"/>
      <c r="H3678" s="21"/>
      <c r="I3678" s="21"/>
      <c r="J3678" s="21"/>
      <c r="K3678" s="21"/>
      <c r="L3678" s="21"/>
      <c r="M3678" s="10"/>
      <c r="N3678" s="67"/>
      <c r="O3678" s="11"/>
    </row>
    <row r="3679" spans="1:15" s="4" customFormat="1" x14ac:dyDescent="0.25">
      <c r="A3679" s="6">
        <v>1857</v>
      </c>
      <c r="B3679" s="5" t="s">
        <v>550</v>
      </c>
      <c r="C3679" s="5" t="s">
        <v>13</v>
      </c>
      <c r="D3679" s="5" t="s">
        <v>458</v>
      </c>
      <c r="E3679" s="5" t="s">
        <v>335</v>
      </c>
      <c r="F3679" s="5" t="s">
        <v>552</v>
      </c>
      <c r="G3679" s="22">
        <v>0</v>
      </c>
      <c r="H3679" s="22">
        <v>0</v>
      </c>
      <c r="I3679" s="22">
        <v>0</v>
      </c>
      <c r="J3679" s="22">
        <v>0.45</v>
      </c>
      <c r="K3679" s="22">
        <v>0</v>
      </c>
      <c r="L3679" s="22">
        <v>0.45</v>
      </c>
      <c r="M3679" s="10"/>
      <c r="N3679" s="67"/>
      <c r="O3679" s="11"/>
    </row>
    <row r="3680" spans="1:15" x14ac:dyDescent="0.25">
      <c r="A3680" s="6">
        <v>1858</v>
      </c>
      <c r="B3680" s="5" t="s">
        <v>550</v>
      </c>
      <c r="C3680" s="5" t="s">
        <v>17</v>
      </c>
      <c r="D3680" s="5" t="s">
        <v>458</v>
      </c>
      <c r="E3680" s="5" t="s">
        <v>335</v>
      </c>
      <c r="F3680" s="5" t="s">
        <v>552</v>
      </c>
      <c r="G3680" s="22">
        <v>2.4</v>
      </c>
      <c r="H3680" s="22">
        <v>0</v>
      </c>
      <c r="I3680" s="22">
        <v>0</v>
      </c>
      <c r="J3680" s="22">
        <v>0</v>
      </c>
      <c r="K3680" s="22">
        <v>-0.05</v>
      </c>
      <c r="L3680" s="22">
        <v>2.35</v>
      </c>
      <c r="M3680" s="10"/>
      <c r="O3680" s="11"/>
    </row>
    <row r="3681" spans="1:15" x14ac:dyDescent="0.25">
      <c r="A3681" s="6">
        <v>1859</v>
      </c>
      <c r="B3681" s="5" t="s">
        <v>550</v>
      </c>
      <c r="C3681" s="5" t="s">
        <v>17</v>
      </c>
      <c r="D3681" s="5" t="s">
        <v>458</v>
      </c>
      <c r="E3681" s="5" t="s">
        <v>335</v>
      </c>
      <c r="F3681" s="5" t="s">
        <v>552</v>
      </c>
      <c r="G3681" s="22">
        <v>0.01</v>
      </c>
      <c r="H3681" s="22">
        <v>0</v>
      </c>
      <c r="I3681" s="22">
        <v>0</v>
      </c>
      <c r="J3681" s="22">
        <v>0</v>
      </c>
      <c r="K3681" s="22">
        <v>0</v>
      </c>
      <c r="L3681" s="22">
        <v>0.01</v>
      </c>
      <c r="M3681" s="10"/>
      <c r="O3681" s="11"/>
    </row>
    <row r="3682" spans="1:15" s="4" customFormat="1" x14ac:dyDescent="0.25">
      <c r="A3682" s="6">
        <v>1860</v>
      </c>
      <c r="B3682" s="5" t="s">
        <v>550</v>
      </c>
      <c r="C3682" s="5" t="s">
        <v>17</v>
      </c>
      <c r="D3682" s="5" t="s">
        <v>458</v>
      </c>
      <c r="E3682" s="5" t="s">
        <v>335</v>
      </c>
      <c r="F3682" s="5" t="s">
        <v>552</v>
      </c>
      <c r="G3682" s="22">
        <v>0.01</v>
      </c>
      <c r="H3682" s="22">
        <v>0</v>
      </c>
      <c r="I3682" s="22">
        <v>0</v>
      </c>
      <c r="J3682" s="22">
        <v>0</v>
      </c>
      <c r="K3682" s="22">
        <v>0</v>
      </c>
      <c r="L3682" s="22">
        <v>0.01</v>
      </c>
      <c r="M3682" s="10"/>
      <c r="N3682" s="67"/>
      <c r="O3682" s="11"/>
    </row>
    <row r="3683" spans="1:15" s="4" customFormat="1" x14ac:dyDescent="0.25">
      <c r="A3683" s="6">
        <v>1861</v>
      </c>
      <c r="B3683" s="5" t="s">
        <v>550</v>
      </c>
      <c r="C3683" s="5" t="s">
        <v>17</v>
      </c>
      <c r="D3683" s="5" t="s">
        <v>458</v>
      </c>
      <c r="E3683" s="5" t="s">
        <v>335</v>
      </c>
      <c r="F3683" s="5" t="s">
        <v>552</v>
      </c>
      <c r="G3683" s="22">
        <v>3.76</v>
      </c>
      <c r="H3683" s="22">
        <v>0</v>
      </c>
      <c r="I3683" s="22">
        <v>0</v>
      </c>
      <c r="J3683" s="22">
        <v>0</v>
      </c>
      <c r="K3683" s="22">
        <v>-0.08</v>
      </c>
      <c r="L3683" s="22">
        <v>3.68</v>
      </c>
      <c r="M3683" s="10"/>
      <c r="N3683" s="67"/>
      <c r="O3683" s="11"/>
    </row>
    <row r="3684" spans="1:15" x14ac:dyDescent="0.25">
      <c r="A3684" s="6">
        <v>1862</v>
      </c>
      <c r="B3684" s="5" t="s">
        <v>550</v>
      </c>
      <c r="C3684" s="5" t="s">
        <v>17</v>
      </c>
      <c r="D3684" s="5" t="s">
        <v>458</v>
      </c>
      <c r="E3684" s="5" t="s">
        <v>335</v>
      </c>
      <c r="F3684" s="5" t="s">
        <v>552</v>
      </c>
      <c r="G3684" s="22">
        <v>0</v>
      </c>
      <c r="H3684" s="22">
        <v>0</v>
      </c>
      <c r="I3684" s="22">
        <v>48.6</v>
      </c>
      <c r="J3684" s="22">
        <v>0</v>
      </c>
      <c r="K3684" s="22">
        <v>-0.97</v>
      </c>
      <c r="L3684" s="22">
        <v>47.63</v>
      </c>
      <c r="M3684" s="10"/>
      <c r="O3684" s="11"/>
    </row>
    <row r="3685" spans="1:15" x14ac:dyDescent="0.25">
      <c r="A3685" s="6">
        <v>1863</v>
      </c>
      <c r="B3685" s="5" t="s">
        <v>550</v>
      </c>
      <c r="C3685" s="5" t="s">
        <v>17</v>
      </c>
      <c r="D3685" s="5" t="s">
        <v>458</v>
      </c>
      <c r="E3685" s="5" t="s">
        <v>335</v>
      </c>
      <c r="F3685" s="5" t="s">
        <v>552</v>
      </c>
      <c r="G3685" s="22">
        <v>0</v>
      </c>
      <c r="H3685" s="22">
        <v>0</v>
      </c>
      <c r="I3685" s="22">
        <v>0.04</v>
      </c>
      <c r="J3685" s="22">
        <v>0</v>
      </c>
      <c r="K3685" s="22">
        <v>0</v>
      </c>
      <c r="L3685" s="22">
        <v>0.04</v>
      </c>
      <c r="M3685" s="10"/>
      <c r="O3685" s="11"/>
    </row>
    <row r="3686" spans="1:15" s="4" customFormat="1" x14ac:dyDescent="0.25">
      <c r="A3686" s="6">
        <v>1864</v>
      </c>
      <c r="B3686" s="5" t="s">
        <v>550</v>
      </c>
      <c r="C3686" s="5" t="s">
        <v>13</v>
      </c>
      <c r="D3686" s="5" t="s">
        <v>458</v>
      </c>
      <c r="E3686" s="5" t="s">
        <v>335</v>
      </c>
      <c r="F3686" s="5" t="s">
        <v>552</v>
      </c>
      <c r="G3686" s="22">
        <v>0</v>
      </c>
      <c r="H3686" s="22">
        <v>0</v>
      </c>
      <c r="I3686" s="22">
        <v>0</v>
      </c>
      <c r="J3686" s="22">
        <v>0.28999999999999998</v>
      </c>
      <c r="K3686" s="22">
        <v>0</v>
      </c>
      <c r="L3686" s="22">
        <v>0.28999999999999998</v>
      </c>
      <c r="M3686" s="10"/>
      <c r="N3686" s="67"/>
      <c r="O3686" s="11"/>
    </row>
    <row r="3687" spans="1:15" x14ac:dyDescent="0.25">
      <c r="A3687" s="6">
        <v>1865</v>
      </c>
      <c r="B3687" s="5" t="s">
        <v>550</v>
      </c>
      <c r="C3687" s="5" t="s">
        <v>13</v>
      </c>
      <c r="D3687" s="5" t="s">
        <v>458</v>
      </c>
      <c r="E3687" s="5" t="s">
        <v>335</v>
      </c>
      <c r="F3687" s="5" t="s">
        <v>552</v>
      </c>
      <c r="G3687" s="22">
        <v>0</v>
      </c>
      <c r="H3687" s="22">
        <v>0</v>
      </c>
      <c r="I3687" s="22">
        <v>0</v>
      </c>
      <c r="J3687" s="22">
        <v>0</v>
      </c>
      <c r="K3687" s="22">
        <v>0</v>
      </c>
      <c r="L3687" s="22">
        <v>0</v>
      </c>
      <c r="M3687" s="10"/>
      <c r="O3687" s="11"/>
    </row>
    <row r="3688" spans="1:15" x14ac:dyDescent="0.25">
      <c r="A3688" s="6">
        <v>1866</v>
      </c>
      <c r="B3688" s="5" t="s">
        <v>550</v>
      </c>
      <c r="C3688" s="5" t="s">
        <v>13</v>
      </c>
      <c r="D3688" s="5" t="s">
        <v>458</v>
      </c>
      <c r="E3688" s="5" t="s">
        <v>335</v>
      </c>
      <c r="F3688" s="5" t="s">
        <v>552</v>
      </c>
      <c r="G3688" s="22">
        <v>0</v>
      </c>
      <c r="H3688" s="22">
        <v>0</v>
      </c>
      <c r="I3688" s="22">
        <v>0</v>
      </c>
      <c r="J3688" s="22">
        <v>0</v>
      </c>
      <c r="K3688" s="22">
        <v>0</v>
      </c>
      <c r="L3688" s="22">
        <v>0</v>
      </c>
      <c r="M3688" s="10"/>
      <c r="O3688" s="11"/>
    </row>
    <row r="3689" spans="1:15" s="4" customFormat="1" x14ac:dyDescent="0.25">
      <c r="A3689" s="6"/>
      <c r="B3689" s="5"/>
      <c r="C3689" s="5"/>
      <c r="D3689" s="5" t="s">
        <v>458</v>
      </c>
      <c r="E3689" s="5" t="s">
        <v>335</v>
      </c>
      <c r="F3689" s="5" t="s">
        <v>552</v>
      </c>
      <c r="G3689" s="14">
        <f t="shared" ref="G3689:L3689" si="908">SUBTOTAL(9,G3679:G3688)</f>
        <v>6.18</v>
      </c>
      <c r="H3689" s="14">
        <f t="shared" si="908"/>
        <v>0</v>
      </c>
      <c r="I3689" s="14">
        <f t="shared" si="908"/>
        <v>48.64</v>
      </c>
      <c r="J3689" s="14">
        <f t="shared" si="908"/>
        <v>0.74</v>
      </c>
      <c r="K3689" s="14">
        <f t="shared" si="908"/>
        <v>-1.1000000000000001</v>
      </c>
      <c r="L3689" s="14">
        <f t="shared" si="908"/>
        <v>54.46</v>
      </c>
      <c r="M3689" s="10">
        <v>2988</v>
      </c>
      <c r="N3689" s="67"/>
      <c r="O3689" s="11">
        <f>O3677+1</f>
        <v>869</v>
      </c>
    </row>
    <row r="3690" spans="1:15" s="4" customFormat="1" x14ac:dyDescent="0.25">
      <c r="A3690" s="10"/>
      <c r="B3690"/>
      <c r="C3690"/>
      <c r="D3690"/>
      <c r="E3690"/>
      <c r="F3690"/>
      <c r="G3690" s="21"/>
      <c r="H3690" s="21"/>
      <c r="I3690" s="21"/>
      <c r="J3690" s="21"/>
      <c r="K3690" s="21"/>
      <c r="L3690" s="21"/>
      <c r="M3690" s="10"/>
      <c r="N3690" s="67"/>
      <c r="O3690" s="11"/>
    </row>
    <row r="3691" spans="1:15" s="4" customFormat="1" x14ac:dyDescent="0.25">
      <c r="A3691" s="6">
        <v>1867</v>
      </c>
      <c r="B3691" s="5" t="s">
        <v>18</v>
      </c>
      <c r="C3691" s="5" t="s">
        <v>17</v>
      </c>
      <c r="D3691" s="5" t="s">
        <v>459</v>
      </c>
      <c r="E3691" s="5" t="s">
        <v>460</v>
      </c>
      <c r="F3691" s="5" t="s">
        <v>19</v>
      </c>
      <c r="G3691" s="22">
        <v>0</v>
      </c>
      <c r="H3691" s="22">
        <v>0</v>
      </c>
      <c r="I3691" s="22">
        <v>0.46</v>
      </c>
      <c r="J3691" s="22">
        <v>0</v>
      </c>
      <c r="K3691" s="22">
        <v>-0.05</v>
      </c>
      <c r="L3691" s="22">
        <v>0.41</v>
      </c>
      <c r="M3691" s="10"/>
      <c r="N3691" s="67"/>
      <c r="O3691" s="11"/>
    </row>
    <row r="3692" spans="1:15" x14ac:dyDescent="0.25">
      <c r="A3692" s="6"/>
      <c r="B3692" s="5"/>
      <c r="C3692" s="5"/>
      <c r="D3692" s="5" t="s">
        <v>459</v>
      </c>
      <c r="E3692" s="5" t="s">
        <v>460</v>
      </c>
      <c r="F3692" s="5" t="s">
        <v>19</v>
      </c>
      <c r="G3692" s="14">
        <f t="shared" ref="G3692:L3692" si="909">SUBTOTAL(9,G3691:G3691)</f>
        <v>0</v>
      </c>
      <c r="H3692" s="14">
        <f t="shared" si="909"/>
        <v>0</v>
      </c>
      <c r="I3692" s="14">
        <f t="shared" si="909"/>
        <v>0.46</v>
      </c>
      <c r="J3692" s="14">
        <f t="shared" si="909"/>
        <v>0</v>
      </c>
      <c r="K3692" s="14">
        <f t="shared" si="909"/>
        <v>-0.05</v>
      </c>
      <c r="L3692" s="14">
        <f t="shared" si="909"/>
        <v>0.41</v>
      </c>
      <c r="M3692" s="10">
        <v>2989</v>
      </c>
      <c r="O3692" s="11">
        <f>O3689+1</f>
        <v>870</v>
      </c>
    </row>
    <row r="3693" spans="1:15" x14ac:dyDescent="0.25">
      <c r="A3693" s="10"/>
      <c r="G3693" s="21"/>
      <c r="H3693" s="21"/>
      <c r="I3693" s="21"/>
      <c r="J3693" s="21"/>
      <c r="K3693" s="21"/>
      <c r="L3693" s="21"/>
      <c r="M3693" s="10"/>
      <c r="O3693" s="11"/>
    </row>
    <row r="3694" spans="1:15" s="4" customFormat="1" x14ac:dyDescent="0.25">
      <c r="A3694" s="6">
        <v>1868</v>
      </c>
      <c r="B3694" s="5" t="s">
        <v>550</v>
      </c>
      <c r="C3694" s="5" t="s">
        <v>17</v>
      </c>
      <c r="D3694" s="5" t="s">
        <v>459</v>
      </c>
      <c r="E3694" s="5" t="s">
        <v>460</v>
      </c>
      <c r="F3694" s="5" t="s">
        <v>551</v>
      </c>
      <c r="G3694" s="22">
        <v>0</v>
      </c>
      <c r="H3694" s="22">
        <v>0</v>
      </c>
      <c r="I3694" s="22">
        <v>518925.26</v>
      </c>
      <c r="J3694" s="22">
        <v>0</v>
      </c>
      <c r="K3694" s="22">
        <v>-10378.51</v>
      </c>
      <c r="L3694" s="22">
        <v>508546.75</v>
      </c>
      <c r="M3694" s="10"/>
      <c r="N3694" s="67"/>
      <c r="O3694" s="11"/>
    </row>
    <row r="3695" spans="1:15" s="4" customFormat="1" x14ac:dyDescent="0.25">
      <c r="A3695" s="6">
        <v>1869</v>
      </c>
      <c r="B3695" s="5" t="s">
        <v>550</v>
      </c>
      <c r="C3695" s="5" t="s">
        <v>17</v>
      </c>
      <c r="D3695" s="5" t="s">
        <v>459</v>
      </c>
      <c r="E3695" s="5" t="s">
        <v>460</v>
      </c>
      <c r="F3695" s="5" t="s">
        <v>551</v>
      </c>
      <c r="G3695" s="22">
        <v>0</v>
      </c>
      <c r="H3695" s="22">
        <v>0</v>
      </c>
      <c r="I3695" s="22">
        <v>2063.8000000000002</v>
      </c>
      <c r="J3695" s="22">
        <v>0</v>
      </c>
      <c r="K3695" s="22">
        <v>-41.28</v>
      </c>
      <c r="L3695" s="22">
        <v>2022.52</v>
      </c>
      <c r="M3695" s="10"/>
      <c r="N3695" s="67"/>
      <c r="O3695" s="11"/>
    </row>
    <row r="3696" spans="1:15" x14ac:dyDescent="0.25">
      <c r="A3696" s="6"/>
      <c r="B3696" s="5"/>
      <c r="C3696" s="5"/>
      <c r="D3696" s="5" t="s">
        <v>459</v>
      </c>
      <c r="E3696" s="5" t="s">
        <v>460</v>
      </c>
      <c r="F3696" s="5" t="s">
        <v>551</v>
      </c>
      <c r="G3696" s="14">
        <f t="shared" ref="G3696:L3696" si="910">SUBTOTAL(9,G3694:G3695)</f>
        <v>0</v>
      </c>
      <c r="H3696" s="14">
        <f t="shared" si="910"/>
        <v>0</v>
      </c>
      <c r="I3696" s="14">
        <f t="shared" si="910"/>
        <v>520989.06</v>
      </c>
      <c r="J3696" s="14">
        <f t="shared" si="910"/>
        <v>0</v>
      </c>
      <c r="K3696" s="14">
        <f t="shared" si="910"/>
        <v>-10419.790000000001</v>
      </c>
      <c r="L3696" s="14">
        <f t="shared" si="910"/>
        <v>510569.27</v>
      </c>
      <c r="M3696" s="10">
        <v>2990</v>
      </c>
      <c r="O3696" s="11">
        <f>O3692+1</f>
        <v>871</v>
      </c>
    </row>
    <row r="3697" spans="1:15" x14ac:dyDescent="0.25">
      <c r="A3697" s="10"/>
      <c r="G3697" s="21"/>
      <c r="H3697" s="21"/>
      <c r="I3697" s="21"/>
      <c r="J3697" s="21"/>
      <c r="K3697" s="21"/>
      <c r="L3697" s="21"/>
      <c r="M3697" s="10"/>
      <c r="O3697" s="11"/>
    </row>
    <row r="3698" spans="1:15" s="4" customFormat="1" x14ac:dyDescent="0.25">
      <c r="A3698" s="6">
        <v>1870</v>
      </c>
      <c r="B3698" s="5" t="s">
        <v>550</v>
      </c>
      <c r="C3698" s="5" t="s">
        <v>17</v>
      </c>
      <c r="D3698" s="5" t="s">
        <v>459</v>
      </c>
      <c r="E3698" s="5" t="s">
        <v>460</v>
      </c>
      <c r="F3698" s="5" t="s">
        <v>552</v>
      </c>
      <c r="G3698" s="22">
        <v>0</v>
      </c>
      <c r="H3698" s="22">
        <v>0</v>
      </c>
      <c r="I3698" s="22">
        <v>37.33</v>
      </c>
      <c r="J3698" s="22">
        <v>0</v>
      </c>
      <c r="K3698" s="22">
        <v>-0.75</v>
      </c>
      <c r="L3698" s="22">
        <v>36.58</v>
      </c>
      <c r="M3698" s="10"/>
      <c r="N3698" s="67"/>
      <c r="O3698" s="11"/>
    </row>
    <row r="3699" spans="1:15" s="4" customFormat="1" x14ac:dyDescent="0.25">
      <c r="A3699" s="6">
        <v>1871</v>
      </c>
      <c r="B3699" s="5" t="s">
        <v>550</v>
      </c>
      <c r="C3699" s="5" t="s">
        <v>17</v>
      </c>
      <c r="D3699" s="5" t="s">
        <v>459</v>
      </c>
      <c r="E3699" s="5" t="s">
        <v>460</v>
      </c>
      <c r="F3699" s="5" t="s">
        <v>552</v>
      </c>
      <c r="G3699" s="22">
        <v>0</v>
      </c>
      <c r="H3699" s="22">
        <v>0</v>
      </c>
      <c r="I3699" s="22">
        <v>0.15</v>
      </c>
      <c r="J3699" s="22">
        <v>0</v>
      </c>
      <c r="K3699" s="22">
        <v>0</v>
      </c>
      <c r="L3699" s="22">
        <v>0.15</v>
      </c>
      <c r="M3699" s="10"/>
      <c r="N3699" s="67"/>
      <c r="O3699" s="11"/>
    </row>
    <row r="3700" spans="1:15" x14ac:dyDescent="0.25">
      <c r="A3700" s="6"/>
      <c r="B3700" s="5"/>
      <c r="C3700" s="5"/>
      <c r="D3700" s="5" t="s">
        <v>459</v>
      </c>
      <c r="E3700" s="5" t="s">
        <v>460</v>
      </c>
      <c r="F3700" s="5" t="s">
        <v>552</v>
      </c>
      <c r="G3700" s="14">
        <f t="shared" ref="G3700:L3700" si="911">SUBTOTAL(9,G3698:G3699)</f>
        <v>0</v>
      </c>
      <c r="H3700" s="14">
        <f t="shared" si="911"/>
        <v>0</v>
      </c>
      <c r="I3700" s="14">
        <f t="shared" si="911"/>
        <v>37.479999999999997</v>
      </c>
      <c r="J3700" s="14">
        <f t="shared" si="911"/>
        <v>0</v>
      </c>
      <c r="K3700" s="14">
        <f t="shared" si="911"/>
        <v>-0.75</v>
      </c>
      <c r="L3700" s="14">
        <f t="shared" si="911"/>
        <v>36.729999999999997</v>
      </c>
      <c r="M3700" s="10">
        <v>2991</v>
      </c>
      <c r="O3700" s="11">
        <f>O3696+1</f>
        <v>872</v>
      </c>
    </row>
    <row r="3701" spans="1:15" x14ac:dyDescent="0.25">
      <c r="A3701" s="10"/>
      <c r="G3701" s="21"/>
      <c r="H3701" s="21"/>
      <c r="I3701" s="21"/>
      <c r="J3701" s="21"/>
      <c r="K3701" s="21"/>
      <c r="L3701" s="21"/>
      <c r="M3701" s="10"/>
      <c r="O3701" s="11"/>
    </row>
    <row r="3702" spans="1:15" s="4" customFormat="1" x14ac:dyDescent="0.25">
      <c r="A3702" s="6">
        <v>1872</v>
      </c>
      <c r="B3702" s="5" t="s">
        <v>555</v>
      </c>
      <c r="C3702" s="5" t="s">
        <v>17</v>
      </c>
      <c r="D3702" s="5" t="s">
        <v>461</v>
      </c>
      <c r="E3702" s="5" t="s">
        <v>462</v>
      </c>
      <c r="F3702" s="5" t="s">
        <v>556</v>
      </c>
      <c r="G3702" s="22">
        <v>0</v>
      </c>
      <c r="H3702" s="22">
        <v>0</v>
      </c>
      <c r="I3702" s="22">
        <v>18.760000000000002</v>
      </c>
      <c r="J3702" s="22">
        <v>0</v>
      </c>
      <c r="K3702" s="22">
        <v>-0.38</v>
      </c>
      <c r="L3702" s="22">
        <v>18.38</v>
      </c>
      <c r="M3702" s="10"/>
      <c r="N3702" s="67"/>
      <c r="O3702" s="11"/>
    </row>
    <row r="3703" spans="1:15" s="4" customFormat="1" x14ac:dyDescent="0.25">
      <c r="A3703" s="6"/>
      <c r="B3703" s="5"/>
      <c r="C3703" s="5"/>
      <c r="D3703" s="5" t="s">
        <v>461</v>
      </c>
      <c r="E3703" s="5" t="s">
        <v>462</v>
      </c>
      <c r="F3703" s="5" t="s">
        <v>556</v>
      </c>
      <c r="G3703" s="14">
        <f t="shared" ref="G3703:L3703" si="912">SUBTOTAL(9,G3702:G3702)</f>
        <v>0</v>
      </c>
      <c r="H3703" s="14">
        <f t="shared" si="912"/>
        <v>0</v>
      </c>
      <c r="I3703" s="14">
        <f t="shared" si="912"/>
        <v>18.760000000000002</v>
      </c>
      <c r="J3703" s="14">
        <f t="shared" si="912"/>
        <v>0</v>
      </c>
      <c r="K3703" s="14">
        <f t="shared" si="912"/>
        <v>-0.38</v>
      </c>
      <c r="L3703" s="14">
        <f t="shared" si="912"/>
        <v>18.38</v>
      </c>
      <c r="M3703" s="10">
        <v>2992</v>
      </c>
      <c r="N3703" s="67"/>
      <c r="O3703" s="11">
        <f>O3700+1</f>
        <v>873</v>
      </c>
    </row>
    <row r="3704" spans="1:15" x14ac:dyDescent="0.25">
      <c r="A3704" s="10"/>
      <c r="G3704" s="21"/>
      <c r="H3704" s="21"/>
      <c r="I3704" s="21"/>
      <c r="J3704" s="21"/>
      <c r="K3704" s="21"/>
      <c r="L3704" s="21"/>
      <c r="M3704" s="10"/>
      <c r="O3704" s="11"/>
    </row>
    <row r="3705" spans="1:15" x14ac:dyDescent="0.25">
      <c r="A3705" s="6">
        <v>1873</v>
      </c>
      <c r="B3705" s="5" t="s">
        <v>557</v>
      </c>
      <c r="C3705" s="5" t="s">
        <v>17</v>
      </c>
      <c r="D3705" s="5" t="s">
        <v>461</v>
      </c>
      <c r="E3705" s="5" t="s">
        <v>462</v>
      </c>
      <c r="F3705" s="5" t="s">
        <v>558</v>
      </c>
      <c r="G3705" s="22">
        <v>0</v>
      </c>
      <c r="H3705" s="22">
        <v>0</v>
      </c>
      <c r="I3705" s="22">
        <v>0.37</v>
      </c>
      <c r="J3705" s="22">
        <v>0</v>
      </c>
      <c r="K3705" s="22">
        <v>-0.01</v>
      </c>
      <c r="L3705" s="22">
        <v>0.36</v>
      </c>
      <c r="M3705" s="10"/>
      <c r="O3705" s="11"/>
    </row>
    <row r="3706" spans="1:15" s="4" customFormat="1" x14ac:dyDescent="0.25">
      <c r="A3706" s="6"/>
      <c r="B3706" s="5"/>
      <c r="C3706" s="5"/>
      <c r="D3706" s="5" t="s">
        <v>461</v>
      </c>
      <c r="E3706" s="5" t="s">
        <v>462</v>
      </c>
      <c r="F3706" s="5" t="s">
        <v>558</v>
      </c>
      <c r="G3706" s="14">
        <f t="shared" ref="G3706:L3706" si="913">SUBTOTAL(9,G3705:G3705)</f>
        <v>0</v>
      </c>
      <c r="H3706" s="14">
        <f t="shared" si="913"/>
        <v>0</v>
      </c>
      <c r="I3706" s="14">
        <f t="shared" si="913"/>
        <v>0.37</v>
      </c>
      <c r="J3706" s="14">
        <f t="shared" si="913"/>
        <v>0</v>
      </c>
      <c r="K3706" s="14">
        <f t="shared" si="913"/>
        <v>-0.01</v>
      </c>
      <c r="L3706" s="14">
        <f t="shared" si="913"/>
        <v>0.36</v>
      </c>
      <c r="M3706" s="10">
        <v>2993</v>
      </c>
      <c r="N3706" s="67"/>
      <c r="O3706" s="11">
        <f>O3703+1</f>
        <v>874</v>
      </c>
    </row>
    <row r="3707" spans="1:15" x14ac:dyDescent="0.25">
      <c r="A3707" s="10"/>
      <c r="G3707" s="21"/>
      <c r="H3707" s="21"/>
      <c r="I3707" s="21"/>
      <c r="J3707" s="21"/>
      <c r="K3707" s="21"/>
      <c r="L3707" s="21"/>
      <c r="M3707" s="10"/>
      <c r="O3707" s="11"/>
    </row>
    <row r="3708" spans="1:15" x14ac:dyDescent="0.25">
      <c r="A3708" s="6">
        <v>1874</v>
      </c>
      <c r="B3708" s="5" t="s">
        <v>18</v>
      </c>
      <c r="C3708" s="5" t="s">
        <v>17</v>
      </c>
      <c r="D3708" s="5" t="s">
        <v>461</v>
      </c>
      <c r="E3708" s="5" t="s">
        <v>462</v>
      </c>
      <c r="F3708" s="5" t="s">
        <v>19</v>
      </c>
      <c r="G3708" s="22">
        <v>0</v>
      </c>
      <c r="H3708" s="22">
        <v>0</v>
      </c>
      <c r="I3708" s="22">
        <v>0.24</v>
      </c>
      <c r="J3708" s="22">
        <v>0</v>
      </c>
      <c r="K3708" s="22">
        <v>-0.03</v>
      </c>
      <c r="L3708" s="22">
        <v>0.21</v>
      </c>
      <c r="M3708" s="10"/>
      <c r="O3708" s="11"/>
    </row>
    <row r="3709" spans="1:15" s="4" customFormat="1" x14ac:dyDescent="0.25">
      <c r="A3709" s="6"/>
      <c r="B3709" s="5"/>
      <c r="C3709" s="5"/>
      <c r="D3709" s="5" t="s">
        <v>461</v>
      </c>
      <c r="E3709" s="5" t="s">
        <v>462</v>
      </c>
      <c r="F3709" s="5" t="s">
        <v>19</v>
      </c>
      <c r="G3709" s="14">
        <f t="shared" ref="G3709:L3709" si="914">SUBTOTAL(9,G3708:G3708)</f>
        <v>0</v>
      </c>
      <c r="H3709" s="14">
        <f t="shared" si="914"/>
        <v>0</v>
      </c>
      <c r="I3709" s="14">
        <f t="shared" si="914"/>
        <v>0.24</v>
      </c>
      <c r="J3709" s="14">
        <f t="shared" si="914"/>
        <v>0</v>
      </c>
      <c r="K3709" s="14">
        <f t="shared" si="914"/>
        <v>-0.03</v>
      </c>
      <c r="L3709" s="14">
        <f t="shared" si="914"/>
        <v>0.21</v>
      </c>
      <c r="M3709" s="10">
        <v>2994</v>
      </c>
      <c r="N3709" s="67"/>
      <c r="O3709" s="11">
        <f>O3706+1</f>
        <v>875</v>
      </c>
    </row>
    <row r="3710" spans="1:15" x14ac:dyDescent="0.25">
      <c r="A3710" s="10"/>
      <c r="G3710" s="21"/>
      <c r="H3710" s="21"/>
      <c r="I3710" s="21"/>
      <c r="J3710" s="21"/>
      <c r="K3710" s="21"/>
      <c r="L3710" s="21"/>
      <c r="M3710" s="10"/>
      <c r="O3710" s="11"/>
    </row>
    <row r="3711" spans="1:15" x14ac:dyDescent="0.25">
      <c r="A3711" s="6">
        <v>1875</v>
      </c>
      <c r="B3711" s="5" t="s">
        <v>550</v>
      </c>
      <c r="C3711" s="5" t="s">
        <v>17</v>
      </c>
      <c r="D3711" s="5" t="s">
        <v>461</v>
      </c>
      <c r="E3711" s="5" t="s">
        <v>462</v>
      </c>
      <c r="F3711" s="5" t="s">
        <v>551</v>
      </c>
      <c r="G3711" s="22">
        <v>0</v>
      </c>
      <c r="H3711" s="22">
        <v>0</v>
      </c>
      <c r="I3711" s="22">
        <v>350.78</v>
      </c>
      <c r="J3711" s="22">
        <v>0</v>
      </c>
      <c r="K3711" s="22">
        <v>-7.02</v>
      </c>
      <c r="L3711" s="22">
        <v>343.76</v>
      </c>
      <c r="M3711" s="10"/>
      <c r="O3711" s="11"/>
    </row>
    <row r="3712" spans="1:15" s="4" customFormat="1" x14ac:dyDescent="0.25">
      <c r="A3712" s="6">
        <v>1876</v>
      </c>
      <c r="B3712" s="5" t="s">
        <v>550</v>
      </c>
      <c r="C3712" s="5" t="s">
        <v>17</v>
      </c>
      <c r="D3712" s="5" t="s">
        <v>461</v>
      </c>
      <c r="E3712" s="5" t="s">
        <v>462</v>
      </c>
      <c r="F3712" s="5" t="s">
        <v>551</v>
      </c>
      <c r="G3712" s="22">
        <v>0</v>
      </c>
      <c r="H3712" s="22">
        <v>0</v>
      </c>
      <c r="I3712" s="22">
        <v>914.27</v>
      </c>
      <c r="J3712" s="22">
        <v>0</v>
      </c>
      <c r="K3712" s="22">
        <v>-18.29</v>
      </c>
      <c r="L3712" s="22">
        <v>895.98</v>
      </c>
      <c r="M3712" s="10"/>
      <c r="N3712" s="67"/>
      <c r="O3712" s="11"/>
    </row>
    <row r="3713" spans="1:15" s="4" customFormat="1" x14ac:dyDescent="0.25">
      <c r="A3713" s="6"/>
      <c r="B3713" s="5"/>
      <c r="C3713" s="5"/>
      <c r="D3713" s="5" t="s">
        <v>461</v>
      </c>
      <c r="E3713" s="5" t="s">
        <v>462</v>
      </c>
      <c r="F3713" s="5" t="s">
        <v>551</v>
      </c>
      <c r="G3713" s="14">
        <f t="shared" ref="G3713:L3713" si="915">SUBTOTAL(9,G3711:G3712)</f>
        <v>0</v>
      </c>
      <c r="H3713" s="14">
        <f t="shared" si="915"/>
        <v>0</v>
      </c>
      <c r="I3713" s="14">
        <f t="shared" si="915"/>
        <v>1265.05</v>
      </c>
      <c r="J3713" s="14">
        <f t="shared" si="915"/>
        <v>0</v>
      </c>
      <c r="K3713" s="14">
        <f t="shared" si="915"/>
        <v>-25.31</v>
      </c>
      <c r="L3713" s="14">
        <f t="shared" si="915"/>
        <v>1239.74</v>
      </c>
      <c r="M3713" s="10">
        <v>2995</v>
      </c>
      <c r="N3713" s="67"/>
      <c r="O3713" s="11">
        <f>O3709+1</f>
        <v>876</v>
      </c>
    </row>
    <row r="3714" spans="1:15" x14ac:dyDescent="0.25">
      <c r="A3714" s="10"/>
      <c r="G3714" s="21"/>
      <c r="H3714" s="21"/>
      <c r="I3714" s="21"/>
      <c r="J3714" s="21"/>
      <c r="K3714" s="21"/>
      <c r="L3714" s="21"/>
      <c r="M3714" s="10"/>
      <c r="O3714" s="11"/>
    </row>
    <row r="3715" spans="1:15" x14ac:dyDescent="0.25">
      <c r="A3715" s="6">
        <v>1877</v>
      </c>
      <c r="B3715" s="5" t="s">
        <v>550</v>
      </c>
      <c r="C3715" s="5" t="s">
        <v>17</v>
      </c>
      <c r="D3715" s="5" t="s">
        <v>461</v>
      </c>
      <c r="E3715" s="5" t="s">
        <v>462</v>
      </c>
      <c r="F3715" s="5" t="s">
        <v>552</v>
      </c>
      <c r="G3715" s="22">
        <v>0</v>
      </c>
      <c r="H3715" s="22">
        <v>0</v>
      </c>
      <c r="I3715" s="22">
        <v>0.03</v>
      </c>
      <c r="J3715" s="22">
        <v>0</v>
      </c>
      <c r="K3715" s="22">
        <v>0</v>
      </c>
      <c r="L3715" s="22">
        <v>0.03</v>
      </c>
      <c r="M3715" s="10"/>
      <c r="O3715" s="11"/>
    </row>
    <row r="3716" spans="1:15" s="4" customFormat="1" x14ac:dyDescent="0.25">
      <c r="A3716" s="6">
        <v>1878</v>
      </c>
      <c r="B3716" s="5" t="s">
        <v>550</v>
      </c>
      <c r="C3716" s="5" t="s">
        <v>17</v>
      </c>
      <c r="D3716" s="5" t="s">
        <v>461</v>
      </c>
      <c r="E3716" s="5" t="s">
        <v>462</v>
      </c>
      <c r="F3716" s="5" t="s">
        <v>552</v>
      </c>
      <c r="G3716" s="22">
        <v>0</v>
      </c>
      <c r="H3716" s="22">
        <v>0</v>
      </c>
      <c r="I3716" s="22">
        <v>7.0000000000000007E-2</v>
      </c>
      <c r="J3716" s="22">
        <v>0</v>
      </c>
      <c r="K3716" s="22">
        <v>0</v>
      </c>
      <c r="L3716" s="22">
        <v>7.0000000000000007E-2</v>
      </c>
      <c r="M3716" s="10"/>
      <c r="N3716" s="67"/>
      <c r="O3716" s="11"/>
    </row>
    <row r="3717" spans="1:15" s="4" customFormat="1" x14ac:dyDescent="0.25">
      <c r="A3717" s="6"/>
      <c r="B3717" s="5"/>
      <c r="C3717" s="5"/>
      <c r="D3717" s="5" t="s">
        <v>461</v>
      </c>
      <c r="E3717" s="5" t="s">
        <v>462</v>
      </c>
      <c r="F3717" s="5" t="s">
        <v>552</v>
      </c>
      <c r="G3717" s="14">
        <f t="shared" ref="G3717:L3717" si="916">SUBTOTAL(9,G3715:G3716)</f>
        <v>0</v>
      </c>
      <c r="H3717" s="14">
        <f t="shared" si="916"/>
        <v>0</v>
      </c>
      <c r="I3717" s="14">
        <f t="shared" si="916"/>
        <v>0.1</v>
      </c>
      <c r="J3717" s="14">
        <f t="shared" si="916"/>
        <v>0</v>
      </c>
      <c r="K3717" s="14">
        <f t="shared" si="916"/>
        <v>0</v>
      </c>
      <c r="L3717" s="14">
        <f t="shared" si="916"/>
        <v>0.1</v>
      </c>
      <c r="M3717" s="10">
        <v>2996</v>
      </c>
      <c r="N3717" s="67"/>
      <c r="O3717" s="11">
        <f>O3713+1</f>
        <v>877</v>
      </c>
    </row>
    <row r="3718" spans="1:15" x14ac:dyDescent="0.25">
      <c r="A3718" s="10"/>
      <c r="G3718" s="21"/>
      <c r="H3718" s="21"/>
      <c r="I3718" s="21"/>
      <c r="J3718" s="21"/>
      <c r="K3718" s="21"/>
      <c r="L3718" s="21"/>
      <c r="M3718" s="10"/>
      <c r="O3718" s="11"/>
    </row>
    <row r="3719" spans="1:15" x14ac:dyDescent="0.25">
      <c r="A3719" s="6">
        <v>1879</v>
      </c>
      <c r="B3719" s="5" t="s">
        <v>555</v>
      </c>
      <c r="C3719" s="5" t="s">
        <v>17</v>
      </c>
      <c r="D3719" s="5" t="s">
        <v>463</v>
      </c>
      <c r="E3719" s="5" t="s">
        <v>464</v>
      </c>
      <c r="F3719" s="5" t="s">
        <v>556</v>
      </c>
      <c r="G3719" s="22">
        <v>120.99</v>
      </c>
      <c r="H3719" s="22">
        <v>0</v>
      </c>
      <c r="I3719" s="22">
        <v>0</v>
      </c>
      <c r="J3719" s="22">
        <v>0</v>
      </c>
      <c r="K3719" s="22">
        <v>-2.42</v>
      </c>
      <c r="L3719" s="22">
        <v>118.57</v>
      </c>
      <c r="M3719" s="10"/>
      <c r="O3719" s="11"/>
    </row>
    <row r="3720" spans="1:15" s="4" customFormat="1" x14ac:dyDescent="0.25">
      <c r="A3720" s="7">
        <v>1880</v>
      </c>
      <c r="B3720" s="8" t="s">
        <v>555</v>
      </c>
      <c r="C3720" s="8" t="s">
        <v>13</v>
      </c>
      <c r="D3720" s="8" t="s">
        <v>463</v>
      </c>
      <c r="E3720" s="8" t="s">
        <v>464</v>
      </c>
      <c r="F3720" s="8" t="s">
        <v>556</v>
      </c>
      <c r="G3720" s="9">
        <v>0</v>
      </c>
      <c r="H3720" s="9">
        <v>0</v>
      </c>
      <c r="I3720" s="9">
        <v>0</v>
      </c>
      <c r="J3720" s="9">
        <v>14.52</v>
      </c>
      <c r="K3720" s="9">
        <v>0</v>
      </c>
      <c r="L3720" s="9">
        <v>14.52</v>
      </c>
      <c r="M3720" s="10"/>
      <c r="N3720" s="67"/>
      <c r="O3720" s="11"/>
    </row>
    <row r="3721" spans="1:15" x14ac:dyDescent="0.25">
      <c r="A3721" s="6"/>
      <c r="B3721" s="5"/>
      <c r="C3721" s="5"/>
      <c r="D3721" s="8" t="s">
        <v>463</v>
      </c>
      <c r="E3721" s="8" t="s">
        <v>464</v>
      </c>
      <c r="F3721" s="8" t="s">
        <v>556</v>
      </c>
      <c r="G3721" s="14">
        <f t="shared" ref="G3721:L3721" si="917">SUBTOTAL(9,G3719:G3720)</f>
        <v>120.99</v>
      </c>
      <c r="H3721" s="14">
        <f t="shared" si="917"/>
        <v>0</v>
      </c>
      <c r="I3721" s="14">
        <f t="shared" si="917"/>
        <v>0</v>
      </c>
      <c r="J3721" s="14">
        <f t="shared" si="917"/>
        <v>14.52</v>
      </c>
      <c r="K3721" s="14">
        <f t="shared" si="917"/>
        <v>-2.42</v>
      </c>
      <c r="L3721" s="14">
        <f t="shared" si="917"/>
        <v>133.09</v>
      </c>
      <c r="M3721" s="10">
        <v>2997</v>
      </c>
      <c r="O3721" s="11">
        <f>O3717+1</f>
        <v>878</v>
      </c>
    </row>
    <row r="3722" spans="1:15" x14ac:dyDescent="0.25">
      <c r="A3722" s="25"/>
      <c r="B3722" s="26"/>
      <c r="C3722" s="26"/>
      <c r="D3722" s="26"/>
      <c r="E3722" s="26"/>
      <c r="F3722" s="26"/>
      <c r="G3722" s="27"/>
      <c r="H3722" s="27"/>
      <c r="I3722" s="27"/>
      <c r="J3722" s="27"/>
      <c r="K3722" s="27"/>
      <c r="L3722" s="27"/>
      <c r="M3722" s="25"/>
      <c r="O3722" s="32"/>
    </row>
    <row r="3723" spans="1:15" s="4" customFormat="1" x14ac:dyDescent="0.25">
      <c r="A3723" s="6">
        <v>1881</v>
      </c>
      <c r="B3723" s="5" t="s">
        <v>557</v>
      </c>
      <c r="C3723" s="5" t="s">
        <v>17</v>
      </c>
      <c r="D3723" s="5" t="s">
        <v>463</v>
      </c>
      <c r="E3723" s="5" t="s">
        <v>464</v>
      </c>
      <c r="F3723" s="5" t="s">
        <v>558</v>
      </c>
      <c r="G3723" s="22">
        <v>76.319999999999993</v>
      </c>
      <c r="H3723" s="22">
        <v>0</v>
      </c>
      <c r="I3723" s="22">
        <v>0</v>
      </c>
      <c r="J3723" s="22">
        <v>0</v>
      </c>
      <c r="K3723" s="22">
        <v>-1.53</v>
      </c>
      <c r="L3723" s="22">
        <v>74.790000000000006</v>
      </c>
      <c r="M3723" s="10"/>
      <c r="N3723" s="67"/>
      <c r="O3723" s="11"/>
    </row>
    <row r="3724" spans="1:15" x14ac:dyDescent="0.25">
      <c r="A3724" s="6">
        <v>1882</v>
      </c>
      <c r="B3724" s="5" t="s">
        <v>557</v>
      </c>
      <c r="C3724" s="5" t="s">
        <v>13</v>
      </c>
      <c r="D3724" s="5" t="s">
        <v>463</v>
      </c>
      <c r="E3724" s="5" t="s">
        <v>464</v>
      </c>
      <c r="F3724" s="5" t="s">
        <v>558</v>
      </c>
      <c r="G3724" s="22">
        <v>0</v>
      </c>
      <c r="H3724" s="22">
        <v>0</v>
      </c>
      <c r="I3724" s="22">
        <v>0</v>
      </c>
      <c r="J3724" s="22">
        <v>9.16</v>
      </c>
      <c r="K3724" s="22">
        <v>0</v>
      </c>
      <c r="L3724" s="22">
        <v>9.16</v>
      </c>
      <c r="M3724" s="10"/>
      <c r="O3724" s="11"/>
    </row>
    <row r="3725" spans="1:15" x14ac:dyDescent="0.25">
      <c r="A3725" s="6"/>
      <c r="B3725" s="5"/>
      <c r="C3725" s="5"/>
      <c r="D3725" s="5" t="s">
        <v>463</v>
      </c>
      <c r="E3725" s="5" t="s">
        <v>464</v>
      </c>
      <c r="F3725" s="5" t="s">
        <v>558</v>
      </c>
      <c r="G3725" s="14">
        <f t="shared" ref="G3725:L3725" si="918">SUBTOTAL(9,G3723:G3724)</f>
        <v>76.319999999999993</v>
      </c>
      <c r="H3725" s="14">
        <f t="shared" si="918"/>
        <v>0</v>
      </c>
      <c r="I3725" s="14">
        <f t="shared" si="918"/>
        <v>0</v>
      </c>
      <c r="J3725" s="14">
        <f t="shared" si="918"/>
        <v>9.16</v>
      </c>
      <c r="K3725" s="14">
        <f t="shared" si="918"/>
        <v>-1.53</v>
      </c>
      <c r="L3725" s="14">
        <f t="shared" si="918"/>
        <v>83.95</v>
      </c>
      <c r="M3725" s="10">
        <v>2998</v>
      </c>
      <c r="O3725" s="11">
        <f>O3721+1</f>
        <v>879</v>
      </c>
    </row>
    <row r="3726" spans="1:15" s="4" customFormat="1" x14ac:dyDescent="0.25">
      <c r="A3726" s="10"/>
      <c r="B3726"/>
      <c r="C3726"/>
      <c r="D3726"/>
      <c r="E3726"/>
      <c r="F3726"/>
      <c r="G3726" s="21"/>
      <c r="H3726" s="21"/>
      <c r="I3726" s="21"/>
      <c r="J3726" s="21"/>
      <c r="K3726" s="21"/>
      <c r="L3726" s="21"/>
      <c r="M3726" s="10"/>
      <c r="N3726" s="67"/>
      <c r="O3726" s="11"/>
    </row>
    <row r="3727" spans="1:15" x14ac:dyDescent="0.25">
      <c r="A3727" s="6">
        <v>1883</v>
      </c>
      <c r="B3727" s="5" t="s">
        <v>566</v>
      </c>
      <c r="C3727" s="5" t="s">
        <v>17</v>
      </c>
      <c r="D3727" s="5" t="s">
        <v>463</v>
      </c>
      <c r="E3727" s="5" t="s">
        <v>464</v>
      </c>
      <c r="F3727" s="5" t="s">
        <v>567</v>
      </c>
      <c r="G3727" s="22">
        <v>0.13</v>
      </c>
      <c r="H3727" s="22">
        <v>0</v>
      </c>
      <c r="I3727" s="22">
        <v>0</v>
      </c>
      <c r="J3727" s="22">
        <v>0</v>
      </c>
      <c r="K3727" s="22">
        <v>0</v>
      </c>
      <c r="L3727" s="22">
        <v>0.13</v>
      </c>
      <c r="M3727" s="10"/>
      <c r="O3727" s="11"/>
    </row>
    <row r="3728" spans="1:15" x14ac:dyDescent="0.25">
      <c r="A3728" s="6">
        <v>1884</v>
      </c>
      <c r="B3728" s="5" t="s">
        <v>566</v>
      </c>
      <c r="C3728" s="5" t="s">
        <v>13</v>
      </c>
      <c r="D3728" s="5" t="s">
        <v>463</v>
      </c>
      <c r="E3728" s="5" t="s">
        <v>464</v>
      </c>
      <c r="F3728" s="5" t="s">
        <v>567</v>
      </c>
      <c r="G3728" s="22">
        <v>0</v>
      </c>
      <c r="H3728" s="22">
        <v>0</v>
      </c>
      <c r="I3728" s="22">
        <v>0</v>
      </c>
      <c r="J3728" s="22">
        <v>0.02</v>
      </c>
      <c r="K3728" s="22">
        <v>0</v>
      </c>
      <c r="L3728" s="22">
        <v>0.02</v>
      </c>
      <c r="M3728" s="10"/>
      <c r="O3728" s="11"/>
    </row>
    <row r="3729" spans="1:15" s="4" customFormat="1" x14ac:dyDescent="0.25">
      <c r="A3729" s="6"/>
      <c r="B3729" s="5"/>
      <c r="C3729" s="5"/>
      <c r="D3729" s="5" t="s">
        <v>463</v>
      </c>
      <c r="E3729" s="5" t="s">
        <v>464</v>
      </c>
      <c r="F3729" s="5" t="s">
        <v>567</v>
      </c>
      <c r="G3729" s="14">
        <f t="shared" ref="G3729:L3729" si="919">SUBTOTAL(9,G3727:G3728)</f>
        <v>0.13</v>
      </c>
      <c r="H3729" s="14">
        <f t="shared" si="919"/>
        <v>0</v>
      </c>
      <c r="I3729" s="14">
        <f t="shared" si="919"/>
        <v>0</v>
      </c>
      <c r="J3729" s="14">
        <f t="shared" si="919"/>
        <v>0.02</v>
      </c>
      <c r="K3729" s="14">
        <f t="shared" si="919"/>
        <v>0</v>
      </c>
      <c r="L3729" s="14">
        <f t="shared" si="919"/>
        <v>0.15</v>
      </c>
      <c r="M3729" s="10">
        <v>2999</v>
      </c>
      <c r="N3729" s="67"/>
      <c r="O3729" s="11">
        <f>O3725+1</f>
        <v>880</v>
      </c>
    </row>
    <row r="3730" spans="1:15" x14ac:dyDescent="0.25">
      <c r="A3730" s="10"/>
      <c r="G3730" s="21"/>
      <c r="H3730" s="21"/>
      <c r="I3730" s="21"/>
      <c r="J3730" s="21"/>
      <c r="K3730" s="21"/>
      <c r="L3730" s="21"/>
      <c r="M3730" s="10"/>
      <c r="O3730" s="11"/>
    </row>
    <row r="3731" spans="1:15" x14ac:dyDescent="0.25">
      <c r="A3731" s="6">
        <v>1885</v>
      </c>
      <c r="B3731" s="5" t="s">
        <v>559</v>
      </c>
      <c r="C3731" s="5" t="s">
        <v>17</v>
      </c>
      <c r="D3731" s="5" t="s">
        <v>463</v>
      </c>
      <c r="E3731" s="5" t="s">
        <v>464</v>
      </c>
      <c r="F3731" s="5" t="s">
        <v>560</v>
      </c>
      <c r="G3731" s="22">
        <v>51.64</v>
      </c>
      <c r="H3731" s="22">
        <v>0</v>
      </c>
      <c r="I3731" s="22">
        <v>0</v>
      </c>
      <c r="J3731" s="22">
        <v>0</v>
      </c>
      <c r="K3731" s="22">
        <v>-1.03</v>
      </c>
      <c r="L3731" s="22">
        <v>50.61</v>
      </c>
      <c r="M3731" s="10"/>
      <c r="O3731" s="11"/>
    </row>
    <row r="3732" spans="1:15" s="4" customFormat="1" x14ac:dyDescent="0.25">
      <c r="A3732" s="6">
        <v>1886</v>
      </c>
      <c r="B3732" s="5" t="s">
        <v>559</v>
      </c>
      <c r="C3732" s="5" t="s">
        <v>13</v>
      </c>
      <c r="D3732" s="5" t="s">
        <v>463</v>
      </c>
      <c r="E3732" s="5" t="s">
        <v>464</v>
      </c>
      <c r="F3732" s="5" t="s">
        <v>560</v>
      </c>
      <c r="G3732" s="22">
        <v>0</v>
      </c>
      <c r="H3732" s="22">
        <v>0</v>
      </c>
      <c r="I3732" s="22">
        <v>0</v>
      </c>
      <c r="J3732" s="22">
        <v>6.2</v>
      </c>
      <c r="K3732" s="22">
        <v>0</v>
      </c>
      <c r="L3732" s="22">
        <v>6.2</v>
      </c>
      <c r="M3732" s="10"/>
      <c r="N3732" s="67"/>
      <c r="O3732" s="11"/>
    </row>
    <row r="3733" spans="1:15" x14ac:dyDescent="0.25">
      <c r="A3733" s="6"/>
      <c r="B3733" s="5"/>
      <c r="C3733" s="5"/>
      <c r="D3733" s="5" t="s">
        <v>463</v>
      </c>
      <c r="E3733" s="5" t="s">
        <v>464</v>
      </c>
      <c r="F3733" s="5" t="s">
        <v>560</v>
      </c>
      <c r="G3733" s="14">
        <f t="shared" ref="G3733:L3733" si="920">SUBTOTAL(9,G3731:G3732)</f>
        <v>51.64</v>
      </c>
      <c r="H3733" s="14">
        <f t="shared" si="920"/>
        <v>0</v>
      </c>
      <c r="I3733" s="14">
        <f t="shared" si="920"/>
        <v>0</v>
      </c>
      <c r="J3733" s="14">
        <f t="shared" si="920"/>
        <v>6.2</v>
      </c>
      <c r="K3733" s="14">
        <f t="shared" si="920"/>
        <v>-1.03</v>
      </c>
      <c r="L3733" s="14">
        <f t="shared" si="920"/>
        <v>56.81</v>
      </c>
      <c r="M3733" s="10">
        <v>3000</v>
      </c>
      <c r="O3733" s="11">
        <f>O3729+1</f>
        <v>881</v>
      </c>
    </row>
    <row r="3734" spans="1:15" x14ac:dyDescent="0.25">
      <c r="A3734" s="10"/>
      <c r="G3734" s="21"/>
      <c r="H3734" s="21"/>
      <c r="I3734" s="21"/>
      <c r="J3734" s="21"/>
      <c r="K3734" s="21"/>
      <c r="L3734" s="21"/>
      <c r="M3734" s="10"/>
      <c r="O3734" s="11"/>
    </row>
    <row r="3735" spans="1:15" s="4" customFormat="1" x14ac:dyDescent="0.25">
      <c r="A3735" s="6">
        <v>1887</v>
      </c>
      <c r="B3735" s="5" t="s">
        <v>550</v>
      </c>
      <c r="C3735" s="5" t="s">
        <v>13</v>
      </c>
      <c r="D3735" s="5" t="s">
        <v>463</v>
      </c>
      <c r="E3735" s="5" t="s">
        <v>464</v>
      </c>
      <c r="F3735" s="5" t="s">
        <v>551</v>
      </c>
      <c r="G3735" s="22">
        <v>0</v>
      </c>
      <c r="H3735" s="22">
        <v>0</v>
      </c>
      <c r="I3735" s="22">
        <v>0</v>
      </c>
      <c r="J3735" s="22">
        <v>3.44</v>
      </c>
      <c r="K3735" s="22">
        <v>0</v>
      </c>
      <c r="L3735" s="22">
        <v>3.44</v>
      </c>
      <c r="M3735" s="10"/>
      <c r="N3735" s="67"/>
      <c r="O3735" s="11"/>
    </row>
    <row r="3736" spans="1:15" x14ac:dyDescent="0.25">
      <c r="A3736" s="6">
        <v>1888</v>
      </c>
      <c r="B3736" s="5" t="s">
        <v>550</v>
      </c>
      <c r="C3736" s="5" t="s">
        <v>13</v>
      </c>
      <c r="D3736" s="5" t="s">
        <v>463</v>
      </c>
      <c r="E3736" s="5" t="s">
        <v>464</v>
      </c>
      <c r="F3736" s="5" t="s">
        <v>551</v>
      </c>
      <c r="G3736" s="22">
        <v>0</v>
      </c>
      <c r="H3736" s="22">
        <v>0</v>
      </c>
      <c r="I3736" s="22">
        <v>0</v>
      </c>
      <c r="J3736" s="22">
        <v>19.21</v>
      </c>
      <c r="K3736" s="22">
        <v>0</v>
      </c>
      <c r="L3736" s="22">
        <v>19.21</v>
      </c>
      <c r="M3736" s="10"/>
      <c r="O3736" s="11"/>
    </row>
    <row r="3737" spans="1:15" x14ac:dyDescent="0.25">
      <c r="A3737" s="6">
        <v>1889</v>
      </c>
      <c r="B3737" s="5" t="s">
        <v>550</v>
      </c>
      <c r="C3737" s="5" t="s">
        <v>17</v>
      </c>
      <c r="D3737" s="5" t="s">
        <v>463</v>
      </c>
      <c r="E3737" s="5" t="s">
        <v>464</v>
      </c>
      <c r="F3737" s="5" t="s">
        <v>551</v>
      </c>
      <c r="G3737" s="22">
        <v>28.65</v>
      </c>
      <c r="H3737" s="22">
        <v>0</v>
      </c>
      <c r="I3737" s="22">
        <v>0</v>
      </c>
      <c r="J3737" s="22">
        <v>0</v>
      </c>
      <c r="K3737" s="22">
        <v>-0.56999999999999995</v>
      </c>
      <c r="L3737" s="22">
        <v>28.08</v>
      </c>
      <c r="M3737" s="10"/>
      <c r="O3737" s="11"/>
    </row>
    <row r="3738" spans="1:15" s="4" customFormat="1" x14ac:dyDescent="0.25">
      <c r="A3738" s="6">
        <v>1890</v>
      </c>
      <c r="B3738" s="5" t="s">
        <v>550</v>
      </c>
      <c r="C3738" s="5" t="s">
        <v>17</v>
      </c>
      <c r="D3738" s="5" t="s">
        <v>463</v>
      </c>
      <c r="E3738" s="5" t="s">
        <v>464</v>
      </c>
      <c r="F3738" s="5" t="s">
        <v>551</v>
      </c>
      <c r="G3738" s="22">
        <v>160.1</v>
      </c>
      <c r="H3738" s="22">
        <v>0</v>
      </c>
      <c r="I3738" s="22">
        <v>0</v>
      </c>
      <c r="J3738" s="22">
        <v>0</v>
      </c>
      <c r="K3738" s="22">
        <v>-3.2</v>
      </c>
      <c r="L3738" s="22">
        <v>156.9</v>
      </c>
      <c r="M3738" s="10"/>
      <c r="N3738" s="67"/>
      <c r="O3738" s="11"/>
    </row>
    <row r="3739" spans="1:15" x14ac:dyDescent="0.25">
      <c r="A3739" s="6"/>
      <c r="B3739" s="5"/>
      <c r="C3739" s="5"/>
      <c r="D3739" s="5" t="s">
        <v>463</v>
      </c>
      <c r="E3739" s="5" t="s">
        <v>464</v>
      </c>
      <c r="F3739" s="5" t="s">
        <v>551</v>
      </c>
      <c r="G3739" s="14">
        <f t="shared" ref="G3739:L3739" si="921">SUBTOTAL(9,G3735:G3738)</f>
        <v>188.75</v>
      </c>
      <c r="H3739" s="14">
        <f t="shared" si="921"/>
        <v>0</v>
      </c>
      <c r="I3739" s="14">
        <f t="shared" si="921"/>
        <v>0</v>
      </c>
      <c r="J3739" s="14">
        <f t="shared" si="921"/>
        <v>22.650000000000002</v>
      </c>
      <c r="K3739" s="14">
        <f t="shared" si="921"/>
        <v>-3.77</v>
      </c>
      <c r="L3739" s="14">
        <f t="shared" si="921"/>
        <v>207.63</v>
      </c>
      <c r="M3739" s="10">
        <v>3001</v>
      </c>
      <c r="O3739" s="11">
        <f>O3733+1</f>
        <v>882</v>
      </c>
    </row>
    <row r="3740" spans="1:15" x14ac:dyDescent="0.25">
      <c r="A3740" s="10"/>
      <c r="G3740" s="21"/>
      <c r="H3740" s="21"/>
      <c r="I3740" s="21"/>
      <c r="J3740" s="21"/>
      <c r="K3740" s="21"/>
      <c r="L3740" s="21"/>
      <c r="M3740" s="10"/>
      <c r="O3740" s="11"/>
    </row>
    <row r="3741" spans="1:15" s="4" customFormat="1" x14ac:dyDescent="0.25">
      <c r="A3741" s="6">
        <v>1891</v>
      </c>
      <c r="B3741" s="5" t="s">
        <v>550</v>
      </c>
      <c r="C3741" s="5" t="s">
        <v>13</v>
      </c>
      <c r="D3741" s="5" t="s">
        <v>463</v>
      </c>
      <c r="E3741" s="5" t="s">
        <v>464</v>
      </c>
      <c r="F3741" s="5" t="s">
        <v>552</v>
      </c>
      <c r="G3741" s="22">
        <v>0</v>
      </c>
      <c r="H3741" s="22">
        <v>0</v>
      </c>
      <c r="I3741" s="22">
        <v>0</v>
      </c>
      <c r="J3741" s="22">
        <v>0</v>
      </c>
      <c r="K3741" s="22">
        <v>0</v>
      </c>
      <c r="L3741" s="22">
        <v>0</v>
      </c>
      <c r="M3741" s="10"/>
      <c r="N3741" s="67"/>
      <c r="O3741" s="11"/>
    </row>
    <row r="3742" spans="1:15" x14ac:dyDescent="0.25">
      <c r="A3742" s="6">
        <v>1892</v>
      </c>
      <c r="B3742" s="5" t="s">
        <v>550</v>
      </c>
      <c r="C3742" s="5" t="s">
        <v>17</v>
      </c>
      <c r="D3742" s="5" t="s">
        <v>463</v>
      </c>
      <c r="E3742" s="5" t="s">
        <v>464</v>
      </c>
      <c r="F3742" s="5" t="s">
        <v>552</v>
      </c>
      <c r="G3742" s="22">
        <v>0.01</v>
      </c>
      <c r="H3742" s="22">
        <v>0</v>
      </c>
      <c r="I3742" s="22">
        <v>0</v>
      </c>
      <c r="J3742" s="22">
        <v>0</v>
      </c>
      <c r="K3742" s="22">
        <v>0</v>
      </c>
      <c r="L3742" s="22">
        <v>0.01</v>
      </c>
      <c r="M3742" s="10"/>
      <c r="O3742" s="11"/>
    </row>
    <row r="3743" spans="1:15" x14ac:dyDescent="0.25">
      <c r="A3743" s="6"/>
      <c r="B3743" s="5"/>
      <c r="C3743" s="5"/>
      <c r="D3743" s="5" t="s">
        <v>463</v>
      </c>
      <c r="E3743" s="5" t="s">
        <v>464</v>
      </c>
      <c r="F3743" s="5" t="s">
        <v>552</v>
      </c>
      <c r="G3743" s="14">
        <f t="shared" ref="G3743:L3743" si="922">SUBTOTAL(9,G3741:G3742)</f>
        <v>0.01</v>
      </c>
      <c r="H3743" s="14">
        <f t="shared" si="922"/>
        <v>0</v>
      </c>
      <c r="I3743" s="14">
        <f t="shared" si="922"/>
        <v>0</v>
      </c>
      <c r="J3743" s="14">
        <f t="shared" si="922"/>
        <v>0</v>
      </c>
      <c r="K3743" s="14">
        <f t="shared" si="922"/>
        <v>0</v>
      </c>
      <c r="L3743" s="14">
        <f t="shared" si="922"/>
        <v>0.01</v>
      </c>
      <c r="M3743" s="10">
        <v>3002</v>
      </c>
      <c r="O3743" s="11">
        <f>O3739+1</f>
        <v>883</v>
      </c>
    </row>
    <row r="3744" spans="1:15" s="4" customFormat="1" x14ac:dyDescent="0.25">
      <c r="A3744" s="10"/>
      <c r="B3744"/>
      <c r="C3744"/>
      <c r="D3744"/>
      <c r="E3744"/>
      <c r="F3744"/>
      <c r="G3744" s="21"/>
      <c r="H3744" s="21"/>
      <c r="I3744" s="21"/>
      <c r="J3744" s="21"/>
      <c r="K3744" s="21"/>
      <c r="L3744" s="21"/>
      <c r="M3744" s="10"/>
      <c r="N3744" s="67"/>
      <c r="O3744" s="11"/>
    </row>
    <row r="3745" spans="1:15" x14ac:dyDescent="0.25">
      <c r="A3745" s="6">
        <v>1893</v>
      </c>
      <c r="B3745" s="5" t="s">
        <v>555</v>
      </c>
      <c r="C3745" s="5" t="s">
        <v>17</v>
      </c>
      <c r="D3745" s="5" t="s">
        <v>465</v>
      </c>
      <c r="E3745" s="5" t="s">
        <v>466</v>
      </c>
      <c r="F3745" s="5" t="s">
        <v>556</v>
      </c>
      <c r="G3745" s="22">
        <v>0</v>
      </c>
      <c r="H3745" s="22">
        <v>0</v>
      </c>
      <c r="I3745" s="22">
        <v>2.79</v>
      </c>
      <c r="J3745" s="22">
        <v>0</v>
      </c>
      <c r="K3745" s="22">
        <v>-0.06</v>
      </c>
      <c r="L3745" s="22">
        <v>2.73</v>
      </c>
      <c r="M3745" s="10"/>
      <c r="O3745" s="11"/>
    </row>
    <row r="3746" spans="1:15" x14ac:dyDescent="0.25">
      <c r="A3746" s="6"/>
      <c r="B3746" s="5"/>
      <c r="C3746" s="5"/>
      <c r="D3746" s="5" t="s">
        <v>465</v>
      </c>
      <c r="E3746" s="5" t="s">
        <v>466</v>
      </c>
      <c r="F3746" s="5" t="s">
        <v>556</v>
      </c>
      <c r="G3746" s="14">
        <f t="shared" ref="G3746:L3746" si="923">SUBTOTAL(9,G3745:G3745)</f>
        <v>0</v>
      </c>
      <c r="H3746" s="14">
        <f t="shared" si="923"/>
        <v>0</v>
      </c>
      <c r="I3746" s="14">
        <f t="shared" si="923"/>
        <v>2.79</v>
      </c>
      <c r="J3746" s="14">
        <f t="shared" si="923"/>
        <v>0</v>
      </c>
      <c r="K3746" s="14">
        <f t="shared" si="923"/>
        <v>-0.06</v>
      </c>
      <c r="L3746" s="14">
        <f t="shared" si="923"/>
        <v>2.73</v>
      </c>
      <c r="M3746" s="10">
        <v>3003</v>
      </c>
      <c r="O3746" s="11">
        <f>O3743+1</f>
        <v>884</v>
      </c>
    </row>
    <row r="3747" spans="1:15" s="4" customFormat="1" x14ac:dyDescent="0.25">
      <c r="A3747" s="10"/>
      <c r="B3747"/>
      <c r="C3747"/>
      <c r="D3747"/>
      <c r="E3747"/>
      <c r="F3747"/>
      <c r="G3747" s="21"/>
      <c r="H3747" s="21"/>
      <c r="I3747" s="21"/>
      <c r="J3747" s="21"/>
      <c r="K3747" s="21"/>
      <c r="L3747" s="21"/>
      <c r="M3747" s="10"/>
      <c r="N3747" s="67"/>
      <c r="O3747" s="11"/>
    </row>
    <row r="3748" spans="1:15" x14ac:dyDescent="0.25">
      <c r="A3748" s="6">
        <v>1894</v>
      </c>
      <c r="B3748" s="5" t="s">
        <v>557</v>
      </c>
      <c r="C3748" s="5" t="s">
        <v>17</v>
      </c>
      <c r="D3748" s="5" t="s">
        <v>465</v>
      </c>
      <c r="E3748" s="5" t="s">
        <v>466</v>
      </c>
      <c r="F3748" s="5" t="s">
        <v>558</v>
      </c>
      <c r="G3748" s="22">
        <v>0</v>
      </c>
      <c r="H3748" s="22">
        <v>0</v>
      </c>
      <c r="I3748" s="22">
        <v>4.93</v>
      </c>
      <c r="J3748" s="22">
        <v>0</v>
      </c>
      <c r="K3748" s="22">
        <v>-0.1</v>
      </c>
      <c r="L3748" s="22">
        <v>4.83</v>
      </c>
      <c r="M3748" s="10"/>
      <c r="O3748" s="11"/>
    </row>
    <row r="3749" spans="1:15" x14ac:dyDescent="0.25">
      <c r="A3749" s="6"/>
      <c r="B3749" s="5"/>
      <c r="C3749" s="5"/>
      <c r="D3749" s="5" t="s">
        <v>465</v>
      </c>
      <c r="E3749" s="5" t="s">
        <v>466</v>
      </c>
      <c r="F3749" s="5" t="s">
        <v>558</v>
      </c>
      <c r="G3749" s="14">
        <f t="shared" ref="G3749:L3749" si="924">SUBTOTAL(9,G3748:G3748)</f>
        <v>0</v>
      </c>
      <c r="H3749" s="14">
        <f t="shared" si="924"/>
        <v>0</v>
      </c>
      <c r="I3749" s="14">
        <f t="shared" si="924"/>
        <v>4.93</v>
      </c>
      <c r="J3749" s="14">
        <f t="shared" si="924"/>
        <v>0</v>
      </c>
      <c r="K3749" s="14">
        <f t="shared" si="924"/>
        <v>-0.1</v>
      </c>
      <c r="L3749" s="14">
        <f t="shared" si="924"/>
        <v>4.83</v>
      </c>
      <c r="M3749" s="10">
        <v>3004</v>
      </c>
      <c r="O3749" s="11">
        <f>O3746+1</f>
        <v>885</v>
      </c>
    </row>
    <row r="3750" spans="1:15" s="4" customFormat="1" x14ac:dyDescent="0.25">
      <c r="A3750" s="10"/>
      <c r="B3750"/>
      <c r="C3750"/>
      <c r="D3750"/>
      <c r="E3750"/>
      <c r="F3750"/>
      <c r="G3750" s="21"/>
      <c r="H3750" s="21"/>
      <c r="I3750" s="21"/>
      <c r="J3750" s="21"/>
      <c r="K3750" s="21"/>
      <c r="L3750" s="21"/>
      <c r="M3750" s="10"/>
      <c r="N3750" s="67"/>
      <c r="O3750" s="11"/>
    </row>
    <row r="3751" spans="1:15" x14ac:dyDescent="0.25">
      <c r="A3751" s="6">
        <v>1895</v>
      </c>
      <c r="B3751" s="5" t="s">
        <v>18</v>
      </c>
      <c r="C3751" s="5" t="s">
        <v>17</v>
      </c>
      <c r="D3751" s="5" t="s">
        <v>465</v>
      </c>
      <c r="E3751" s="5" t="s">
        <v>466</v>
      </c>
      <c r="F3751" s="5" t="s">
        <v>19</v>
      </c>
      <c r="G3751" s="22">
        <v>0</v>
      </c>
      <c r="H3751" s="22">
        <v>0</v>
      </c>
      <c r="I3751" s="22">
        <v>0.53</v>
      </c>
      <c r="J3751" s="22">
        <v>0</v>
      </c>
      <c r="K3751" s="22">
        <v>-0.06</v>
      </c>
      <c r="L3751" s="22">
        <v>0.47</v>
      </c>
      <c r="M3751" s="10"/>
      <c r="O3751" s="11"/>
    </row>
    <row r="3752" spans="1:15" x14ac:dyDescent="0.25">
      <c r="A3752" s="6"/>
      <c r="B3752" s="5"/>
      <c r="C3752" s="5"/>
      <c r="D3752" s="5" t="s">
        <v>465</v>
      </c>
      <c r="E3752" s="5" t="s">
        <v>466</v>
      </c>
      <c r="F3752" s="5" t="s">
        <v>19</v>
      </c>
      <c r="G3752" s="14">
        <f t="shared" ref="G3752:L3752" si="925">SUBTOTAL(9,G3751:G3751)</f>
        <v>0</v>
      </c>
      <c r="H3752" s="14">
        <f t="shared" si="925"/>
        <v>0</v>
      </c>
      <c r="I3752" s="14">
        <f t="shared" si="925"/>
        <v>0.53</v>
      </c>
      <c r="J3752" s="14">
        <f t="shared" si="925"/>
        <v>0</v>
      </c>
      <c r="K3752" s="14">
        <f t="shared" si="925"/>
        <v>-0.06</v>
      </c>
      <c r="L3752" s="14">
        <f t="shared" si="925"/>
        <v>0.47</v>
      </c>
      <c r="M3752" s="10">
        <v>3005</v>
      </c>
      <c r="O3752" s="11">
        <f>O3749+1</f>
        <v>886</v>
      </c>
    </row>
    <row r="3753" spans="1:15" s="4" customFormat="1" x14ac:dyDescent="0.25">
      <c r="A3753" s="10"/>
      <c r="B3753"/>
      <c r="C3753"/>
      <c r="D3753"/>
      <c r="E3753"/>
      <c r="F3753"/>
      <c r="G3753" s="21"/>
      <c r="H3753" s="21"/>
      <c r="I3753" s="21"/>
      <c r="J3753" s="21"/>
      <c r="K3753" s="21"/>
      <c r="L3753" s="21"/>
      <c r="M3753" s="10"/>
      <c r="N3753" s="67"/>
      <c r="O3753" s="11"/>
    </row>
    <row r="3754" spans="1:15" x14ac:dyDescent="0.25">
      <c r="A3754" s="6">
        <v>1896</v>
      </c>
      <c r="B3754" s="5" t="s">
        <v>550</v>
      </c>
      <c r="C3754" s="5" t="s">
        <v>17</v>
      </c>
      <c r="D3754" s="5" t="s">
        <v>465</v>
      </c>
      <c r="E3754" s="5" t="s">
        <v>466</v>
      </c>
      <c r="F3754" s="5" t="s">
        <v>551</v>
      </c>
      <c r="G3754" s="22">
        <v>0</v>
      </c>
      <c r="H3754" s="22">
        <v>0</v>
      </c>
      <c r="I3754" s="22">
        <v>1102.45</v>
      </c>
      <c r="J3754" s="22">
        <v>0</v>
      </c>
      <c r="K3754" s="22">
        <v>-22.05</v>
      </c>
      <c r="L3754" s="22">
        <v>1080.4000000000001</v>
      </c>
      <c r="M3754" s="10"/>
      <c r="O3754" s="11"/>
    </row>
    <row r="3755" spans="1:15" x14ac:dyDescent="0.25">
      <c r="A3755" s="6"/>
      <c r="B3755" s="5"/>
      <c r="C3755" s="5"/>
      <c r="D3755" s="5" t="s">
        <v>465</v>
      </c>
      <c r="E3755" s="5" t="s">
        <v>466</v>
      </c>
      <c r="F3755" s="5" t="s">
        <v>551</v>
      </c>
      <c r="G3755" s="14">
        <f t="shared" ref="G3755:L3755" si="926">SUBTOTAL(9,G3754:G3754)</f>
        <v>0</v>
      </c>
      <c r="H3755" s="14">
        <f t="shared" si="926"/>
        <v>0</v>
      </c>
      <c r="I3755" s="14">
        <f t="shared" si="926"/>
        <v>1102.45</v>
      </c>
      <c r="J3755" s="14">
        <f t="shared" si="926"/>
        <v>0</v>
      </c>
      <c r="K3755" s="14">
        <f t="shared" si="926"/>
        <v>-22.05</v>
      </c>
      <c r="L3755" s="14">
        <f t="shared" si="926"/>
        <v>1080.4000000000001</v>
      </c>
      <c r="M3755" s="10">
        <v>3006</v>
      </c>
      <c r="O3755" s="11">
        <f>O3752+1</f>
        <v>887</v>
      </c>
    </row>
    <row r="3756" spans="1:15" s="4" customFormat="1" x14ac:dyDescent="0.25">
      <c r="A3756" s="10"/>
      <c r="B3756"/>
      <c r="C3756"/>
      <c r="D3756"/>
      <c r="E3756"/>
      <c r="F3756"/>
      <c r="G3756" s="21"/>
      <c r="H3756" s="21"/>
      <c r="I3756" s="21"/>
      <c r="J3756" s="21"/>
      <c r="K3756" s="21"/>
      <c r="L3756" s="21"/>
      <c r="M3756" s="10"/>
      <c r="N3756" s="67"/>
      <c r="O3756" s="11"/>
    </row>
    <row r="3757" spans="1:15" s="4" customFormat="1" x14ac:dyDescent="0.25">
      <c r="A3757" s="6">
        <v>1897</v>
      </c>
      <c r="B3757" s="5" t="s">
        <v>550</v>
      </c>
      <c r="C3757" s="5" t="s">
        <v>17</v>
      </c>
      <c r="D3757" s="5" t="s">
        <v>465</v>
      </c>
      <c r="E3757" s="5" t="s">
        <v>466</v>
      </c>
      <c r="F3757" s="5" t="s">
        <v>552</v>
      </c>
      <c r="G3757" s="22">
        <v>0</v>
      </c>
      <c r="H3757" s="22">
        <v>0</v>
      </c>
      <c r="I3757" s="22">
        <v>0.08</v>
      </c>
      <c r="J3757" s="22">
        <v>0</v>
      </c>
      <c r="K3757" s="22">
        <v>0</v>
      </c>
      <c r="L3757" s="22">
        <v>0.08</v>
      </c>
      <c r="M3757" s="10"/>
      <c r="N3757" s="67"/>
      <c r="O3757" s="11"/>
    </row>
    <row r="3758" spans="1:15" x14ac:dyDescent="0.25">
      <c r="A3758" s="6"/>
      <c r="B3758" s="5"/>
      <c r="C3758" s="5"/>
      <c r="D3758" s="5" t="s">
        <v>465</v>
      </c>
      <c r="E3758" s="5" t="s">
        <v>466</v>
      </c>
      <c r="F3758" s="5" t="s">
        <v>552</v>
      </c>
      <c r="G3758" s="14">
        <f t="shared" ref="G3758:L3758" si="927">SUBTOTAL(9,G3757:G3757)</f>
        <v>0</v>
      </c>
      <c r="H3758" s="14">
        <f t="shared" si="927"/>
        <v>0</v>
      </c>
      <c r="I3758" s="14">
        <f t="shared" si="927"/>
        <v>0.08</v>
      </c>
      <c r="J3758" s="14">
        <f t="shared" si="927"/>
        <v>0</v>
      </c>
      <c r="K3758" s="14">
        <f t="shared" si="927"/>
        <v>0</v>
      </c>
      <c r="L3758" s="14">
        <f t="shared" si="927"/>
        <v>0.08</v>
      </c>
      <c r="M3758" s="10">
        <v>3007</v>
      </c>
      <c r="O3758" s="11">
        <f>O3755+1</f>
        <v>888</v>
      </c>
    </row>
    <row r="3759" spans="1:15" x14ac:dyDescent="0.25">
      <c r="A3759" s="10"/>
      <c r="G3759" s="21"/>
      <c r="H3759" s="21"/>
      <c r="I3759" s="21"/>
      <c r="J3759" s="21"/>
      <c r="K3759" s="21"/>
      <c r="L3759" s="21"/>
      <c r="M3759" s="10"/>
      <c r="O3759" s="11"/>
    </row>
    <row r="3760" spans="1:15" s="4" customFormat="1" x14ac:dyDescent="0.25">
      <c r="A3760" s="6">
        <v>1898</v>
      </c>
      <c r="B3760" s="5" t="s">
        <v>18</v>
      </c>
      <c r="C3760" s="5" t="s">
        <v>17</v>
      </c>
      <c r="D3760" s="5" t="s">
        <v>467</v>
      </c>
      <c r="E3760" s="5" t="s">
        <v>468</v>
      </c>
      <c r="F3760" s="5" t="s">
        <v>19</v>
      </c>
      <c r="G3760" s="22">
        <v>0</v>
      </c>
      <c r="H3760" s="22">
        <v>0</v>
      </c>
      <c r="I3760" s="22">
        <v>0.3</v>
      </c>
      <c r="J3760" s="22">
        <v>0</v>
      </c>
      <c r="K3760" s="22">
        <v>-0.04</v>
      </c>
      <c r="L3760" s="22">
        <v>0.26</v>
      </c>
      <c r="M3760" s="10"/>
      <c r="N3760" s="67"/>
      <c r="O3760" s="11"/>
    </row>
    <row r="3761" spans="1:15" x14ac:dyDescent="0.25">
      <c r="A3761" s="6"/>
      <c r="B3761" s="5"/>
      <c r="C3761" s="5"/>
      <c r="D3761" s="5" t="s">
        <v>467</v>
      </c>
      <c r="E3761" s="5" t="s">
        <v>468</v>
      </c>
      <c r="F3761" s="5" t="s">
        <v>668</v>
      </c>
      <c r="G3761" s="14">
        <f t="shared" ref="G3761:L3761" si="928">SUBTOTAL(9,G3760:G3760)</f>
        <v>0</v>
      </c>
      <c r="H3761" s="14">
        <f t="shared" si="928"/>
        <v>0</v>
      </c>
      <c r="I3761" s="14">
        <f t="shared" si="928"/>
        <v>0.3</v>
      </c>
      <c r="J3761" s="14">
        <f t="shared" si="928"/>
        <v>0</v>
      </c>
      <c r="K3761" s="14">
        <f t="shared" si="928"/>
        <v>-0.04</v>
      </c>
      <c r="L3761" s="14">
        <f t="shared" si="928"/>
        <v>0.26</v>
      </c>
      <c r="M3761" s="10">
        <v>3008</v>
      </c>
      <c r="O3761" s="11">
        <f>O3758+1</f>
        <v>889</v>
      </c>
    </row>
    <row r="3762" spans="1:15" x14ac:dyDescent="0.25">
      <c r="A3762" s="10"/>
      <c r="G3762" s="21"/>
      <c r="H3762" s="21"/>
      <c r="I3762" s="21"/>
      <c r="J3762" s="21"/>
      <c r="K3762" s="21"/>
      <c r="L3762" s="21"/>
      <c r="M3762" s="10"/>
      <c r="O3762" s="11"/>
    </row>
    <row r="3763" spans="1:15" s="4" customFormat="1" x14ac:dyDescent="0.25">
      <c r="A3763" s="6">
        <v>1899</v>
      </c>
      <c r="B3763" s="5" t="s">
        <v>550</v>
      </c>
      <c r="C3763" s="5" t="s">
        <v>17</v>
      </c>
      <c r="D3763" s="5" t="s">
        <v>467</v>
      </c>
      <c r="E3763" s="5" t="s">
        <v>468</v>
      </c>
      <c r="F3763" s="5" t="s">
        <v>551</v>
      </c>
      <c r="G3763" s="22">
        <v>0</v>
      </c>
      <c r="H3763" s="22">
        <v>0</v>
      </c>
      <c r="I3763" s="22">
        <v>105.69</v>
      </c>
      <c r="J3763" s="22">
        <v>0</v>
      </c>
      <c r="K3763" s="22">
        <v>0</v>
      </c>
      <c r="L3763" s="22">
        <v>105.69</v>
      </c>
      <c r="M3763" s="10"/>
      <c r="N3763" s="67"/>
      <c r="O3763" s="11"/>
    </row>
    <row r="3764" spans="1:15" x14ac:dyDescent="0.25">
      <c r="A3764" s="6">
        <v>1900</v>
      </c>
      <c r="B3764" s="5" t="s">
        <v>550</v>
      </c>
      <c r="C3764" s="5" t="s">
        <v>17</v>
      </c>
      <c r="D3764" s="5" t="s">
        <v>467</v>
      </c>
      <c r="E3764" s="5" t="s">
        <v>468</v>
      </c>
      <c r="F3764" s="5" t="s">
        <v>551</v>
      </c>
      <c r="G3764" s="22">
        <v>0</v>
      </c>
      <c r="H3764" s="22">
        <v>0</v>
      </c>
      <c r="I3764" s="22">
        <v>646.22</v>
      </c>
      <c r="J3764" s="22">
        <v>0</v>
      </c>
      <c r="K3764" s="22">
        <v>0</v>
      </c>
      <c r="L3764" s="22">
        <v>646.22</v>
      </c>
      <c r="M3764" s="10"/>
      <c r="O3764" s="11"/>
    </row>
    <row r="3765" spans="1:15" x14ac:dyDescent="0.25">
      <c r="A3765" s="6"/>
      <c r="B3765" s="5"/>
      <c r="C3765" s="5"/>
      <c r="D3765" s="5" t="s">
        <v>467</v>
      </c>
      <c r="E3765" s="5" t="s">
        <v>468</v>
      </c>
      <c r="F3765" s="5" t="s">
        <v>551</v>
      </c>
      <c r="G3765" s="14">
        <f t="shared" ref="G3765:L3765" si="929">SUBTOTAL(9,G3763:G3764)</f>
        <v>0</v>
      </c>
      <c r="H3765" s="14">
        <f t="shared" si="929"/>
        <v>0</v>
      </c>
      <c r="I3765" s="14">
        <f t="shared" si="929"/>
        <v>751.91000000000008</v>
      </c>
      <c r="J3765" s="14">
        <f t="shared" si="929"/>
        <v>0</v>
      </c>
      <c r="K3765" s="14">
        <f t="shared" si="929"/>
        <v>0</v>
      </c>
      <c r="L3765" s="14">
        <f t="shared" si="929"/>
        <v>751.91000000000008</v>
      </c>
      <c r="M3765" s="10">
        <v>3009</v>
      </c>
      <c r="O3765" s="11">
        <f>O3761+1</f>
        <v>890</v>
      </c>
    </row>
    <row r="3766" spans="1:15" s="4" customFormat="1" x14ac:dyDescent="0.25">
      <c r="A3766" s="10"/>
      <c r="B3766"/>
      <c r="C3766"/>
      <c r="D3766"/>
      <c r="E3766"/>
      <c r="F3766"/>
      <c r="G3766" s="21"/>
      <c r="H3766" s="21"/>
      <c r="I3766" s="21"/>
      <c r="J3766" s="21"/>
      <c r="K3766" s="21"/>
      <c r="L3766" s="21"/>
      <c r="M3766" s="10"/>
      <c r="N3766" s="67"/>
      <c r="O3766" s="11"/>
    </row>
    <row r="3767" spans="1:15" x14ac:dyDescent="0.25">
      <c r="A3767" s="6">
        <v>1901</v>
      </c>
      <c r="B3767" s="5" t="s">
        <v>550</v>
      </c>
      <c r="C3767" s="5" t="s">
        <v>17</v>
      </c>
      <c r="D3767" s="5" t="s">
        <v>467</v>
      </c>
      <c r="E3767" s="5" t="s">
        <v>468</v>
      </c>
      <c r="F3767" s="5" t="s">
        <v>552</v>
      </c>
      <c r="G3767" s="22">
        <v>0</v>
      </c>
      <c r="H3767" s="22">
        <v>0</v>
      </c>
      <c r="I3767" s="22">
        <v>0.01</v>
      </c>
      <c r="J3767" s="22">
        <v>0</v>
      </c>
      <c r="K3767" s="22">
        <v>0</v>
      </c>
      <c r="L3767" s="22">
        <v>0.01</v>
      </c>
      <c r="M3767" s="10"/>
      <c r="O3767" s="11"/>
    </row>
    <row r="3768" spans="1:15" x14ac:dyDescent="0.25">
      <c r="A3768" s="6">
        <v>1902</v>
      </c>
      <c r="B3768" s="5" t="s">
        <v>550</v>
      </c>
      <c r="C3768" s="5" t="s">
        <v>17</v>
      </c>
      <c r="D3768" s="5" t="s">
        <v>467</v>
      </c>
      <c r="E3768" s="5" t="s">
        <v>468</v>
      </c>
      <c r="F3768" s="5" t="s">
        <v>552</v>
      </c>
      <c r="G3768" s="22">
        <v>0</v>
      </c>
      <c r="H3768" s="22">
        <v>0</v>
      </c>
      <c r="I3768" s="22">
        <v>0.05</v>
      </c>
      <c r="J3768" s="22">
        <v>0</v>
      </c>
      <c r="K3768" s="22">
        <v>0</v>
      </c>
      <c r="L3768" s="22">
        <v>0.05</v>
      </c>
      <c r="M3768" s="10"/>
      <c r="O3768" s="11"/>
    </row>
    <row r="3769" spans="1:15" s="4" customFormat="1" x14ac:dyDescent="0.25">
      <c r="A3769" s="6"/>
      <c r="B3769" s="5"/>
      <c r="C3769" s="5"/>
      <c r="D3769" s="5" t="s">
        <v>467</v>
      </c>
      <c r="E3769" s="5" t="s">
        <v>468</v>
      </c>
      <c r="F3769" s="5" t="s">
        <v>552</v>
      </c>
      <c r="G3769" s="14">
        <f t="shared" ref="G3769:L3769" si="930">SUBTOTAL(9,G3767:G3768)</f>
        <v>0</v>
      </c>
      <c r="H3769" s="14">
        <f t="shared" si="930"/>
        <v>0</v>
      </c>
      <c r="I3769" s="14">
        <f t="shared" si="930"/>
        <v>6.0000000000000005E-2</v>
      </c>
      <c r="J3769" s="14">
        <f t="shared" si="930"/>
        <v>0</v>
      </c>
      <c r="K3769" s="14">
        <f t="shared" si="930"/>
        <v>0</v>
      </c>
      <c r="L3769" s="14">
        <f t="shared" si="930"/>
        <v>6.0000000000000005E-2</v>
      </c>
      <c r="M3769" s="10">
        <v>3010</v>
      </c>
      <c r="N3769" s="67"/>
      <c r="O3769" s="11">
        <f>O3765+1</f>
        <v>891</v>
      </c>
    </row>
    <row r="3770" spans="1:15" s="4" customFormat="1" x14ac:dyDescent="0.25">
      <c r="A3770" s="10"/>
      <c r="B3770"/>
      <c r="C3770"/>
      <c r="D3770"/>
      <c r="E3770"/>
      <c r="F3770"/>
      <c r="G3770" s="21"/>
      <c r="H3770" s="21"/>
      <c r="I3770" s="21"/>
      <c r="J3770" s="21"/>
      <c r="K3770" s="21"/>
      <c r="L3770" s="21"/>
      <c r="M3770" s="10"/>
      <c r="N3770" s="67"/>
      <c r="O3770" s="11"/>
    </row>
    <row r="3771" spans="1:15" x14ac:dyDescent="0.25">
      <c r="A3771" s="6">
        <v>1903</v>
      </c>
      <c r="B3771" s="5" t="s">
        <v>18</v>
      </c>
      <c r="C3771" s="5" t="s">
        <v>17</v>
      </c>
      <c r="D3771" s="5" t="s">
        <v>469</v>
      </c>
      <c r="E3771" s="5" t="s">
        <v>470</v>
      </c>
      <c r="F3771" s="5" t="s">
        <v>19</v>
      </c>
      <c r="G3771" s="22">
        <v>0</v>
      </c>
      <c r="H3771" s="22">
        <v>0</v>
      </c>
      <c r="I3771" s="22">
        <v>0.19</v>
      </c>
      <c r="J3771" s="22">
        <v>0</v>
      </c>
      <c r="K3771" s="22">
        <v>-0.02</v>
      </c>
      <c r="L3771" s="22">
        <v>0.17</v>
      </c>
      <c r="M3771" s="10"/>
      <c r="O3771" s="11"/>
    </row>
    <row r="3772" spans="1:15" x14ac:dyDescent="0.25">
      <c r="A3772" s="6"/>
      <c r="B3772" s="5"/>
      <c r="C3772" s="5"/>
      <c r="D3772" s="5" t="s">
        <v>469</v>
      </c>
      <c r="E3772" s="5" t="s">
        <v>470</v>
      </c>
      <c r="F3772" s="5" t="s">
        <v>19</v>
      </c>
      <c r="G3772" s="14">
        <f t="shared" ref="G3772:L3772" si="931">SUBTOTAL(9,G3771:G3771)</f>
        <v>0</v>
      </c>
      <c r="H3772" s="14">
        <f t="shared" si="931"/>
        <v>0</v>
      </c>
      <c r="I3772" s="14">
        <f t="shared" si="931"/>
        <v>0.19</v>
      </c>
      <c r="J3772" s="14">
        <f t="shared" si="931"/>
        <v>0</v>
      </c>
      <c r="K3772" s="14">
        <f t="shared" si="931"/>
        <v>-0.02</v>
      </c>
      <c r="L3772" s="14">
        <f t="shared" si="931"/>
        <v>0.17</v>
      </c>
      <c r="M3772" s="10">
        <v>3011</v>
      </c>
      <c r="O3772" s="11">
        <f>O3769+1</f>
        <v>892</v>
      </c>
    </row>
    <row r="3773" spans="1:15" s="4" customFormat="1" x14ac:dyDescent="0.25">
      <c r="A3773" s="10"/>
      <c r="B3773"/>
      <c r="C3773"/>
      <c r="D3773"/>
      <c r="E3773"/>
      <c r="F3773"/>
      <c r="G3773" s="21"/>
      <c r="H3773" s="21"/>
      <c r="I3773" s="21"/>
      <c r="J3773" s="21"/>
      <c r="K3773" s="21"/>
      <c r="L3773" s="21"/>
      <c r="M3773" s="10"/>
      <c r="N3773" s="67"/>
      <c r="O3773" s="11"/>
    </row>
    <row r="3774" spans="1:15" s="4" customFormat="1" x14ac:dyDescent="0.25">
      <c r="A3774" s="6">
        <v>1904</v>
      </c>
      <c r="B3774" s="5" t="s">
        <v>550</v>
      </c>
      <c r="C3774" s="5" t="s">
        <v>17</v>
      </c>
      <c r="D3774" s="5" t="s">
        <v>640</v>
      </c>
      <c r="E3774" s="5" t="s">
        <v>470</v>
      </c>
      <c r="F3774" s="5" t="s">
        <v>551</v>
      </c>
      <c r="G3774" s="22">
        <v>0</v>
      </c>
      <c r="H3774" s="22">
        <v>0</v>
      </c>
      <c r="I3774" s="22">
        <v>39.1</v>
      </c>
      <c r="J3774" s="22">
        <v>0</v>
      </c>
      <c r="K3774" s="22">
        <v>-0.78</v>
      </c>
      <c r="L3774" s="22">
        <v>38.32</v>
      </c>
      <c r="M3774" s="10"/>
      <c r="N3774" s="67"/>
      <c r="O3774" s="11"/>
    </row>
    <row r="3775" spans="1:15" x14ac:dyDescent="0.25">
      <c r="A3775" s="6">
        <v>1905</v>
      </c>
      <c r="B3775" s="5" t="s">
        <v>550</v>
      </c>
      <c r="C3775" s="5" t="s">
        <v>17</v>
      </c>
      <c r="D3775" s="5" t="s">
        <v>640</v>
      </c>
      <c r="E3775" s="5" t="s">
        <v>470</v>
      </c>
      <c r="F3775" s="5" t="s">
        <v>551</v>
      </c>
      <c r="G3775" s="22">
        <v>0</v>
      </c>
      <c r="H3775" s="22">
        <v>0</v>
      </c>
      <c r="I3775" s="22">
        <v>391.06</v>
      </c>
      <c r="J3775" s="22">
        <v>0</v>
      </c>
      <c r="K3775" s="22">
        <v>-7.82</v>
      </c>
      <c r="L3775" s="22">
        <v>383.24</v>
      </c>
      <c r="M3775" s="10"/>
      <c r="O3775" s="11"/>
    </row>
    <row r="3776" spans="1:15" x14ac:dyDescent="0.25">
      <c r="A3776" s="6"/>
      <c r="B3776" s="5"/>
      <c r="C3776" s="5"/>
      <c r="D3776" s="5" t="s">
        <v>469</v>
      </c>
      <c r="E3776" s="5" t="s">
        <v>470</v>
      </c>
      <c r="F3776" s="5" t="s">
        <v>551</v>
      </c>
      <c r="G3776" s="14">
        <f t="shared" ref="G3776:L3776" si="932">SUBTOTAL(9,G3774:G3775)</f>
        <v>0</v>
      </c>
      <c r="H3776" s="14">
        <f t="shared" si="932"/>
        <v>0</v>
      </c>
      <c r="I3776" s="14">
        <f t="shared" si="932"/>
        <v>430.16</v>
      </c>
      <c r="J3776" s="14">
        <f t="shared" si="932"/>
        <v>0</v>
      </c>
      <c r="K3776" s="14">
        <f t="shared" si="932"/>
        <v>-8.6</v>
      </c>
      <c r="L3776" s="14">
        <f t="shared" si="932"/>
        <v>421.56</v>
      </c>
      <c r="M3776" s="10">
        <v>3012</v>
      </c>
      <c r="O3776" s="11">
        <f>O3772+1</f>
        <v>893</v>
      </c>
    </row>
    <row r="3777" spans="1:15" s="4" customFormat="1" x14ac:dyDescent="0.25">
      <c r="A3777" s="10"/>
      <c r="B3777"/>
      <c r="C3777"/>
      <c r="D3777"/>
      <c r="E3777"/>
      <c r="F3777"/>
      <c r="G3777" s="21"/>
      <c r="H3777" s="21"/>
      <c r="I3777" s="21"/>
      <c r="J3777" s="21"/>
      <c r="K3777" s="21"/>
      <c r="L3777" s="21"/>
      <c r="M3777" s="10"/>
      <c r="N3777" s="67"/>
      <c r="O3777" s="11"/>
    </row>
    <row r="3778" spans="1:15" x14ac:dyDescent="0.25">
      <c r="A3778" s="6">
        <v>1906</v>
      </c>
      <c r="B3778" s="5" t="s">
        <v>550</v>
      </c>
      <c r="C3778" s="5" t="s">
        <v>17</v>
      </c>
      <c r="D3778" s="5" t="s">
        <v>640</v>
      </c>
      <c r="E3778" s="5" t="s">
        <v>470</v>
      </c>
      <c r="F3778" s="5" t="s">
        <v>552</v>
      </c>
      <c r="G3778" s="22">
        <v>0</v>
      </c>
      <c r="H3778" s="22">
        <v>0</v>
      </c>
      <c r="I3778" s="22">
        <v>0.03</v>
      </c>
      <c r="J3778" s="22">
        <v>0</v>
      </c>
      <c r="K3778" s="22">
        <v>0</v>
      </c>
      <c r="L3778" s="22">
        <v>0.03</v>
      </c>
      <c r="M3778" s="10"/>
      <c r="O3778" s="11"/>
    </row>
    <row r="3779" spans="1:15" x14ac:dyDescent="0.25">
      <c r="A3779" s="6"/>
      <c r="B3779" s="5"/>
      <c r="C3779" s="5"/>
      <c r="D3779" s="5" t="s">
        <v>469</v>
      </c>
      <c r="E3779" s="5" t="s">
        <v>470</v>
      </c>
      <c r="F3779" s="5" t="s">
        <v>552</v>
      </c>
      <c r="G3779" s="14">
        <f t="shared" ref="G3779:L3779" si="933">SUBTOTAL(9,G3778:G3778)</f>
        <v>0</v>
      </c>
      <c r="H3779" s="14">
        <f t="shared" si="933"/>
        <v>0</v>
      </c>
      <c r="I3779" s="14">
        <f t="shared" si="933"/>
        <v>0.03</v>
      </c>
      <c r="J3779" s="14">
        <f t="shared" si="933"/>
        <v>0</v>
      </c>
      <c r="K3779" s="14">
        <f t="shared" si="933"/>
        <v>0</v>
      </c>
      <c r="L3779" s="14">
        <f t="shared" si="933"/>
        <v>0.03</v>
      </c>
      <c r="M3779" s="10">
        <v>3013</v>
      </c>
      <c r="O3779" s="11">
        <f>O3776+1</f>
        <v>894</v>
      </c>
    </row>
    <row r="3780" spans="1:15" s="4" customFormat="1" x14ac:dyDescent="0.25">
      <c r="A3780" s="10"/>
      <c r="B3780"/>
      <c r="C3780"/>
      <c r="D3780"/>
      <c r="E3780"/>
      <c r="F3780"/>
      <c r="G3780" s="21"/>
      <c r="H3780" s="21"/>
      <c r="I3780" s="21"/>
      <c r="J3780" s="21"/>
      <c r="K3780" s="21"/>
      <c r="L3780" s="21"/>
      <c r="M3780" s="10"/>
      <c r="N3780" s="67"/>
      <c r="O3780" s="11"/>
    </row>
    <row r="3781" spans="1:15" x14ac:dyDescent="0.25">
      <c r="A3781" s="6">
        <v>1907</v>
      </c>
      <c r="B3781" s="5" t="s">
        <v>18</v>
      </c>
      <c r="C3781" s="5" t="s">
        <v>17</v>
      </c>
      <c r="D3781" s="5" t="s">
        <v>471</v>
      </c>
      <c r="E3781" s="5" t="s">
        <v>472</v>
      </c>
      <c r="F3781" s="5" t="s">
        <v>19</v>
      </c>
      <c r="G3781" s="22">
        <v>0</v>
      </c>
      <c r="H3781" s="22">
        <v>0</v>
      </c>
      <c r="I3781" s="22">
        <v>0.01</v>
      </c>
      <c r="J3781" s="22">
        <v>0</v>
      </c>
      <c r="K3781" s="22">
        <v>0</v>
      </c>
      <c r="L3781" s="22">
        <v>0.01</v>
      </c>
      <c r="M3781" s="10"/>
      <c r="O3781" s="11"/>
    </row>
    <row r="3782" spans="1:15" x14ac:dyDescent="0.25">
      <c r="A3782" s="6">
        <v>1908</v>
      </c>
      <c r="B3782" s="5" t="s">
        <v>18</v>
      </c>
      <c r="C3782" s="5" t="s">
        <v>17</v>
      </c>
      <c r="D3782" s="5" t="s">
        <v>471</v>
      </c>
      <c r="E3782" s="5" t="s">
        <v>472</v>
      </c>
      <c r="F3782" s="5" t="s">
        <v>19</v>
      </c>
      <c r="G3782" s="22">
        <v>0</v>
      </c>
      <c r="H3782" s="22">
        <v>0</v>
      </c>
      <c r="I3782" s="22">
        <v>234.37</v>
      </c>
      <c r="J3782" s="22">
        <v>0</v>
      </c>
      <c r="K3782" s="22">
        <v>-4.6900000000000004</v>
      </c>
      <c r="L3782" s="22">
        <v>229.68</v>
      </c>
      <c r="M3782" s="10"/>
      <c r="O3782" s="11"/>
    </row>
    <row r="3783" spans="1:15" s="4" customFormat="1" x14ac:dyDescent="0.25">
      <c r="A3783" s="6"/>
      <c r="B3783" s="5"/>
      <c r="C3783" s="5"/>
      <c r="D3783" s="5" t="s">
        <v>471</v>
      </c>
      <c r="E3783" s="5" t="s">
        <v>472</v>
      </c>
      <c r="F3783" s="5" t="s">
        <v>19</v>
      </c>
      <c r="G3783" s="14">
        <f t="shared" ref="G3783:L3783" si="934">SUBTOTAL(9,G3781:G3782)</f>
        <v>0</v>
      </c>
      <c r="H3783" s="14">
        <f t="shared" si="934"/>
        <v>0</v>
      </c>
      <c r="I3783" s="14">
        <f t="shared" si="934"/>
        <v>234.38</v>
      </c>
      <c r="J3783" s="14">
        <f t="shared" si="934"/>
        <v>0</v>
      </c>
      <c r="K3783" s="14">
        <f t="shared" si="934"/>
        <v>-4.6900000000000004</v>
      </c>
      <c r="L3783" s="14">
        <f t="shared" si="934"/>
        <v>229.69</v>
      </c>
      <c r="M3783" s="10">
        <v>3014</v>
      </c>
      <c r="N3783" s="67"/>
      <c r="O3783" s="11">
        <f>O3779+1</f>
        <v>895</v>
      </c>
    </row>
    <row r="3784" spans="1:15" x14ac:dyDescent="0.25">
      <c r="A3784" s="10"/>
      <c r="G3784" s="21"/>
      <c r="H3784" s="21"/>
      <c r="I3784" s="21"/>
      <c r="J3784" s="21"/>
      <c r="K3784" s="21"/>
      <c r="L3784" s="21"/>
      <c r="M3784" s="10"/>
      <c r="O3784" s="11"/>
    </row>
    <row r="3785" spans="1:15" x14ac:dyDescent="0.25">
      <c r="A3785" s="6">
        <v>1909</v>
      </c>
      <c r="B3785" s="5" t="s">
        <v>20</v>
      </c>
      <c r="C3785" s="5" t="s">
        <v>17</v>
      </c>
      <c r="D3785" s="5" t="s">
        <v>471</v>
      </c>
      <c r="E3785" s="5" t="s">
        <v>472</v>
      </c>
      <c r="F3785" s="5" t="s">
        <v>21</v>
      </c>
      <c r="G3785" s="22">
        <v>0</v>
      </c>
      <c r="H3785" s="22">
        <v>0</v>
      </c>
      <c r="I3785" s="22">
        <v>0.19</v>
      </c>
      <c r="J3785" s="22">
        <v>0</v>
      </c>
      <c r="K3785" s="22">
        <v>0</v>
      </c>
      <c r="L3785" s="22">
        <v>0.19</v>
      </c>
      <c r="M3785" s="10"/>
      <c r="O3785" s="11"/>
    </row>
    <row r="3786" spans="1:15" s="4" customFormat="1" x14ac:dyDescent="0.25">
      <c r="A3786" s="6"/>
      <c r="B3786" s="5"/>
      <c r="C3786" s="5"/>
      <c r="D3786" s="5" t="s">
        <v>471</v>
      </c>
      <c r="E3786" s="5" t="s">
        <v>472</v>
      </c>
      <c r="F3786" s="5" t="s">
        <v>21</v>
      </c>
      <c r="G3786" s="14">
        <f t="shared" ref="G3786:L3786" si="935">SUBTOTAL(9,G3785:G3785)</f>
        <v>0</v>
      </c>
      <c r="H3786" s="14">
        <f t="shared" si="935"/>
        <v>0</v>
      </c>
      <c r="I3786" s="14">
        <f t="shared" si="935"/>
        <v>0.19</v>
      </c>
      <c r="J3786" s="14">
        <f t="shared" si="935"/>
        <v>0</v>
      </c>
      <c r="K3786" s="14">
        <f t="shared" si="935"/>
        <v>0</v>
      </c>
      <c r="L3786" s="14">
        <f t="shared" si="935"/>
        <v>0.19</v>
      </c>
      <c r="M3786" s="10">
        <v>3015</v>
      </c>
      <c r="N3786" s="67"/>
      <c r="O3786" s="11">
        <f>O3783+1</f>
        <v>896</v>
      </c>
    </row>
    <row r="3787" spans="1:15" x14ac:dyDescent="0.25">
      <c r="A3787" s="10"/>
      <c r="G3787" s="21"/>
      <c r="H3787" s="21"/>
      <c r="I3787" s="21"/>
      <c r="J3787" s="21"/>
      <c r="K3787" s="21"/>
      <c r="L3787" s="21"/>
      <c r="M3787" s="10"/>
      <c r="O3787" s="11"/>
    </row>
    <row r="3788" spans="1:15" x14ac:dyDescent="0.25">
      <c r="A3788" s="6">
        <v>1910</v>
      </c>
      <c r="B3788" s="5" t="s">
        <v>22</v>
      </c>
      <c r="C3788" s="5" t="s">
        <v>17</v>
      </c>
      <c r="D3788" s="5" t="s">
        <v>471</v>
      </c>
      <c r="E3788" s="5" t="s">
        <v>472</v>
      </c>
      <c r="F3788" s="5" t="s">
        <v>23</v>
      </c>
      <c r="G3788" s="22">
        <v>0</v>
      </c>
      <c r="H3788" s="22">
        <v>0</v>
      </c>
      <c r="I3788" s="22">
        <v>5.82</v>
      </c>
      <c r="J3788" s="22">
        <v>0</v>
      </c>
      <c r="K3788" s="22">
        <v>-0.12</v>
      </c>
      <c r="L3788" s="22">
        <v>5.7</v>
      </c>
      <c r="M3788" s="10"/>
      <c r="O3788" s="11"/>
    </row>
    <row r="3789" spans="1:15" s="4" customFormat="1" x14ac:dyDescent="0.25">
      <c r="A3789" s="6">
        <v>1911</v>
      </c>
      <c r="B3789" s="5" t="s">
        <v>22</v>
      </c>
      <c r="C3789" s="5" t="s">
        <v>49</v>
      </c>
      <c r="D3789" s="5" t="s">
        <v>471</v>
      </c>
      <c r="E3789" s="5" t="s">
        <v>472</v>
      </c>
      <c r="F3789" s="5" t="s">
        <v>23</v>
      </c>
      <c r="G3789" s="22">
        <v>0</v>
      </c>
      <c r="H3789" s="22">
        <v>0</v>
      </c>
      <c r="I3789" s="22">
        <v>2.29</v>
      </c>
      <c r="J3789" s="22">
        <v>0</v>
      </c>
      <c r="K3789" s="22">
        <v>0</v>
      </c>
      <c r="L3789" s="22">
        <v>2.29</v>
      </c>
      <c r="M3789" s="10"/>
      <c r="N3789" s="70">
        <v>2.29</v>
      </c>
      <c r="O3789" s="11"/>
    </row>
    <row r="3790" spans="1:15" s="4" customFormat="1" x14ac:dyDescent="0.25">
      <c r="A3790" s="6"/>
      <c r="B3790" s="5"/>
      <c r="C3790" s="5"/>
      <c r="D3790" s="5" t="s">
        <v>471</v>
      </c>
      <c r="E3790" s="5" t="s">
        <v>472</v>
      </c>
      <c r="F3790" s="5" t="s">
        <v>23</v>
      </c>
      <c r="G3790" s="14">
        <f t="shared" ref="G3790:L3790" si="936">SUBTOTAL(9,G3788:G3789)</f>
        <v>0</v>
      </c>
      <c r="H3790" s="14">
        <f t="shared" si="936"/>
        <v>0</v>
      </c>
      <c r="I3790" s="14">
        <f t="shared" si="936"/>
        <v>8.11</v>
      </c>
      <c r="J3790" s="14">
        <f t="shared" si="936"/>
        <v>0</v>
      </c>
      <c r="K3790" s="14">
        <f t="shared" si="936"/>
        <v>-0.12</v>
      </c>
      <c r="L3790" s="14">
        <f t="shared" si="936"/>
        <v>7.99</v>
      </c>
      <c r="M3790" s="10">
        <v>3016</v>
      </c>
      <c r="N3790" s="71">
        <f>SUBTOTAL(9,N3788:N3789)</f>
        <v>2.29</v>
      </c>
      <c r="O3790" s="11">
        <f>O3786+1</f>
        <v>897</v>
      </c>
    </row>
    <row r="3791" spans="1:15" x14ac:dyDescent="0.25">
      <c r="A3791" s="10"/>
      <c r="G3791" s="21"/>
      <c r="H3791" s="21"/>
      <c r="I3791" s="21"/>
      <c r="J3791" s="21"/>
      <c r="K3791" s="21"/>
      <c r="L3791" s="21"/>
      <c r="M3791" s="10"/>
      <c r="O3791" s="11"/>
    </row>
    <row r="3792" spans="1:15" x14ac:dyDescent="0.25">
      <c r="A3792" s="6">
        <v>1912</v>
      </c>
      <c r="B3792" s="5" t="s">
        <v>22</v>
      </c>
      <c r="C3792" s="5" t="s">
        <v>17</v>
      </c>
      <c r="D3792" s="5" t="s">
        <v>471</v>
      </c>
      <c r="E3792" s="5" t="s">
        <v>472</v>
      </c>
      <c r="F3792" s="5" t="s">
        <v>24</v>
      </c>
      <c r="G3792" s="22">
        <v>0</v>
      </c>
      <c r="H3792" s="22">
        <v>0</v>
      </c>
      <c r="I3792" s="22">
        <v>0.01</v>
      </c>
      <c r="J3792" s="22">
        <v>0</v>
      </c>
      <c r="K3792" s="22">
        <v>0</v>
      </c>
      <c r="L3792" s="22">
        <v>0.01</v>
      </c>
      <c r="M3792" s="10"/>
      <c r="O3792" s="11"/>
    </row>
    <row r="3793" spans="1:15" s="4" customFormat="1" x14ac:dyDescent="0.25">
      <c r="A3793" s="6"/>
      <c r="B3793" s="5"/>
      <c r="C3793" s="5"/>
      <c r="D3793" s="5" t="s">
        <v>471</v>
      </c>
      <c r="E3793" s="5" t="s">
        <v>472</v>
      </c>
      <c r="F3793" s="5" t="s">
        <v>24</v>
      </c>
      <c r="G3793" s="14">
        <f t="shared" ref="G3793:L3793" si="937">SUBTOTAL(9,G3792:G3792)</f>
        <v>0</v>
      </c>
      <c r="H3793" s="14">
        <f t="shared" si="937"/>
        <v>0</v>
      </c>
      <c r="I3793" s="14">
        <f t="shared" si="937"/>
        <v>0.01</v>
      </c>
      <c r="J3793" s="14">
        <f t="shared" si="937"/>
        <v>0</v>
      </c>
      <c r="K3793" s="14">
        <f t="shared" si="937"/>
        <v>0</v>
      </c>
      <c r="L3793" s="14">
        <f t="shared" si="937"/>
        <v>0.01</v>
      </c>
      <c r="M3793" s="10">
        <v>3017</v>
      </c>
      <c r="N3793" s="67"/>
      <c r="O3793" s="11">
        <f>O3790+1</f>
        <v>898</v>
      </c>
    </row>
    <row r="3794" spans="1:15" s="4" customFormat="1" x14ac:dyDescent="0.25">
      <c r="A3794" s="10"/>
      <c r="B3794"/>
      <c r="C3794"/>
      <c r="D3794"/>
      <c r="E3794"/>
      <c r="F3794"/>
      <c r="G3794" s="21"/>
      <c r="H3794" s="21"/>
      <c r="I3794" s="21"/>
      <c r="J3794" s="21"/>
      <c r="K3794" s="21"/>
      <c r="L3794" s="21"/>
      <c r="M3794" s="10"/>
      <c r="N3794" s="67"/>
      <c r="O3794" s="11"/>
    </row>
    <row r="3795" spans="1:15" x14ac:dyDescent="0.25">
      <c r="A3795" s="6">
        <v>1913</v>
      </c>
      <c r="B3795" s="5" t="s">
        <v>555</v>
      </c>
      <c r="C3795" s="5" t="s">
        <v>17</v>
      </c>
      <c r="D3795" s="5" t="s">
        <v>473</v>
      </c>
      <c r="E3795" s="5" t="s">
        <v>474</v>
      </c>
      <c r="F3795" s="5" t="s">
        <v>556</v>
      </c>
      <c r="G3795" s="22">
        <v>712.31</v>
      </c>
      <c r="H3795" s="22">
        <v>0</v>
      </c>
      <c r="I3795" s="22">
        <v>0</v>
      </c>
      <c r="J3795" s="22">
        <v>0</v>
      </c>
      <c r="K3795" s="22">
        <v>-14.25</v>
      </c>
      <c r="L3795" s="22">
        <v>698.06</v>
      </c>
      <c r="M3795" s="10"/>
      <c r="O3795" s="11"/>
    </row>
    <row r="3796" spans="1:15" x14ac:dyDescent="0.25">
      <c r="A3796" s="6">
        <v>1914</v>
      </c>
      <c r="B3796" s="5" t="s">
        <v>555</v>
      </c>
      <c r="C3796" s="5" t="s">
        <v>13</v>
      </c>
      <c r="D3796" s="5" t="s">
        <v>473</v>
      </c>
      <c r="E3796" s="5" t="s">
        <v>474</v>
      </c>
      <c r="F3796" s="5" t="s">
        <v>556</v>
      </c>
      <c r="G3796" s="22">
        <v>0</v>
      </c>
      <c r="H3796" s="22">
        <v>0</v>
      </c>
      <c r="I3796" s="22">
        <v>0</v>
      </c>
      <c r="J3796" s="22">
        <v>85.48</v>
      </c>
      <c r="K3796" s="22">
        <v>0</v>
      </c>
      <c r="L3796" s="22">
        <v>85.48</v>
      </c>
      <c r="M3796" s="10"/>
      <c r="O3796" s="11"/>
    </row>
    <row r="3797" spans="1:15" s="4" customFormat="1" x14ac:dyDescent="0.25">
      <c r="A3797" s="6"/>
      <c r="B3797" s="5"/>
      <c r="C3797" s="5"/>
      <c r="D3797" s="5" t="s">
        <v>473</v>
      </c>
      <c r="E3797" s="5" t="s">
        <v>474</v>
      </c>
      <c r="F3797" s="5" t="s">
        <v>556</v>
      </c>
      <c r="G3797" s="14">
        <f t="shared" ref="G3797:L3797" si="938">SUBTOTAL(9,G3795:G3796)</f>
        <v>712.31</v>
      </c>
      <c r="H3797" s="14">
        <f t="shared" si="938"/>
        <v>0</v>
      </c>
      <c r="I3797" s="14">
        <f t="shared" si="938"/>
        <v>0</v>
      </c>
      <c r="J3797" s="14">
        <f t="shared" si="938"/>
        <v>85.48</v>
      </c>
      <c r="K3797" s="14">
        <f t="shared" si="938"/>
        <v>-14.25</v>
      </c>
      <c r="L3797" s="14">
        <f t="shared" si="938"/>
        <v>783.54</v>
      </c>
      <c r="M3797" s="10">
        <v>3018</v>
      </c>
      <c r="N3797" s="67"/>
      <c r="O3797" s="11">
        <f>O3793+1</f>
        <v>899</v>
      </c>
    </row>
    <row r="3798" spans="1:15" s="4" customFormat="1" x14ac:dyDescent="0.25">
      <c r="A3798" s="10"/>
      <c r="B3798"/>
      <c r="C3798"/>
      <c r="D3798"/>
      <c r="E3798"/>
      <c r="F3798"/>
      <c r="G3798" s="21"/>
      <c r="H3798" s="21"/>
      <c r="I3798" s="21"/>
      <c r="J3798" s="21"/>
      <c r="K3798" s="21"/>
      <c r="L3798" s="21"/>
      <c r="M3798" s="10"/>
      <c r="N3798" s="67"/>
      <c r="O3798" s="11"/>
    </row>
    <row r="3799" spans="1:15" s="4" customFormat="1" x14ac:dyDescent="0.25">
      <c r="A3799" s="6">
        <v>1915</v>
      </c>
      <c r="B3799" s="5" t="s">
        <v>557</v>
      </c>
      <c r="C3799" s="5" t="s">
        <v>17</v>
      </c>
      <c r="D3799" s="5" t="s">
        <v>473</v>
      </c>
      <c r="E3799" s="5" t="s">
        <v>474</v>
      </c>
      <c r="F3799" s="5" t="s">
        <v>558</v>
      </c>
      <c r="G3799" s="22">
        <v>60.35</v>
      </c>
      <c r="H3799" s="22">
        <v>0</v>
      </c>
      <c r="I3799" s="22">
        <v>0</v>
      </c>
      <c r="J3799" s="22">
        <v>0</v>
      </c>
      <c r="K3799" s="22">
        <v>-1.21</v>
      </c>
      <c r="L3799" s="22">
        <v>59.14</v>
      </c>
      <c r="M3799" s="10"/>
      <c r="N3799" s="67"/>
      <c r="O3799" s="11"/>
    </row>
    <row r="3800" spans="1:15" x14ac:dyDescent="0.25">
      <c r="A3800" s="6">
        <v>1916</v>
      </c>
      <c r="B3800" s="5" t="s">
        <v>557</v>
      </c>
      <c r="C3800" s="5" t="s">
        <v>13</v>
      </c>
      <c r="D3800" s="5" t="s">
        <v>473</v>
      </c>
      <c r="E3800" s="5" t="s">
        <v>474</v>
      </c>
      <c r="F3800" s="5" t="s">
        <v>558</v>
      </c>
      <c r="G3800" s="22">
        <v>0</v>
      </c>
      <c r="H3800" s="22">
        <v>0</v>
      </c>
      <c r="I3800" s="22">
        <v>0</v>
      </c>
      <c r="J3800" s="22">
        <v>7.24</v>
      </c>
      <c r="K3800" s="22">
        <v>0</v>
      </c>
      <c r="L3800" s="22">
        <v>7.24</v>
      </c>
      <c r="M3800" s="10"/>
      <c r="O3800" s="11"/>
    </row>
    <row r="3801" spans="1:15" x14ac:dyDescent="0.25">
      <c r="A3801" s="6"/>
      <c r="B3801" s="5"/>
      <c r="C3801" s="5"/>
      <c r="D3801" s="5" t="s">
        <v>473</v>
      </c>
      <c r="E3801" s="5" t="s">
        <v>474</v>
      </c>
      <c r="F3801" s="5" t="s">
        <v>558</v>
      </c>
      <c r="G3801" s="14">
        <f t="shared" ref="G3801:L3801" si="939">SUBTOTAL(9,G3799:G3800)</f>
        <v>60.35</v>
      </c>
      <c r="H3801" s="14">
        <f t="shared" si="939"/>
        <v>0</v>
      </c>
      <c r="I3801" s="14">
        <f t="shared" si="939"/>
        <v>0</v>
      </c>
      <c r="J3801" s="14">
        <f t="shared" si="939"/>
        <v>7.24</v>
      </c>
      <c r="K3801" s="14">
        <f t="shared" si="939"/>
        <v>-1.21</v>
      </c>
      <c r="L3801" s="14">
        <f t="shared" si="939"/>
        <v>66.38</v>
      </c>
      <c r="M3801" s="10">
        <v>3019</v>
      </c>
      <c r="O3801" s="11">
        <f>O3797+1</f>
        <v>900</v>
      </c>
    </row>
    <row r="3802" spans="1:15" s="4" customFormat="1" x14ac:dyDescent="0.25">
      <c r="A3802" s="10"/>
      <c r="B3802"/>
      <c r="C3802"/>
      <c r="D3802"/>
      <c r="E3802"/>
      <c r="F3802"/>
      <c r="G3802" s="21"/>
      <c r="H3802" s="21"/>
      <c r="I3802" s="21"/>
      <c r="J3802" s="21"/>
      <c r="K3802" s="21"/>
      <c r="L3802" s="21"/>
      <c r="M3802" s="10"/>
      <c r="N3802" s="67"/>
      <c r="O3802" s="11"/>
    </row>
    <row r="3803" spans="1:15" s="4" customFormat="1" x14ac:dyDescent="0.25">
      <c r="A3803" s="6">
        <v>1917</v>
      </c>
      <c r="B3803" s="5" t="s">
        <v>18</v>
      </c>
      <c r="C3803" s="5" t="s">
        <v>17</v>
      </c>
      <c r="D3803" s="5" t="s">
        <v>473</v>
      </c>
      <c r="E3803" s="5" t="s">
        <v>474</v>
      </c>
      <c r="F3803" s="5" t="s">
        <v>19</v>
      </c>
      <c r="G3803" s="22">
        <v>0.55000000000000004</v>
      </c>
      <c r="H3803" s="22">
        <v>0</v>
      </c>
      <c r="I3803" s="22">
        <v>0</v>
      </c>
      <c r="J3803" s="22">
        <v>0</v>
      </c>
      <c r="K3803" s="22">
        <v>-0.49</v>
      </c>
      <c r="L3803" s="22">
        <v>0.06</v>
      </c>
      <c r="M3803" s="10"/>
      <c r="N3803" s="67"/>
      <c r="O3803" s="11"/>
    </row>
    <row r="3804" spans="1:15" x14ac:dyDescent="0.25">
      <c r="A3804" s="6"/>
      <c r="B3804" s="5"/>
      <c r="C3804" s="5"/>
      <c r="D3804" s="5" t="s">
        <v>473</v>
      </c>
      <c r="E3804" s="5" t="s">
        <v>474</v>
      </c>
      <c r="F3804" s="5" t="s">
        <v>19</v>
      </c>
      <c r="G3804" s="14">
        <f t="shared" ref="G3804:L3804" si="940">SUBTOTAL(9,G3803:G3803)</f>
        <v>0.55000000000000004</v>
      </c>
      <c r="H3804" s="14">
        <f t="shared" si="940"/>
        <v>0</v>
      </c>
      <c r="I3804" s="14">
        <f t="shared" si="940"/>
        <v>0</v>
      </c>
      <c r="J3804" s="14">
        <f t="shared" si="940"/>
        <v>0</v>
      </c>
      <c r="K3804" s="14">
        <f t="shared" si="940"/>
        <v>-0.49</v>
      </c>
      <c r="L3804" s="14">
        <f t="shared" si="940"/>
        <v>0.06</v>
      </c>
      <c r="M3804" s="10">
        <v>3020</v>
      </c>
      <c r="O3804" s="11">
        <f>O3801+1</f>
        <v>901</v>
      </c>
    </row>
    <row r="3805" spans="1:15" x14ac:dyDescent="0.25">
      <c r="A3805" s="10"/>
      <c r="G3805" s="21"/>
      <c r="H3805" s="21"/>
      <c r="I3805" s="21"/>
      <c r="J3805" s="21"/>
      <c r="K3805" s="21"/>
      <c r="L3805" s="21"/>
      <c r="M3805" s="10"/>
      <c r="O3805" s="11"/>
    </row>
    <row r="3806" spans="1:15" s="4" customFormat="1" x14ac:dyDescent="0.25">
      <c r="A3806" s="6">
        <v>1918</v>
      </c>
      <c r="B3806" s="5" t="s">
        <v>550</v>
      </c>
      <c r="C3806" s="5" t="s">
        <v>13</v>
      </c>
      <c r="D3806" s="5" t="s">
        <v>473</v>
      </c>
      <c r="E3806" s="5" t="s">
        <v>474</v>
      </c>
      <c r="F3806" s="5" t="s">
        <v>551</v>
      </c>
      <c r="G3806" s="22">
        <v>0</v>
      </c>
      <c r="H3806" s="22">
        <v>0</v>
      </c>
      <c r="I3806" s="22">
        <v>0</v>
      </c>
      <c r="J3806" s="22">
        <v>3322.11</v>
      </c>
      <c r="K3806" s="22">
        <v>0</v>
      </c>
      <c r="L3806" s="22">
        <v>3322.11</v>
      </c>
      <c r="M3806" s="10"/>
      <c r="N3806" s="67"/>
      <c r="O3806" s="11"/>
    </row>
    <row r="3807" spans="1:15" x14ac:dyDescent="0.25">
      <c r="A3807" s="6">
        <v>1919</v>
      </c>
      <c r="B3807" s="5" t="s">
        <v>550</v>
      </c>
      <c r="C3807" s="5" t="s">
        <v>17</v>
      </c>
      <c r="D3807" s="5" t="s">
        <v>473</v>
      </c>
      <c r="E3807" s="5" t="s">
        <v>474</v>
      </c>
      <c r="F3807" s="5" t="s">
        <v>551</v>
      </c>
      <c r="G3807" s="22">
        <v>27684.29</v>
      </c>
      <c r="H3807" s="22">
        <v>0</v>
      </c>
      <c r="I3807" s="22">
        <v>0</v>
      </c>
      <c r="J3807" s="22">
        <v>0</v>
      </c>
      <c r="K3807" s="22">
        <v>-553.69000000000005</v>
      </c>
      <c r="L3807" s="22">
        <v>27130.6</v>
      </c>
      <c r="M3807" s="10"/>
      <c r="O3807" s="11"/>
    </row>
    <row r="3808" spans="1:15" x14ac:dyDescent="0.25">
      <c r="A3808" s="6"/>
      <c r="B3808" s="5"/>
      <c r="C3808" s="5"/>
      <c r="D3808" s="5" t="s">
        <v>473</v>
      </c>
      <c r="E3808" s="5" t="s">
        <v>474</v>
      </c>
      <c r="F3808" s="5" t="s">
        <v>551</v>
      </c>
      <c r="G3808" s="14">
        <f t="shared" ref="G3808:L3808" si="941">SUBTOTAL(9,G3806:G3807)</f>
        <v>27684.29</v>
      </c>
      <c r="H3808" s="14">
        <f t="shared" si="941"/>
        <v>0</v>
      </c>
      <c r="I3808" s="14">
        <f t="shared" si="941"/>
        <v>0</v>
      </c>
      <c r="J3808" s="14">
        <f t="shared" si="941"/>
        <v>3322.11</v>
      </c>
      <c r="K3808" s="14">
        <f t="shared" si="941"/>
        <v>-553.69000000000005</v>
      </c>
      <c r="L3808" s="14">
        <f t="shared" si="941"/>
        <v>30452.71</v>
      </c>
      <c r="M3808" s="10">
        <v>3021</v>
      </c>
      <c r="O3808" s="11">
        <f>O3804+1</f>
        <v>902</v>
      </c>
    </row>
    <row r="3809" spans="1:15" s="4" customFormat="1" x14ac:dyDescent="0.25">
      <c r="A3809" s="10"/>
      <c r="B3809"/>
      <c r="C3809"/>
      <c r="D3809"/>
      <c r="E3809"/>
      <c r="F3809"/>
      <c r="G3809" s="21"/>
      <c r="H3809" s="21"/>
      <c r="I3809" s="21"/>
      <c r="J3809" s="21"/>
      <c r="K3809" s="21"/>
      <c r="L3809" s="21"/>
      <c r="M3809" s="10"/>
      <c r="N3809" s="67"/>
      <c r="O3809" s="11"/>
    </row>
    <row r="3810" spans="1:15" x14ac:dyDescent="0.25">
      <c r="A3810" s="6">
        <v>1920</v>
      </c>
      <c r="B3810" s="5" t="s">
        <v>550</v>
      </c>
      <c r="C3810" s="5" t="s">
        <v>13</v>
      </c>
      <c r="D3810" s="5" t="s">
        <v>473</v>
      </c>
      <c r="E3810" s="5" t="s">
        <v>474</v>
      </c>
      <c r="F3810" s="5" t="s">
        <v>552</v>
      </c>
      <c r="G3810" s="22">
        <v>0</v>
      </c>
      <c r="H3810" s="22">
        <v>0</v>
      </c>
      <c r="I3810" s="22">
        <v>0</v>
      </c>
      <c r="J3810" s="22">
        <v>0.24</v>
      </c>
      <c r="K3810" s="22">
        <v>0</v>
      </c>
      <c r="L3810" s="22">
        <v>0.24</v>
      </c>
      <c r="M3810" s="10"/>
      <c r="O3810" s="11"/>
    </row>
    <row r="3811" spans="1:15" x14ac:dyDescent="0.25">
      <c r="A3811" s="6">
        <v>1921</v>
      </c>
      <c r="B3811" s="5" t="s">
        <v>550</v>
      </c>
      <c r="C3811" s="5" t="s">
        <v>17</v>
      </c>
      <c r="D3811" s="5" t="s">
        <v>473</v>
      </c>
      <c r="E3811" s="5" t="s">
        <v>474</v>
      </c>
      <c r="F3811" s="5" t="s">
        <v>552</v>
      </c>
      <c r="G3811" s="22">
        <v>1.99</v>
      </c>
      <c r="H3811" s="22">
        <v>0</v>
      </c>
      <c r="I3811" s="22">
        <v>0</v>
      </c>
      <c r="J3811" s="22">
        <v>0</v>
      </c>
      <c r="K3811" s="22">
        <v>-0.04</v>
      </c>
      <c r="L3811" s="22">
        <v>1.95</v>
      </c>
      <c r="M3811" s="10"/>
      <c r="O3811" s="11"/>
    </row>
    <row r="3812" spans="1:15" s="4" customFormat="1" x14ac:dyDescent="0.25">
      <c r="A3812" s="6"/>
      <c r="B3812" s="5"/>
      <c r="C3812" s="5"/>
      <c r="D3812" s="5" t="s">
        <v>473</v>
      </c>
      <c r="E3812" s="5" t="s">
        <v>474</v>
      </c>
      <c r="F3812" s="5" t="s">
        <v>552</v>
      </c>
      <c r="G3812" s="14">
        <f t="shared" ref="G3812:L3812" si="942">SUBTOTAL(9,G3810:G3811)</f>
        <v>1.99</v>
      </c>
      <c r="H3812" s="14">
        <f t="shared" si="942"/>
        <v>0</v>
      </c>
      <c r="I3812" s="14">
        <f t="shared" si="942"/>
        <v>0</v>
      </c>
      <c r="J3812" s="14">
        <f t="shared" si="942"/>
        <v>0.24</v>
      </c>
      <c r="K3812" s="14">
        <f t="shared" si="942"/>
        <v>-0.04</v>
      </c>
      <c r="L3812" s="14">
        <f t="shared" si="942"/>
        <v>2.19</v>
      </c>
      <c r="M3812" s="10">
        <v>3022</v>
      </c>
      <c r="N3812" s="67"/>
      <c r="O3812" s="11">
        <f>O3808+1</f>
        <v>903</v>
      </c>
    </row>
    <row r="3813" spans="1:15" s="4" customFormat="1" x14ac:dyDescent="0.25">
      <c r="A3813" s="10"/>
      <c r="B3813"/>
      <c r="C3813"/>
      <c r="D3813"/>
      <c r="E3813"/>
      <c r="F3813"/>
      <c r="G3813" s="21"/>
      <c r="H3813" s="21"/>
      <c r="I3813" s="21"/>
      <c r="J3813" s="21"/>
      <c r="K3813" s="21"/>
      <c r="L3813" s="21"/>
      <c r="M3813" s="10"/>
      <c r="N3813" s="67"/>
      <c r="O3813" s="11"/>
    </row>
    <row r="3814" spans="1:15" s="4" customFormat="1" x14ac:dyDescent="0.25">
      <c r="A3814" s="6">
        <v>1922</v>
      </c>
      <c r="B3814" s="5" t="s">
        <v>18</v>
      </c>
      <c r="C3814" s="5" t="s">
        <v>17</v>
      </c>
      <c r="D3814" s="5" t="s">
        <v>475</v>
      </c>
      <c r="E3814" s="5" t="s">
        <v>476</v>
      </c>
      <c r="F3814" s="5" t="s">
        <v>19</v>
      </c>
      <c r="G3814" s="22">
        <v>1.58</v>
      </c>
      <c r="H3814" s="22">
        <v>0</v>
      </c>
      <c r="I3814" s="22">
        <v>0</v>
      </c>
      <c r="J3814" s="22">
        <v>0</v>
      </c>
      <c r="K3814" s="22">
        <v>-1.4</v>
      </c>
      <c r="L3814" s="22">
        <v>0.18</v>
      </c>
      <c r="M3814" s="10"/>
      <c r="N3814" s="67"/>
      <c r="O3814" s="11"/>
    </row>
    <row r="3815" spans="1:15" x14ac:dyDescent="0.25">
      <c r="A3815" s="57"/>
      <c r="B3815" s="58"/>
      <c r="C3815" s="58"/>
      <c r="D3815" s="58" t="s">
        <v>475</v>
      </c>
      <c r="E3815" s="5" t="s">
        <v>476</v>
      </c>
      <c r="F3815" s="5" t="s">
        <v>19</v>
      </c>
      <c r="G3815" s="14">
        <f t="shared" ref="G3815:L3815" si="943">SUBTOTAL(9,G3814:G3814)</f>
        <v>1.58</v>
      </c>
      <c r="H3815" s="14">
        <f t="shared" si="943"/>
        <v>0</v>
      </c>
      <c r="I3815" s="14">
        <f t="shared" si="943"/>
        <v>0</v>
      </c>
      <c r="J3815" s="14">
        <f t="shared" si="943"/>
        <v>0</v>
      </c>
      <c r="K3815" s="14">
        <f t="shared" si="943"/>
        <v>-1.4</v>
      </c>
      <c r="L3815" s="14">
        <f t="shared" si="943"/>
        <v>0.18</v>
      </c>
      <c r="M3815" s="59">
        <v>3149</v>
      </c>
      <c r="O3815" s="11">
        <f>O3812+1</f>
        <v>904</v>
      </c>
    </row>
    <row r="3816" spans="1:15" x14ac:dyDescent="0.25">
      <c r="A3816" s="10"/>
      <c r="G3816" s="21"/>
      <c r="H3816" s="21"/>
      <c r="I3816" s="21"/>
      <c r="J3816" s="21"/>
      <c r="K3816" s="21"/>
      <c r="L3816" s="21"/>
      <c r="M3816" s="10"/>
      <c r="O3816" s="11"/>
    </row>
    <row r="3817" spans="1:15" s="4" customFormat="1" x14ac:dyDescent="0.25">
      <c r="A3817" s="6">
        <v>1923</v>
      </c>
      <c r="B3817" s="5" t="s">
        <v>550</v>
      </c>
      <c r="C3817" s="5" t="s">
        <v>13</v>
      </c>
      <c r="D3817" s="5" t="s">
        <v>475</v>
      </c>
      <c r="E3817" s="5" t="s">
        <v>476</v>
      </c>
      <c r="F3817" s="5" t="s">
        <v>551</v>
      </c>
      <c r="G3817" s="22">
        <v>0</v>
      </c>
      <c r="H3817" s="22">
        <v>0</v>
      </c>
      <c r="I3817" s="22">
        <v>0</v>
      </c>
      <c r="J3817" s="22">
        <v>3703.84</v>
      </c>
      <c r="K3817" s="22">
        <v>0</v>
      </c>
      <c r="L3817" s="22">
        <v>3703.84</v>
      </c>
      <c r="M3817" s="10"/>
      <c r="N3817" s="67"/>
      <c r="O3817" s="11"/>
    </row>
    <row r="3818" spans="1:15" s="4" customFormat="1" x14ac:dyDescent="0.25">
      <c r="A3818" s="6">
        <v>1924</v>
      </c>
      <c r="B3818" s="5" t="s">
        <v>550</v>
      </c>
      <c r="C3818" s="5" t="s">
        <v>17</v>
      </c>
      <c r="D3818" s="5" t="s">
        <v>475</v>
      </c>
      <c r="E3818" s="5" t="s">
        <v>476</v>
      </c>
      <c r="F3818" s="5" t="s">
        <v>551</v>
      </c>
      <c r="G3818" s="22">
        <v>30865.37</v>
      </c>
      <c r="H3818" s="22">
        <v>0</v>
      </c>
      <c r="I3818" s="22">
        <v>0</v>
      </c>
      <c r="J3818" s="22">
        <v>0</v>
      </c>
      <c r="K3818" s="22">
        <v>-617.30999999999995</v>
      </c>
      <c r="L3818" s="22">
        <v>30248.06</v>
      </c>
      <c r="M3818" s="10"/>
      <c r="N3818" s="67"/>
      <c r="O3818" s="11"/>
    </row>
    <row r="3819" spans="1:15" x14ac:dyDescent="0.25">
      <c r="A3819" s="6"/>
      <c r="B3819" s="5"/>
      <c r="C3819" s="5"/>
      <c r="D3819" s="5" t="s">
        <v>475</v>
      </c>
      <c r="E3819" s="5" t="s">
        <v>476</v>
      </c>
      <c r="F3819" s="5" t="s">
        <v>551</v>
      </c>
      <c r="G3819" s="14">
        <f t="shared" ref="G3819:L3819" si="944">SUBTOTAL(9,G3817:G3818)</f>
        <v>30865.37</v>
      </c>
      <c r="H3819" s="14">
        <f t="shared" si="944"/>
        <v>0</v>
      </c>
      <c r="I3819" s="14">
        <f t="shared" si="944"/>
        <v>0</v>
      </c>
      <c r="J3819" s="14">
        <f t="shared" si="944"/>
        <v>3703.84</v>
      </c>
      <c r="K3819" s="14">
        <f t="shared" si="944"/>
        <v>-617.30999999999995</v>
      </c>
      <c r="L3819" s="14">
        <f t="shared" si="944"/>
        <v>33951.9</v>
      </c>
      <c r="M3819" s="10">
        <v>3023</v>
      </c>
      <c r="O3819" s="11">
        <f>O3815+1</f>
        <v>905</v>
      </c>
    </row>
    <row r="3820" spans="1:15" x14ac:dyDescent="0.25">
      <c r="A3820" s="10"/>
      <c r="G3820" s="21"/>
      <c r="H3820" s="21"/>
      <c r="I3820" s="21"/>
      <c r="J3820" s="21"/>
      <c r="K3820" s="21"/>
      <c r="L3820" s="21"/>
      <c r="M3820" s="10"/>
      <c r="O3820" s="11"/>
    </row>
    <row r="3821" spans="1:15" s="4" customFormat="1" x14ac:dyDescent="0.25">
      <c r="A3821" s="6">
        <v>1925</v>
      </c>
      <c r="B3821" s="5" t="s">
        <v>550</v>
      </c>
      <c r="C3821" s="5" t="s">
        <v>13</v>
      </c>
      <c r="D3821" s="5" t="s">
        <v>475</v>
      </c>
      <c r="E3821" s="5" t="s">
        <v>476</v>
      </c>
      <c r="F3821" s="5" t="s">
        <v>552</v>
      </c>
      <c r="G3821" s="22">
        <v>0</v>
      </c>
      <c r="H3821" s="22">
        <v>0</v>
      </c>
      <c r="I3821" s="22">
        <v>0</v>
      </c>
      <c r="J3821" s="22">
        <v>0.27</v>
      </c>
      <c r="K3821" s="22">
        <v>0</v>
      </c>
      <c r="L3821" s="22">
        <v>0.27</v>
      </c>
      <c r="M3821" s="10"/>
      <c r="N3821" s="67"/>
      <c r="O3821" s="11"/>
    </row>
    <row r="3822" spans="1:15" x14ac:dyDescent="0.25">
      <c r="A3822" s="6">
        <v>1926</v>
      </c>
      <c r="B3822" s="5" t="s">
        <v>550</v>
      </c>
      <c r="C3822" s="5" t="s">
        <v>17</v>
      </c>
      <c r="D3822" s="5" t="s">
        <v>475</v>
      </c>
      <c r="E3822" s="5" t="s">
        <v>476</v>
      </c>
      <c r="F3822" s="5" t="s">
        <v>552</v>
      </c>
      <c r="G3822" s="22">
        <v>2.2200000000000002</v>
      </c>
      <c r="H3822" s="22">
        <v>0</v>
      </c>
      <c r="I3822" s="22">
        <v>0</v>
      </c>
      <c r="J3822" s="22">
        <v>0</v>
      </c>
      <c r="K3822" s="22">
        <v>-0.04</v>
      </c>
      <c r="L3822" s="22">
        <v>2.1800000000000002</v>
      </c>
      <c r="M3822" s="10"/>
      <c r="O3822" s="11"/>
    </row>
    <row r="3823" spans="1:15" x14ac:dyDescent="0.25">
      <c r="A3823" s="6"/>
      <c r="B3823" s="5"/>
      <c r="C3823" s="5"/>
      <c r="D3823" s="5" t="s">
        <v>475</v>
      </c>
      <c r="E3823" s="5" t="s">
        <v>476</v>
      </c>
      <c r="F3823" s="5" t="s">
        <v>552</v>
      </c>
      <c r="G3823" s="14">
        <f t="shared" ref="G3823:L3823" si="945">SUBTOTAL(9,G3821:G3822)</f>
        <v>2.2200000000000002</v>
      </c>
      <c r="H3823" s="14">
        <f t="shared" si="945"/>
        <v>0</v>
      </c>
      <c r="I3823" s="14">
        <f t="shared" si="945"/>
        <v>0</v>
      </c>
      <c r="J3823" s="14">
        <f t="shared" si="945"/>
        <v>0.27</v>
      </c>
      <c r="K3823" s="14">
        <f t="shared" si="945"/>
        <v>-0.04</v>
      </c>
      <c r="L3823" s="14">
        <f t="shared" si="945"/>
        <v>2.4500000000000002</v>
      </c>
      <c r="M3823" s="10">
        <v>3024</v>
      </c>
      <c r="O3823" s="11">
        <f>O3819+1</f>
        <v>906</v>
      </c>
    </row>
    <row r="3824" spans="1:15" s="4" customFormat="1" x14ac:dyDescent="0.25">
      <c r="A3824" s="10"/>
      <c r="B3824"/>
      <c r="C3824"/>
      <c r="D3824"/>
      <c r="E3824"/>
      <c r="F3824"/>
      <c r="G3824" s="21"/>
      <c r="H3824" s="21"/>
      <c r="I3824" s="21"/>
      <c r="J3824" s="21"/>
      <c r="K3824" s="21"/>
      <c r="L3824" s="21"/>
      <c r="M3824" s="10"/>
      <c r="N3824" s="67"/>
      <c r="O3824" s="11"/>
    </row>
    <row r="3825" spans="1:15" x14ac:dyDescent="0.25">
      <c r="A3825" s="6">
        <v>1927</v>
      </c>
      <c r="B3825" s="5" t="s">
        <v>12</v>
      </c>
      <c r="C3825" s="5" t="s">
        <v>13</v>
      </c>
      <c r="D3825" s="5" t="s">
        <v>477</v>
      </c>
      <c r="E3825" s="5" t="s">
        <v>478</v>
      </c>
      <c r="F3825" s="5" t="s">
        <v>16</v>
      </c>
      <c r="G3825" s="22">
        <v>0</v>
      </c>
      <c r="H3825" s="22">
        <v>0</v>
      </c>
      <c r="I3825" s="22">
        <v>0</v>
      </c>
      <c r="J3825" s="22">
        <v>77.45</v>
      </c>
      <c r="K3825" s="22">
        <v>0</v>
      </c>
      <c r="L3825" s="22">
        <v>77.45</v>
      </c>
      <c r="M3825" s="10"/>
      <c r="O3825" s="11"/>
    </row>
    <row r="3826" spans="1:15" x14ac:dyDescent="0.25">
      <c r="A3826" s="6"/>
      <c r="B3826" s="5"/>
      <c r="C3826" s="5"/>
      <c r="D3826" s="5" t="s">
        <v>477</v>
      </c>
      <c r="E3826" s="5" t="s">
        <v>478</v>
      </c>
      <c r="F3826" s="5" t="s">
        <v>16</v>
      </c>
      <c r="G3826" s="14">
        <f t="shared" ref="G3826:L3826" si="946">SUBTOTAL(9,G3825:G3825)</f>
        <v>0</v>
      </c>
      <c r="H3826" s="14">
        <f t="shared" si="946"/>
        <v>0</v>
      </c>
      <c r="I3826" s="14">
        <f t="shared" si="946"/>
        <v>0</v>
      </c>
      <c r="J3826" s="14">
        <f t="shared" si="946"/>
        <v>77.45</v>
      </c>
      <c r="K3826" s="14">
        <f t="shared" si="946"/>
        <v>0</v>
      </c>
      <c r="L3826" s="14">
        <f t="shared" si="946"/>
        <v>77.45</v>
      </c>
      <c r="M3826" s="10">
        <v>3025</v>
      </c>
      <c r="O3826" s="11">
        <f>O3823+1</f>
        <v>907</v>
      </c>
    </row>
    <row r="3827" spans="1:15" s="4" customFormat="1" x14ac:dyDescent="0.25">
      <c r="A3827" s="10"/>
      <c r="B3827"/>
      <c r="C3827"/>
      <c r="D3827"/>
      <c r="E3827"/>
      <c r="F3827"/>
      <c r="G3827" s="21"/>
      <c r="H3827" s="21"/>
      <c r="I3827" s="21"/>
      <c r="J3827" s="21"/>
      <c r="K3827" s="21"/>
      <c r="L3827" s="21"/>
      <c r="M3827" s="10"/>
      <c r="N3827" s="67"/>
      <c r="O3827" s="11"/>
    </row>
    <row r="3828" spans="1:15" x14ac:dyDescent="0.25">
      <c r="A3828" s="6">
        <v>1928</v>
      </c>
      <c r="B3828" s="5" t="s">
        <v>37</v>
      </c>
      <c r="C3828" s="5" t="s">
        <v>13</v>
      </c>
      <c r="D3828" s="5" t="s">
        <v>477</v>
      </c>
      <c r="E3828" s="5" t="s">
        <v>478</v>
      </c>
      <c r="F3828" s="5" t="s">
        <v>38</v>
      </c>
      <c r="G3828" s="22">
        <v>0</v>
      </c>
      <c r="H3828" s="22">
        <v>0</v>
      </c>
      <c r="I3828" s="22">
        <v>0</v>
      </c>
      <c r="J3828" s="22">
        <v>0.27</v>
      </c>
      <c r="K3828" s="22">
        <v>0</v>
      </c>
      <c r="L3828" s="22">
        <v>0.27</v>
      </c>
      <c r="M3828" s="10"/>
      <c r="O3828" s="11"/>
    </row>
    <row r="3829" spans="1:15" x14ac:dyDescent="0.25">
      <c r="A3829" s="6"/>
      <c r="B3829" s="5"/>
      <c r="C3829" s="5"/>
      <c r="D3829" s="5" t="s">
        <v>477</v>
      </c>
      <c r="E3829" s="5" t="s">
        <v>478</v>
      </c>
      <c r="F3829" s="5" t="s">
        <v>38</v>
      </c>
      <c r="G3829" s="14">
        <f t="shared" ref="G3829:L3829" si="947">SUBTOTAL(9,G3828:G3828)</f>
        <v>0</v>
      </c>
      <c r="H3829" s="14">
        <f t="shared" si="947"/>
        <v>0</v>
      </c>
      <c r="I3829" s="14">
        <f t="shared" si="947"/>
        <v>0</v>
      </c>
      <c r="J3829" s="14">
        <f t="shared" si="947"/>
        <v>0.27</v>
      </c>
      <c r="K3829" s="14">
        <f t="shared" si="947"/>
        <v>0</v>
      </c>
      <c r="L3829" s="14">
        <f t="shared" si="947"/>
        <v>0.27</v>
      </c>
      <c r="M3829" s="10">
        <v>3026</v>
      </c>
      <c r="O3829" s="11">
        <f>O3826+1</f>
        <v>908</v>
      </c>
    </row>
    <row r="3830" spans="1:15" s="4" customFormat="1" x14ac:dyDescent="0.25">
      <c r="A3830" s="10"/>
      <c r="B3830"/>
      <c r="C3830"/>
      <c r="D3830"/>
      <c r="E3830"/>
      <c r="F3830"/>
      <c r="G3830" s="21"/>
      <c r="H3830" s="21"/>
      <c r="I3830" s="21"/>
      <c r="J3830" s="21"/>
      <c r="K3830" s="21"/>
      <c r="L3830" s="21"/>
      <c r="M3830" s="10"/>
      <c r="N3830" s="67"/>
      <c r="O3830" s="11"/>
    </row>
    <row r="3831" spans="1:15" x14ac:dyDescent="0.25">
      <c r="A3831" s="6">
        <v>1929</v>
      </c>
      <c r="B3831" s="5" t="s">
        <v>29</v>
      </c>
      <c r="C3831" s="5" t="s">
        <v>13</v>
      </c>
      <c r="D3831" s="5" t="s">
        <v>477</v>
      </c>
      <c r="E3831" s="5" t="s">
        <v>478</v>
      </c>
      <c r="F3831" s="5" t="s">
        <v>30</v>
      </c>
      <c r="G3831" s="22">
        <v>0</v>
      </c>
      <c r="H3831" s="22">
        <v>0</v>
      </c>
      <c r="I3831" s="22">
        <v>0</v>
      </c>
      <c r="J3831" s="22">
        <v>0.47</v>
      </c>
      <c r="K3831" s="22">
        <v>0</v>
      </c>
      <c r="L3831" s="22">
        <v>0.47</v>
      </c>
      <c r="M3831" s="10"/>
      <c r="O3831" s="11"/>
    </row>
    <row r="3832" spans="1:15" x14ac:dyDescent="0.25">
      <c r="A3832" s="6"/>
      <c r="B3832" s="5"/>
      <c r="C3832" s="5"/>
      <c r="D3832" s="5" t="s">
        <v>477</v>
      </c>
      <c r="E3832" s="5" t="s">
        <v>478</v>
      </c>
      <c r="F3832" s="5" t="s">
        <v>30</v>
      </c>
      <c r="G3832" s="14">
        <f t="shared" ref="G3832:L3832" si="948">SUBTOTAL(9,G3831:G3831)</f>
        <v>0</v>
      </c>
      <c r="H3832" s="14">
        <f t="shared" si="948"/>
        <v>0</v>
      </c>
      <c r="I3832" s="14">
        <f t="shared" si="948"/>
        <v>0</v>
      </c>
      <c r="J3832" s="14">
        <f t="shared" si="948"/>
        <v>0.47</v>
      </c>
      <c r="K3832" s="14">
        <f t="shared" si="948"/>
        <v>0</v>
      </c>
      <c r="L3832" s="14">
        <f t="shared" si="948"/>
        <v>0.47</v>
      </c>
      <c r="M3832" s="10">
        <v>3027</v>
      </c>
      <c r="O3832" s="11">
        <f>O3829+1</f>
        <v>909</v>
      </c>
    </row>
    <row r="3833" spans="1:15" s="4" customFormat="1" x14ac:dyDescent="0.25">
      <c r="A3833" s="10"/>
      <c r="B3833"/>
      <c r="C3833"/>
      <c r="D3833"/>
      <c r="E3833"/>
      <c r="F3833"/>
      <c r="G3833" s="21"/>
      <c r="H3833" s="21"/>
      <c r="I3833" s="21"/>
      <c r="J3833" s="21"/>
      <c r="K3833" s="21"/>
      <c r="L3833" s="21"/>
      <c r="M3833" s="10"/>
      <c r="N3833" s="67"/>
      <c r="O3833" s="11"/>
    </row>
    <row r="3834" spans="1:15" x14ac:dyDescent="0.25">
      <c r="A3834" s="6">
        <v>1930</v>
      </c>
      <c r="B3834" s="5" t="s">
        <v>18</v>
      </c>
      <c r="C3834" s="5" t="s">
        <v>17</v>
      </c>
      <c r="D3834" s="5" t="s">
        <v>477</v>
      </c>
      <c r="E3834" s="5" t="s">
        <v>478</v>
      </c>
      <c r="F3834" s="5" t="s">
        <v>19</v>
      </c>
      <c r="G3834" s="22">
        <v>1.95</v>
      </c>
      <c r="H3834" s="22">
        <v>0</v>
      </c>
      <c r="I3834" s="22">
        <v>0</v>
      </c>
      <c r="J3834" s="22">
        <v>0</v>
      </c>
      <c r="K3834" s="22">
        <v>-1.73</v>
      </c>
      <c r="L3834" s="22">
        <v>0.22</v>
      </c>
      <c r="M3834" s="10"/>
      <c r="O3834" s="11"/>
    </row>
    <row r="3835" spans="1:15" x14ac:dyDescent="0.25">
      <c r="A3835" s="6">
        <v>1931</v>
      </c>
      <c r="B3835" s="5" t="s">
        <v>18</v>
      </c>
      <c r="C3835" s="5" t="s">
        <v>13</v>
      </c>
      <c r="D3835" s="5" t="s">
        <v>477</v>
      </c>
      <c r="E3835" s="5" t="s">
        <v>478</v>
      </c>
      <c r="F3835" s="5" t="s">
        <v>19</v>
      </c>
      <c r="G3835" s="22">
        <v>0</v>
      </c>
      <c r="H3835" s="22">
        <v>0</v>
      </c>
      <c r="I3835" s="22">
        <v>0</v>
      </c>
      <c r="J3835" s="22">
        <v>1370.45</v>
      </c>
      <c r="K3835" s="22">
        <v>0</v>
      </c>
      <c r="L3835" s="22">
        <v>1370.45</v>
      </c>
      <c r="M3835" s="10"/>
      <c r="O3835" s="11"/>
    </row>
    <row r="3836" spans="1:15" s="4" customFormat="1" x14ac:dyDescent="0.25">
      <c r="A3836" s="6"/>
      <c r="B3836" s="5"/>
      <c r="C3836" s="5"/>
      <c r="D3836" s="5" t="s">
        <v>477</v>
      </c>
      <c r="E3836" s="5" t="s">
        <v>478</v>
      </c>
      <c r="F3836" s="5" t="s">
        <v>19</v>
      </c>
      <c r="G3836" s="14">
        <f t="shared" ref="G3836:L3836" si="949">SUBTOTAL(9,G3834:G3835)</f>
        <v>1.95</v>
      </c>
      <c r="H3836" s="14">
        <f t="shared" si="949"/>
        <v>0</v>
      </c>
      <c r="I3836" s="14">
        <f t="shared" si="949"/>
        <v>0</v>
      </c>
      <c r="J3836" s="14">
        <f t="shared" si="949"/>
        <v>1370.45</v>
      </c>
      <c r="K3836" s="14">
        <f t="shared" si="949"/>
        <v>-1.73</v>
      </c>
      <c r="L3836" s="14">
        <f t="shared" si="949"/>
        <v>1370.67</v>
      </c>
      <c r="M3836" s="10">
        <v>3028</v>
      </c>
      <c r="N3836" s="67"/>
      <c r="O3836" s="11">
        <f>O3832+1</f>
        <v>910</v>
      </c>
    </row>
    <row r="3837" spans="1:15" x14ac:dyDescent="0.25">
      <c r="A3837" s="10"/>
      <c r="G3837" s="21"/>
      <c r="H3837" s="21"/>
      <c r="I3837" s="21"/>
      <c r="J3837" s="21"/>
      <c r="K3837" s="21"/>
      <c r="L3837" s="21"/>
      <c r="M3837" s="10"/>
      <c r="O3837" s="11"/>
    </row>
    <row r="3838" spans="1:15" x14ac:dyDescent="0.25">
      <c r="A3838" s="6">
        <v>1932</v>
      </c>
      <c r="B3838" s="5" t="s">
        <v>20</v>
      </c>
      <c r="C3838" s="5" t="s">
        <v>13</v>
      </c>
      <c r="D3838" s="5" t="s">
        <v>477</v>
      </c>
      <c r="E3838" s="5" t="s">
        <v>478</v>
      </c>
      <c r="F3838" s="5" t="s">
        <v>21</v>
      </c>
      <c r="G3838" s="22">
        <v>0</v>
      </c>
      <c r="H3838" s="22">
        <v>0</v>
      </c>
      <c r="I3838" s="22">
        <v>0</v>
      </c>
      <c r="J3838" s="22">
        <v>1950.96</v>
      </c>
      <c r="K3838" s="22">
        <v>0</v>
      </c>
      <c r="L3838" s="22">
        <v>1950.96</v>
      </c>
      <c r="M3838" s="10"/>
      <c r="O3838" s="11"/>
    </row>
    <row r="3839" spans="1:15" s="4" customFormat="1" x14ac:dyDescent="0.25">
      <c r="A3839" s="6"/>
      <c r="B3839" s="5"/>
      <c r="C3839" s="5"/>
      <c r="D3839" s="5" t="s">
        <v>477</v>
      </c>
      <c r="E3839" s="5" t="s">
        <v>478</v>
      </c>
      <c r="F3839" s="5" t="s">
        <v>21</v>
      </c>
      <c r="G3839" s="14">
        <f t="shared" ref="G3839:L3839" si="950">SUBTOTAL(9,G3838:G3838)</f>
        <v>0</v>
      </c>
      <c r="H3839" s="14">
        <f t="shared" si="950"/>
        <v>0</v>
      </c>
      <c r="I3839" s="14">
        <f t="shared" si="950"/>
        <v>0</v>
      </c>
      <c r="J3839" s="14">
        <f t="shared" si="950"/>
        <v>1950.96</v>
      </c>
      <c r="K3839" s="14">
        <f t="shared" si="950"/>
        <v>0</v>
      </c>
      <c r="L3839" s="14">
        <f t="shared" si="950"/>
        <v>1950.96</v>
      </c>
      <c r="M3839" s="10">
        <v>3029</v>
      </c>
      <c r="N3839" s="67"/>
      <c r="O3839" s="11">
        <f>O3836+1</f>
        <v>911</v>
      </c>
    </row>
    <row r="3840" spans="1:15" s="4" customFormat="1" x14ac:dyDescent="0.25">
      <c r="A3840" s="10"/>
      <c r="B3840"/>
      <c r="C3840"/>
      <c r="D3840"/>
      <c r="E3840"/>
      <c r="F3840"/>
      <c r="G3840" s="21"/>
      <c r="H3840" s="21"/>
      <c r="I3840" s="21"/>
      <c r="J3840" s="21"/>
      <c r="K3840" s="21"/>
      <c r="L3840" s="21"/>
      <c r="M3840" s="10"/>
      <c r="N3840" s="67"/>
      <c r="O3840" s="11"/>
    </row>
    <row r="3841" spans="1:15" x14ac:dyDescent="0.25">
      <c r="A3841" s="6">
        <v>1933</v>
      </c>
      <c r="B3841" s="5" t="s">
        <v>22</v>
      </c>
      <c r="C3841" s="5" t="s">
        <v>13</v>
      </c>
      <c r="D3841" s="5" t="s">
        <v>477</v>
      </c>
      <c r="E3841" s="5" t="s">
        <v>478</v>
      </c>
      <c r="F3841" s="5" t="s">
        <v>23</v>
      </c>
      <c r="G3841" s="22">
        <v>0</v>
      </c>
      <c r="H3841" s="22">
        <v>0</v>
      </c>
      <c r="I3841" s="22">
        <v>0</v>
      </c>
      <c r="J3841" s="22">
        <v>1543.32</v>
      </c>
      <c r="K3841" s="22">
        <v>0</v>
      </c>
      <c r="L3841" s="22">
        <v>1543.32</v>
      </c>
      <c r="M3841" s="10"/>
      <c r="O3841" s="11"/>
    </row>
    <row r="3842" spans="1:15" x14ac:dyDescent="0.25">
      <c r="A3842" s="6"/>
      <c r="B3842" s="5"/>
      <c r="C3842" s="5"/>
      <c r="D3842" s="5" t="s">
        <v>477</v>
      </c>
      <c r="E3842" s="5" t="s">
        <v>478</v>
      </c>
      <c r="F3842" s="5" t="s">
        <v>23</v>
      </c>
      <c r="G3842" s="14">
        <f t="shared" ref="G3842:L3842" si="951">SUBTOTAL(9,G3841:G3841)</f>
        <v>0</v>
      </c>
      <c r="H3842" s="14">
        <f t="shared" si="951"/>
        <v>0</v>
      </c>
      <c r="I3842" s="14">
        <f t="shared" si="951"/>
        <v>0</v>
      </c>
      <c r="J3842" s="14">
        <f t="shared" si="951"/>
        <v>1543.32</v>
      </c>
      <c r="K3842" s="14">
        <f t="shared" si="951"/>
        <v>0</v>
      </c>
      <c r="L3842" s="14">
        <f t="shared" si="951"/>
        <v>1543.32</v>
      </c>
      <c r="M3842" s="10">
        <v>3030</v>
      </c>
      <c r="O3842" s="11">
        <f>O3839+1</f>
        <v>912</v>
      </c>
    </row>
    <row r="3843" spans="1:15" s="4" customFormat="1" x14ac:dyDescent="0.25">
      <c r="A3843" s="10"/>
      <c r="B3843"/>
      <c r="C3843"/>
      <c r="D3843"/>
      <c r="E3843"/>
      <c r="F3843"/>
      <c r="G3843" s="21"/>
      <c r="H3843" s="21"/>
      <c r="I3843" s="21"/>
      <c r="J3843" s="21"/>
      <c r="K3843" s="21"/>
      <c r="L3843" s="21"/>
      <c r="M3843" s="10"/>
      <c r="N3843" s="67"/>
      <c r="O3843" s="11"/>
    </row>
    <row r="3844" spans="1:15" s="4" customFormat="1" x14ac:dyDescent="0.25">
      <c r="A3844" s="6">
        <v>1934</v>
      </c>
      <c r="B3844" s="5" t="s">
        <v>22</v>
      </c>
      <c r="C3844" s="5" t="s">
        <v>13</v>
      </c>
      <c r="D3844" s="5" t="s">
        <v>477</v>
      </c>
      <c r="E3844" s="5" t="s">
        <v>478</v>
      </c>
      <c r="F3844" s="5" t="s">
        <v>24</v>
      </c>
      <c r="G3844" s="22">
        <v>0</v>
      </c>
      <c r="H3844" s="22">
        <v>0</v>
      </c>
      <c r="I3844" s="22">
        <v>0</v>
      </c>
      <c r="J3844" s="22">
        <v>2.99</v>
      </c>
      <c r="K3844" s="22">
        <v>0</v>
      </c>
      <c r="L3844" s="22">
        <v>2.99</v>
      </c>
      <c r="M3844" s="10"/>
      <c r="N3844" s="67"/>
      <c r="O3844" s="11"/>
    </row>
    <row r="3845" spans="1:15" x14ac:dyDescent="0.25">
      <c r="A3845" s="6"/>
      <c r="B3845" s="5"/>
      <c r="C3845" s="5"/>
      <c r="D3845" s="5" t="s">
        <v>477</v>
      </c>
      <c r="E3845" s="5" t="s">
        <v>478</v>
      </c>
      <c r="F3845" s="5" t="s">
        <v>24</v>
      </c>
      <c r="G3845" s="14">
        <f t="shared" ref="G3845:L3845" si="952">SUBTOTAL(9,G3844:G3844)</f>
        <v>0</v>
      </c>
      <c r="H3845" s="14">
        <f t="shared" si="952"/>
        <v>0</v>
      </c>
      <c r="I3845" s="14">
        <f t="shared" si="952"/>
        <v>0</v>
      </c>
      <c r="J3845" s="14">
        <f t="shared" si="952"/>
        <v>2.99</v>
      </c>
      <c r="K3845" s="14">
        <f t="shared" si="952"/>
        <v>0</v>
      </c>
      <c r="L3845" s="14">
        <f t="shared" si="952"/>
        <v>2.99</v>
      </c>
      <c r="M3845" s="10">
        <v>3031</v>
      </c>
      <c r="O3845" s="11">
        <f>O3842+1</f>
        <v>913</v>
      </c>
    </row>
    <row r="3846" spans="1:15" x14ac:dyDescent="0.25">
      <c r="A3846" s="10"/>
      <c r="G3846" s="21"/>
      <c r="H3846" s="21"/>
      <c r="I3846" s="21"/>
      <c r="J3846" s="21"/>
      <c r="K3846" s="21"/>
      <c r="L3846" s="21"/>
      <c r="M3846" s="10"/>
      <c r="O3846" s="11"/>
    </row>
    <row r="3847" spans="1:15" s="4" customFormat="1" x14ac:dyDescent="0.25">
      <c r="A3847" s="6">
        <v>1935</v>
      </c>
      <c r="B3847" s="5" t="s">
        <v>550</v>
      </c>
      <c r="C3847" s="5" t="s">
        <v>13</v>
      </c>
      <c r="D3847" s="5" t="s">
        <v>477</v>
      </c>
      <c r="E3847" s="5" t="s">
        <v>478</v>
      </c>
      <c r="F3847" s="5" t="s">
        <v>551</v>
      </c>
      <c r="G3847" s="22">
        <v>0</v>
      </c>
      <c r="H3847" s="22">
        <v>0</v>
      </c>
      <c r="I3847" s="22">
        <v>0</v>
      </c>
      <c r="J3847" s="22">
        <v>5106.7700000000004</v>
      </c>
      <c r="K3847" s="22">
        <v>0</v>
      </c>
      <c r="L3847" s="22">
        <v>5106.7700000000004</v>
      </c>
      <c r="M3847" s="10"/>
      <c r="N3847" s="67"/>
      <c r="O3847" s="11"/>
    </row>
    <row r="3848" spans="1:15" x14ac:dyDescent="0.25">
      <c r="A3848" s="6">
        <v>1936</v>
      </c>
      <c r="B3848" s="5" t="s">
        <v>550</v>
      </c>
      <c r="C3848" s="5" t="s">
        <v>17</v>
      </c>
      <c r="D3848" s="5" t="s">
        <v>477</v>
      </c>
      <c r="E3848" s="5" t="s">
        <v>478</v>
      </c>
      <c r="F3848" s="5" t="s">
        <v>551</v>
      </c>
      <c r="G3848" s="22">
        <v>42556.42</v>
      </c>
      <c r="H3848" s="22">
        <v>0</v>
      </c>
      <c r="I3848" s="22">
        <v>0</v>
      </c>
      <c r="J3848" s="22">
        <v>0</v>
      </c>
      <c r="K3848" s="22">
        <v>-851.13</v>
      </c>
      <c r="L3848" s="22">
        <v>41705.29</v>
      </c>
      <c r="M3848" s="10"/>
      <c r="O3848" s="11"/>
    </row>
    <row r="3849" spans="1:15" x14ac:dyDescent="0.25">
      <c r="A3849" s="6"/>
      <c r="B3849" s="5"/>
      <c r="C3849" s="5"/>
      <c r="D3849" s="5" t="s">
        <v>477</v>
      </c>
      <c r="E3849" s="5" t="s">
        <v>478</v>
      </c>
      <c r="F3849" s="5" t="s">
        <v>551</v>
      </c>
      <c r="G3849" s="14">
        <f t="shared" ref="G3849:L3849" si="953">SUBTOTAL(9,G3847:G3848)</f>
        <v>42556.42</v>
      </c>
      <c r="H3849" s="14">
        <f t="shared" si="953"/>
        <v>0</v>
      </c>
      <c r="I3849" s="14">
        <f t="shared" si="953"/>
        <v>0</v>
      </c>
      <c r="J3849" s="14">
        <f t="shared" si="953"/>
        <v>5106.7700000000004</v>
      </c>
      <c r="K3849" s="14">
        <f t="shared" si="953"/>
        <v>-851.13</v>
      </c>
      <c r="L3849" s="14">
        <f t="shared" si="953"/>
        <v>46812.06</v>
      </c>
      <c r="M3849" s="10">
        <v>3032</v>
      </c>
      <c r="O3849" s="11">
        <f>O3845+1</f>
        <v>914</v>
      </c>
    </row>
    <row r="3850" spans="1:15" s="4" customFormat="1" x14ac:dyDescent="0.25">
      <c r="A3850" s="10"/>
      <c r="B3850"/>
      <c r="C3850"/>
      <c r="D3850"/>
      <c r="E3850"/>
      <c r="F3850"/>
      <c r="G3850" s="21"/>
      <c r="H3850" s="21"/>
      <c r="I3850" s="21"/>
      <c r="J3850" s="21"/>
      <c r="K3850" s="21"/>
      <c r="L3850" s="21"/>
      <c r="M3850" s="10"/>
      <c r="N3850" s="67"/>
      <c r="O3850" s="11"/>
    </row>
    <row r="3851" spans="1:15" x14ac:dyDescent="0.25">
      <c r="A3851" s="6">
        <v>1937</v>
      </c>
      <c r="B3851" s="5" t="s">
        <v>550</v>
      </c>
      <c r="C3851" s="5" t="s">
        <v>13</v>
      </c>
      <c r="D3851" s="5" t="s">
        <v>477</v>
      </c>
      <c r="E3851" s="5" t="s">
        <v>478</v>
      </c>
      <c r="F3851" s="5" t="s">
        <v>552</v>
      </c>
      <c r="G3851" s="22">
        <v>0</v>
      </c>
      <c r="H3851" s="22">
        <v>0</v>
      </c>
      <c r="I3851" s="22">
        <v>0</v>
      </c>
      <c r="J3851" s="22">
        <v>0.37</v>
      </c>
      <c r="K3851" s="22">
        <v>0</v>
      </c>
      <c r="L3851" s="22">
        <v>0.37</v>
      </c>
      <c r="M3851" s="10"/>
      <c r="O3851" s="11"/>
    </row>
    <row r="3852" spans="1:15" x14ac:dyDescent="0.25">
      <c r="A3852" s="6">
        <v>1938</v>
      </c>
      <c r="B3852" s="5" t="s">
        <v>550</v>
      </c>
      <c r="C3852" s="5" t="s">
        <v>17</v>
      </c>
      <c r="D3852" s="5" t="s">
        <v>477</v>
      </c>
      <c r="E3852" s="5" t="s">
        <v>478</v>
      </c>
      <c r="F3852" s="5" t="s">
        <v>552</v>
      </c>
      <c r="G3852" s="22">
        <v>3.06</v>
      </c>
      <c r="H3852" s="22">
        <v>0</v>
      </c>
      <c r="I3852" s="22">
        <v>0</v>
      </c>
      <c r="J3852" s="22">
        <v>0</v>
      </c>
      <c r="K3852" s="22">
        <v>-0.06</v>
      </c>
      <c r="L3852" s="22">
        <v>3</v>
      </c>
      <c r="M3852" s="10"/>
      <c r="O3852" s="11"/>
    </row>
    <row r="3853" spans="1:15" s="4" customFormat="1" x14ac:dyDescent="0.25">
      <c r="A3853" s="6"/>
      <c r="B3853" s="5"/>
      <c r="C3853" s="5"/>
      <c r="D3853" s="5" t="s">
        <v>477</v>
      </c>
      <c r="E3853" s="5" t="s">
        <v>478</v>
      </c>
      <c r="F3853" s="5" t="s">
        <v>552</v>
      </c>
      <c r="G3853" s="14">
        <f t="shared" ref="G3853:L3853" si="954">SUBTOTAL(9,G3851:G3852)</f>
        <v>3.06</v>
      </c>
      <c r="H3853" s="14">
        <f t="shared" si="954"/>
        <v>0</v>
      </c>
      <c r="I3853" s="14">
        <f t="shared" si="954"/>
        <v>0</v>
      </c>
      <c r="J3853" s="14">
        <f t="shared" si="954"/>
        <v>0.37</v>
      </c>
      <c r="K3853" s="14">
        <f t="shared" si="954"/>
        <v>-0.06</v>
      </c>
      <c r="L3853" s="14">
        <f t="shared" si="954"/>
        <v>3.37</v>
      </c>
      <c r="M3853" s="10">
        <v>3033</v>
      </c>
      <c r="N3853" s="67"/>
      <c r="O3853" s="11">
        <f>O3849+1</f>
        <v>915</v>
      </c>
    </row>
    <row r="3854" spans="1:15" s="4" customFormat="1" x14ac:dyDescent="0.25">
      <c r="A3854" s="10"/>
      <c r="B3854"/>
      <c r="C3854"/>
      <c r="D3854"/>
      <c r="E3854"/>
      <c r="F3854"/>
      <c r="G3854" s="21"/>
      <c r="H3854" s="21"/>
      <c r="I3854" s="21"/>
      <c r="J3854" s="21"/>
      <c r="K3854" s="21"/>
      <c r="L3854" s="21"/>
      <c r="M3854" s="10"/>
      <c r="N3854" s="67"/>
      <c r="O3854" s="11"/>
    </row>
    <row r="3855" spans="1:15" x14ac:dyDescent="0.25">
      <c r="A3855" s="6">
        <v>1939</v>
      </c>
      <c r="B3855" s="5" t="s">
        <v>550</v>
      </c>
      <c r="C3855" s="5" t="s">
        <v>17</v>
      </c>
      <c r="D3855" s="5" t="s">
        <v>641</v>
      </c>
      <c r="E3855" s="5" t="s">
        <v>480</v>
      </c>
      <c r="F3855" s="5" t="s">
        <v>551</v>
      </c>
      <c r="G3855" s="22">
        <v>0</v>
      </c>
      <c r="H3855" s="22">
        <v>0</v>
      </c>
      <c r="I3855" s="22">
        <v>3.53</v>
      </c>
      <c r="J3855" s="22">
        <v>0</v>
      </c>
      <c r="K3855" s="22">
        <v>-7.0000000000000007E-2</v>
      </c>
      <c r="L3855" s="22">
        <v>3.46</v>
      </c>
      <c r="M3855" s="10"/>
      <c r="O3855" s="11"/>
    </row>
    <row r="3856" spans="1:15" x14ac:dyDescent="0.25">
      <c r="A3856" s="6"/>
      <c r="B3856" s="5"/>
      <c r="C3856" s="5"/>
      <c r="D3856" s="5" t="s">
        <v>479</v>
      </c>
      <c r="E3856" s="5" t="s">
        <v>480</v>
      </c>
      <c r="F3856" s="5" t="s">
        <v>551</v>
      </c>
      <c r="G3856" s="14">
        <f t="shared" ref="G3856:L3856" si="955">SUBTOTAL(9,G3855:G3855)</f>
        <v>0</v>
      </c>
      <c r="H3856" s="14">
        <f t="shared" si="955"/>
        <v>0</v>
      </c>
      <c r="I3856" s="14">
        <f t="shared" si="955"/>
        <v>3.53</v>
      </c>
      <c r="J3856" s="14">
        <f t="shared" si="955"/>
        <v>0</v>
      </c>
      <c r="K3856" s="14">
        <f t="shared" si="955"/>
        <v>-7.0000000000000007E-2</v>
      </c>
      <c r="L3856" s="14">
        <f t="shared" si="955"/>
        <v>3.46</v>
      </c>
      <c r="M3856" s="10">
        <v>3034</v>
      </c>
      <c r="O3856" s="11">
        <f>O3853+1</f>
        <v>916</v>
      </c>
    </row>
    <row r="3857" spans="1:15" s="4" customFormat="1" x14ac:dyDescent="0.25">
      <c r="A3857" s="10"/>
      <c r="B3857"/>
      <c r="C3857"/>
      <c r="D3857"/>
      <c r="E3857"/>
      <c r="F3857"/>
      <c r="G3857" s="21"/>
      <c r="H3857" s="21"/>
      <c r="I3857" s="21"/>
      <c r="J3857" s="21"/>
      <c r="K3857" s="21"/>
      <c r="L3857" s="21"/>
      <c r="M3857" s="10"/>
      <c r="N3857" s="67"/>
      <c r="O3857" s="11"/>
    </row>
    <row r="3858" spans="1:15" s="4" customFormat="1" x14ac:dyDescent="0.25">
      <c r="A3858" s="6">
        <v>1940</v>
      </c>
      <c r="B3858" s="5" t="s">
        <v>555</v>
      </c>
      <c r="C3858" s="5" t="s">
        <v>17</v>
      </c>
      <c r="D3858" s="5" t="s">
        <v>481</v>
      </c>
      <c r="E3858" s="5" t="s">
        <v>482</v>
      </c>
      <c r="F3858" s="5" t="s">
        <v>556</v>
      </c>
      <c r="G3858" s="22">
        <v>4.8899999999999997</v>
      </c>
      <c r="H3858" s="22">
        <v>0</v>
      </c>
      <c r="I3858" s="22">
        <v>0</v>
      </c>
      <c r="J3858" s="22">
        <v>0</v>
      </c>
      <c r="K3858" s="22">
        <v>-0.1</v>
      </c>
      <c r="L3858" s="22">
        <v>4.79</v>
      </c>
      <c r="M3858" s="10"/>
      <c r="N3858" s="67"/>
      <c r="O3858" s="11"/>
    </row>
    <row r="3859" spans="1:15" x14ac:dyDescent="0.25">
      <c r="A3859" s="6">
        <v>1941</v>
      </c>
      <c r="B3859" s="5" t="s">
        <v>555</v>
      </c>
      <c r="C3859" s="5" t="s">
        <v>13</v>
      </c>
      <c r="D3859" s="5" t="s">
        <v>481</v>
      </c>
      <c r="E3859" s="5" t="s">
        <v>482</v>
      </c>
      <c r="F3859" s="5" t="s">
        <v>556</v>
      </c>
      <c r="G3859" s="22">
        <v>0</v>
      </c>
      <c r="H3859" s="22">
        <v>0</v>
      </c>
      <c r="I3859" s="22">
        <v>0</v>
      </c>
      <c r="J3859" s="22">
        <v>0.59</v>
      </c>
      <c r="K3859" s="22">
        <v>0</v>
      </c>
      <c r="L3859" s="22">
        <v>0.59</v>
      </c>
      <c r="M3859" s="10"/>
      <c r="O3859" s="11"/>
    </row>
    <row r="3860" spans="1:15" x14ac:dyDescent="0.25">
      <c r="A3860" s="6"/>
      <c r="B3860" s="5"/>
      <c r="C3860" s="5"/>
      <c r="D3860" s="5" t="s">
        <v>481</v>
      </c>
      <c r="E3860" s="5" t="s">
        <v>482</v>
      </c>
      <c r="F3860" s="5" t="s">
        <v>556</v>
      </c>
      <c r="G3860" s="14">
        <f t="shared" ref="G3860:L3860" si="956">SUBTOTAL(9,G3858:G3859)</f>
        <v>4.8899999999999997</v>
      </c>
      <c r="H3860" s="14">
        <f t="shared" si="956"/>
        <v>0</v>
      </c>
      <c r="I3860" s="14">
        <f t="shared" si="956"/>
        <v>0</v>
      </c>
      <c r="J3860" s="14">
        <f t="shared" si="956"/>
        <v>0.59</v>
      </c>
      <c r="K3860" s="14">
        <f t="shared" si="956"/>
        <v>-0.1</v>
      </c>
      <c r="L3860" s="14">
        <f t="shared" si="956"/>
        <v>5.38</v>
      </c>
      <c r="M3860" s="10">
        <v>3035</v>
      </c>
      <c r="O3860" s="11">
        <f>O3856+1</f>
        <v>917</v>
      </c>
    </row>
    <row r="3861" spans="1:15" s="4" customFormat="1" x14ac:dyDescent="0.25">
      <c r="A3861" s="10"/>
      <c r="B3861"/>
      <c r="C3861"/>
      <c r="D3861"/>
      <c r="E3861"/>
      <c r="F3861"/>
      <c r="G3861" s="21"/>
      <c r="H3861" s="21"/>
      <c r="I3861" s="21"/>
      <c r="J3861" s="21"/>
      <c r="K3861" s="21"/>
      <c r="L3861" s="21"/>
      <c r="M3861" s="10"/>
      <c r="N3861" s="67"/>
      <c r="O3861" s="11"/>
    </row>
    <row r="3862" spans="1:15" x14ac:dyDescent="0.25">
      <c r="A3862" s="6">
        <v>1942</v>
      </c>
      <c r="B3862" s="5" t="s">
        <v>550</v>
      </c>
      <c r="C3862" s="5" t="s">
        <v>13</v>
      </c>
      <c r="D3862" s="5" t="s">
        <v>481</v>
      </c>
      <c r="E3862" s="5" t="s">
        <v>482</v>
      </c>
      <c r="F3862" s="5" t="s">
        <v>551</v>
      </c>
      <c r="G3862" s="22">
        <v>0</v>
      </c>
      <c r="H3862" s="22">
        <v>0</v>
      </c>
      <c r="I3862" s="22">
        <v>0</v>
      </c>
      <c r="J3862" s="22">
        <v>74.78</v>
      </c>
      <c r="K3862" s="22">
        <v>0</v>
      </c>
      <c r="L3862" s="22">
        <v>74.78</v>
      </c>
      <c r="M3862" s="10"/>
      <c r="O3862" s="11"/>
    </row>
    <row r="3863" spans="1:15" x14ac:dyDescent="0.25">
      <c r="A3863" s="6">
        <v>1943</v>
      </c>
      <c r="B3863" s="5" t="s">
        <v>550</v>
      </c>
      <c r="C3863" s="5" t="s">
        <v>17</v>
      </c>
      <c r="D3863" s="5" t="s">
        <v>481</v>
      </c>
      <c r="E3863" s="5" t="s">
        <v>482</v>
      </c>
      <c r="F3863" s="5" t="s">
        <v>551</v>
      </c>
      <c r="G3863" s="22">
        <v>623.13</v>
      </c>
      <c r="H3863" s="22">
        <v>0</v>
      </c>
      <c r="I3863" s="22">
        <v>0</v>
      </c>
      <c r="J3863" s="22">
        <v>0</v>
      </c>
      <c r="K3863" s="22">
        <v>-12.46</v>
      </c>
      <c r="L3863" s="22">
        <v>610.66999999999996</v>
      </c>
      <c r="M3863" s="10"/>
      <c r="O3863" s="11"/>
    </row>
    <row r="3864" spans="1:15" s="4" customFormat="1" x14ac:dyDescent="0.25">
      <c r="A3864" s="6"/>
      <c r="B3864" s="5"/>
      <c r="C3864" s="5"/>
      <c r="D3864" s="5" t="s">
        <v>481</v>
      </c>
      <c r="E3864" s="5" t="s">
        <v>482</v>
      </c>
      <c r="F3864" s="5" t="s">
        <v>551</v>
      </c>
      <c r="G3864" s="14">
        <f t="shared" ref="G3864:L3864" si="957">SUBTOTAL(9,G3862:G3863)</f>
        <v>623.13</v>
      </c>
      <c r="H3864" s="14">
        <f t="shared" si="957"/>
        <v>0</v>
      </c>
      <c r="I3864" s="14">
        <f t="shared" si="957"/>
        <v>0</v>
      </c>
      <c r="J3864" s="14">
        <f t="shared" si="957"/>
        <v>74.78</v>
      </c>
      <c r="K3864" s="14">
        <f t="shared" si="957"/>
        <v>-12.46</v>
      </c>
      <c r="L3864" s="14">
        <f t="shared" si="957"/>
        <v>685.44999999999993</v>
      </c>
      <c r="M3864" s="10">
        <v>3036</v>
      </c>
      <c r="N3864" s="67"/>
      <c r="O3864" s="11">
        <f>O3860+1</f>
        <v>918</v>
      </c>
    </row>
    <row r="3865" spans="1:15" s="4" customFormat="1" x14ac:dyDescent="0.25">
      <c r="A3865" s="10"/>
      <c r="B3865"/>
      <c r="C3865"/>
      <c r="D3865"/>
      <c r="E3865"/>
      <c r="F3865"/>
      <c r="G3865" s="21"/>
      <c r="H3865" s="21"/>
      <c r="I3865" s="21"/>
      <c r="J3865" s="21"/>
      <c r="K3865" s="21"/>
      <c r="L3865" s="21"/>
      <c r="M3865" s="10"/>
      <c r="N3865" s="67"/>
      <c r="O3865" s="11"/>
    </row>
    <row r="3866" spans="1:15" x14ac:dyDescent="0.25">
      <c r="A3866" s="6">
        <v>1944</v>
      </c>
      <c r="B3866" s="5" t="s">
        <v>550</v>
      </c>
      <c r="C3866" s="5" t="s">
        <v>13</v>
      </c>
      <c r="D3866" s="5" t="s">
        <v>481</v>
      </c>
      <c r="E3866" s="5" t="s">
        <v>482</v>
      </c>
      <c r="F3866" s="5" t="s">
        <v>552</v>
      </c>
      <c r="G3866" s="22">
        <v>0</v>
      </c>
      <c r="H3866" s="22">
        <v>0</v>
      </c>
      <c r="I3866" s="22">
        <v>0</v>
      </c>
      <c r="J3866" s="22">
        <v>0</v>
      </c>
      <c r="K3866" s="22">
        <v>0</v>
      </c>
      <c r="L3866" s="22">
        <v>0</v>
      </c>
      <c r="M3866" s="10"/>
      <c r="O3866" s="11"/>
    </row>
    <row r="3867" spans="1:15" x14ac:dyDescent="0.25">
      <c r="A3867" s="6">
        <v>1945</v>
      </c>
      <c r="B3867" s="5" t="s">
        <v>550</v>
      </c>
      <c r="C3867" s="5" t="s">
        <v>17</v>
      </c>
      <c r="D3867" s="5" t="s">
        <v>481</v>
      </c>
      <c r="E3867" s="5" t="s">
        <v>482</v>
      </c>
      <c r="F3867" s="5" t="s">
        <v>552</v>
      </c>
      <c r="G3867" s="22">
        <v>0.04</v>
      </c>
      <c r="H3867" s="22">
        <v>0</v>
      </c>
      <c r="I3867" s="22">
        <v>0</v>
      </c>
      <c r="J3867" s="22">
        <v>0</v>
      </c>
      <c r="K3867" s="22">
        <v>0</v>
      </c>
      <c r="L3867" s="22">
        <v>0.04</v>
      </c>
      <c r="M3867" s="10"/>
      <c r="O3867" s="11"/>
    </row>
    <row r="3868" spans="1:15" s="4" customFormat="1" x14ac:dyDescent="0.25">
      <c r="A3868" s="6"/>
      <c r="B3868" s="5"/>
      <c r="C3868" s="5"/>
      <c r="D3868" s="5" t="s">
        <v>481</v>
      </c>
      <c r="E3868" s="5" t="s">
        <v>482</v>
      </c>
      <c r="F3868" s="5" t="s">
        <v>552</v>
      </c>
      <c r="G3868" s="14">
        <f t="shared" ref="G3868:L3868" si="958">SUBTOTAL(9,G3866:G3867)</f>
        <v>0.04</v>
      </c>
      <c r="H3868" s="14">
        <f t="shared" si="958"/>
        <v>0</v>
      </c>
      <c r="I3868" s="14">
        <f t="shared" si="958"/>
        <v>0</v>
      </c>
      <c r="J3868" s="14">
        <f t="shared" si="958"/>
        <v>0</v>
      </c>
      <c r="K3868" s="14">
        <f t="shared" si="958"/>
        <v>0</v>
      </c>
      <c r="L3868" s="14">
        <f t="shared" si="958"/>
        <v>0.04</v>
      </c>
      <c r="M3868" s="10">
        <v>3037</v>
      </c>
      <c r="N3868" s="67"/>
      <c r="O3868" s="11">
        <f>O3864+1</f>
        <v>919</v>
      </c>
    </row>
    <row r="3869" spans="1:15" x14ac:dyDescent="0.25">
      <c r="A3869" s="10"/>
      <c r="G3869" s="21"/>
      <c r="H3869" s="21"/>
      <c r="I3869" s="21"/>
      <c r="J3869" s="21"/>
      <c r="K3869" s="21"/>
      <c r="L3869" s="21"/>
      <c r="M3869" s="10"/>
      <c r="O3869" s="11"/>
    </row>
    <row r="3870" spans="1:15" x14ac:dyDescent="0.25">
      <c r="A3870" s="6">
        <v>1946</v>
      </c>
      <c r="B3870" s="5" t="s">
        <v>18</v>
      </c>
      <c r="C3870" s="5" t="s">
        <v>17</v>
      </c>
      <c r="D3870" s="5" t="s">
        <v>483</v>
      </c>
      <c r="E3870" s="5" t="s">
        <v>484</v>
      </c>
      <c r="F3870" s="5" t="s">
        <v>19</v>
      </c>
      <c r="G3870" s="22">
        <v>0</v>
      </c>
      <c r="H3870" s="22">
        <v>0</v>
      </c>
      <c r="I3870" s="22">
        <v>0</v>
      </c>
      <c r="J3870" s="22">
        <v>0</v>
      </c>
      <c r="K3870" s="22">
        <v>0</v>
      </c>
      <c r="L3870" s="22">
        <v>0</v>
      </c>
      <c r="M3870" s="10"/>
      <c r="O3870" s="11"/>
    </row>
    <row r="3871" spans="1:15" s="4" customFormat="1" x14ac:dyDescent="0.25">
      <c r="A3871" s="28"/>
      <c r="B3871" s="29"/>
      <c r="C3871" s="29"/>
      <c r="D3871" s="29"/>
      <c r="E3871" s="29"/>
      <c r="F3871" s="29" t="s">
        <v>657</v>
      </c>
      <c r="G3871" s="31">
        <f t="shared" ref="G3871:L3871" si="959">SUBTOTAL(9,G3870:G3870)</f>
        <v>0</v>
      </c>
      <c r="H3871" s="31">
        <f t="shared" si="959"/>
        <v>0</v>
      </c>
      <c r="I3871" s="31">
        <f t="shared" si="959"/>
        <v>0</v>
      </c>
      <c r="J3871" s="31">
        <f t="shared" si="959"/>
        <v>0</v>
      </c>
      <c r="K3871" s="31">
        <f t="shared" si="959"/>
        <v>0</v>
      </c>
      <c r="L3871" s="31">
        <f t="shared" si="959"/>
        <v>0</v>
      </c>
      <c r="M3871" s="42"/>
      <c r="N3871" s="67"/>
      <c r="O3871" s="11"/>
    </row>
    <row r="3872" spans="1:15" x14ac:dyDescent="0.25">
      <c r="A3872" s="10"/>
      <c r="G3872" s="21"/>
      <c r="H3872" s="21"/>
      <c r="I3872" s="21"/>
      <c r="J3872" s="21"/>
      <c r="K3872" s="21"/>
      <c r="L3872" s="21"/>
      <c r="M3872" s="10"/>
      <c r="O3872" s="11"/>
    </row>
    <row r="3873" spans="1:15" x14ac:dyDescent="0.25">
      <c r="A3873" s="6">
        <v>1947</v>
      </c>
      <c r="B3873" s="5" t="s">
        <v>550</v>
      </c>
      <c r="C3873" s="5" t="s">
        <v>13</v>
      </c>
      <c r="D3873" s="5" t="s">
        <v>483</v>
      </c>
      <c r="E3873" s="5" t="s">
        <v>484</v>
      </c>
      <c r="F3873" s="5" t="s">
        <v>551</v>
      </c>
      <c r="G3873" s="22">
        <v>0</v>
      </c>
      <c r="H3873" s="22">
        <v>0</v>
      </c>
      <c r="I3873" s="22">
        <v>0</v>
      </c>
      <c r="J3873" s="22">
        <v>7750.38</v>
      </c>
      <c r="K3873" s="22">
        <v>0</v>
      </c>
      <c r="L3873" s="22">
        <v>7750.38</v>
      </c>
      <c r="M3873" s="10"/>
      <c r="O3873" s="11"/>
    </row>
    <row r="3874" spans="1:15" s="4" customFormat="1" x14ac:dyDescent="0.25">
      <c r="A3874" s="6">
        <v>1948</v>
      </c>
      <c r="B3874" s="5" t="s">
        <v>550</v>
      </c>
      <c r="C3874" s="5" t="s">
        <v>13</v>
      </c>
      <c r="D3874" s="5" t="s">
        <v>483</v>
      </c>
      <c r="E3874" s="5" t="s">
        <v>484</v>
      </c>
      <c r="F3874" s="5" t="s">
        <v>551</v>
      </c>
      <c r="G3874" s="22">
        <v>0</v>
      </c>
      <c r="H3874" s="22">
        <v>0</v>
      </c>
      <c r="I3874" s="22">
        <v>0</v>
      </c>
      <c r="J3874" s="22">
        <v>4.2699999999999996</v>
      </c>
      <c r="K3874" s="22">
        <v>0</v>
      </c>
      <c r="L3874" s="22">
        <v>4.2699999999999996</v>
      </c>
      <c r="M3874" s="10"/>
      <c r="N3874" s="67"/>
      <c r="O3874" s="11"/>
    </row>
    <row r="3875" spans="1:15" s="4" customFormat="1" x14ac:dyDescent="0.25">
      <c r="A3875" s="6">
        <v>1949</v>
      </c>
      <c r="B3875" s="5" t="s">
        <v>550</v>
      </c>
      <c r="C3875" s="5" t="s">
        <v>17</v>
      </c>
      <c r="D3875" s="5" t="s">
        <v>483</v>
      </c>
      <c r="E3875" s="5" t="s">
        <v>484</v>
      </c>
      <c r="F3875" s="5" t="s">
        <v>551</v>
      </c>
      <c r="G3875" s="22">
        <v>64586.54</v>
      </c>
      <c r="H3875" s="22">
        <v>0</v>
      </c>
      <c r="I3875" s="22">
        <v>0</v>
      </c>
      <c r="J3875" s="22">
        <v>0</v>
      </c>
      <c r="K3875" s="22">
        <v>-1291.73</v>
      </c>
      <c r="L3875" s="22">
        <v>63294.81</v>
      </c>
      <c r="M3875" s="10"/>
      <c r="N3875" s="67"/>
      <c r="O3875" s="11"/>
    </row>
    <row r="3876" spans="1:15" x14ac:dyDescent="0.25">
      <c r="A3876" s="6">
        <v>1950</v>
      </c>
      <c r="B3876" s="5" t="s">
        <v>550</v>
      </c>
      <c r="C3876" s="5" t="s">
        <v>17</v>
      </c>
      <c r="D3876" s="5" t="s">
        <v>483</v>
      </c>
      <c r="E3876" s="5" t="s">
        <v>484</v>
      </c>
      <c r="F3876" s="5" t="s">
        <v>551</v>
      </c>
      <c r="G3876" s="22">
        <v>35.56</v>
      </c>
      <c r="H3876" s="22">
        <v>0</v>
      </c>
      <c r="I3876" s="22">
        <v>0</v>
      </c>
      <c r="J3876" s="22">
        <v>0</v>
      </c>
      <c r="K3876" s="22">
        <v>-0.71</v>
      </c>
      <c r="L3876" s="22">
        <v>34.85</v>
      </c>
      <c r="M3876" s="10"/>
      <c r="O3876" s="11"/>
    </row>
    <row r="3877" spans="1:15" x14ac:dyDescent="0.25">
      <c r="A3877" s="6"/>
      <c r="B3877" s="5"/>
      <c r="C3877" s="5"/>
      <c r="D3877" s="5" t="s">
        <v>483</v>
      </c>
      <c r="E3877" s="5" t="s">
        <v>484</v>
      </c>
      <c r="F3877" s="5" t="s">
        <v>551</v>
      </c>
      <c r="G3877" s="14">
        <f t="shared" ref="G3877:L3877" si="960">SUBTOTAL(9,G3873:G3876)</f>
        <v>64622.1</v>
      </c>
      <c r="H3877" s="14">
        <f t="shared" si="960"/>
        <v>0</v>
      </c>
      <c r="I3877" s="14">
        <f t="shared" si="960"/>
        <v>0</v>
      </c>
      <c r="J3877" s="14">
        <f t="shared" si="960"/>
        <v>7754.6500000000005</v>
      </c>
      <c r="K3877" s="14">
        <f t="shared" si="960"/>
        <v>-1292.44</v>
      </c>
      <c r="L3877" s="14">
        <f t="shared" si="960"/>
        <v>71084.31</v>
      </c>
      <c r="M3877" s="10">
        <v>3038</v>
      </c>
      <c r="O3877" s="11">
        <f>O3868+1</f>
        <v>920</v>
      </c>
    </row>
    <row r="3878" spans="1:15" s="4" customFormat="1" x14ac:dyDescent="0.25">
      <c r="A3878" s="10"/>
      <c r="B3878"/>
      <c r="C3878"/>
      <c r="D3878"/>
      <c r="E3878"/>
      <c r="F3878"/>
      <c r="G3878" s="21"/>
      <c r="H3878" s="21"/>
      <c r="I3878" s="21"/>
      <c r="J3878" s="21"/>
      <c r="K3878" s="21"/>
      <c r="L3878" s="21"/>
      <c r="M3878" s="10"/>
      <c r="N3878" s="67"/>
      <c r="O3878" s="11"/>
    </row>
    <row r="3879" spans="1:15" s="4" customFormat="1" x14ac:dyDescent="0.25">
      <c r="A3879" s="6">
        <v>1951</v>
      </c>
      <c r="B3879" s="5" t="s">
        <v>550</v>
      </c>
      <c r="C3879" s="5" t="s">
        <v>13</v>
      </c>
      <c r="D3879" s="5" t="s">
        <v>483</v>
      </c>
      <c r="E3879" s="5" t="s">
        <v>484</v>
      </c>
      <c r="F3879" s="5" t="s">
        <v>552</v>
      </c>
      <c r="G3879" s="22">
        <v>0</v>
      </c>
      <c r="H3879" s="22">
        <v>0</v>
      </c>
      <c r="I3879" s="22">
        <v>0</v>
      </c>
      <c r="J3879" s="22">
        <v>0.56000000000000005</v>
      </c>
      <c r="K3879" s="22">
        <v>0</v>
      </c>
      <c r="L3879" s="22">
        <v>0.56000000000000005</v>
      </c>
      <c r="M3879" s="10"/>
      <c r="N3879" s="67"/>
      <c r="O3879" s="11"/>
    </row>
    <row r="3880" spans="1:15" x14ac:dyDescent="0.25">
      <c r="A3880" s="6">
        <v>1952</v>
      </c>
      <c r="B3880" s="5" t="s">
        <v>550</v>
      </c>
      <c r="C3880" s="5" t="s">
        <v>17</v>
      </c>
      <c r="D3880" s="5" t="s">
        <v>483</v>
      </c>
      <c r="E3880" s="5" t="s">
        <v>484</v>
      </c>
      <c r="F3880" s="5" t="s">
        <v>552</v>
      </c>
      <c r="G3880" s="22">
        <v>4.6500000000000004</v>
      </c>
      <c r="H3880" s="22">
        <v>0</v>
      </c>
      <c r="I3880" s="22">
        <v>0</v>
      </c>
      <c r="J3880" s="22">
        <v>0</v>
      </c>
      <c r="K3880" s="22">
        <v>-0.09</v>
      </c>
      <c r="L3880" s="22">
        <v>4.5599999999999996</v>
      </c>
      <c r="M3880" s="10"/>
      <c r="O3880" s="11"/>
    </row>
    <row r="3881" spans="1:15" x14ac:dyDescent="0.25">
      <c r="A3881" s="6"/>
      <c r="B3881" s="5"/>
      <c r="C3881" s="5"/>
      <c r="D3881" s="5" t="s">
        <v>483</v>
      </c>
      <c r="E3881" s="5" t="s">
        <v>484</v>
      </c>
      <c r="F3881" s="5" t="s">
        <v>552</v>
      </c>
      <c r="G3881" s="14">
        <f t="shared" ref="G3881:L3881" si="961">SUBTOTAL(9,G3879:G3880)</f>
        <v>4.6500000000000004</v>
      </c>
      <c r="H3881" s="14">
        <f t="shared" si="961"/>
        <v>0</v>
      </c>
      <c r="I3881" s="14">
        <f t="shared" si="961"/>
        <v>0</v>
      </c>
      <c r="J3881" s="14">
        <f t="shared" si="961"/>
        <v>0.56000000000000005</v>
      </c>
      <c r="K3881" s="14">
        <f t="shared" si="961"/>
        <v>-0.09</v>
      </c>
      <c r="L3881" s="14">
        <f t="shared" si="961"/>
        <v>5.1199999999999992</v>
      </c>
      <c r="M3881" s="10">
        <v>3039</v>
      </c>
      <c r="O3881" s="11">
        <f>O3877+1</f>
        <v>921</v>
      </c>
    </row>
    <row r="3882" spans="1:15" s="4" customFormat="1" x14ac:dyDescent="0.25">
      <c r="A3882" s="10"/>
      <c r="B3882"/>
      <c r="C3882"/>
      <c r="D3882"/>
      <c r="E3882"/>
      <c r="F3882"/>
      <c r="G3882" s="21"/>
      <c r="H3882" s="21"/>
      <c r="I3882" s="21"/>
      <c r="J3882" s="21"/>
      <c r="K3882" s="21"/>
      <c r="L3882" s="21"/>
      <c r="M3882" s="10"/>
      <c r="N3882" s="67"/>
      <c r="O3882" s="11"/>
    </row>
    <row r="3883" spans="1:15" x14ac:dyDescent="0.25">
      <c r="A3883" s="6">
        <v>1953</v>
      </c>
      <c r="B3883" s="5" t="s">
        <v>555</v>
      </c>
      <c r="C3883" s="5" t="s">
        <v>17</v>
      </c>
      <c r="D3883" s="5" t="s">
        <v>485</v>
      </c>
      <c r="E3883" s="5" t="s">
        <v>486</v>
      </c>
      <c r="F3883" s="5" t="s">
        <v>556</v>
      </c>
      <c r="G3883" s="22">
        <v>0.08</v>
      </c>
      <c r="H3883" s="22">
        <v>0</v>
      </c>
      <c r="I3883" s="22">
        <v>0</v>
      </c>
      <c r="J3883" s="22">
        <v>0</v>
      </c>
      <c r="K3883" s="22">
        <v>0</v>
      </c>
      <c r="L3883" s="22">
        <v>0.08</v>
      </c>
      <c r="M3883" s="10"/>
      <c r="O3883" s="11"/>
    </row>
    <row r="3884" spans="1:15" x14ac:dyDescent="0.25">
      <c r="A3884" s="6">
        <v>1954</v>
      </c>
      <c r="B3884" s="5" t="s">
        <v>555</v>
      </c>
      <c r="C3884" s="5" t="s">
        <v>13</v>
      </c>
      <c r="D3884" s="5" t="s">
        <v>485</v>
      </c>
      <c r="E3884" s="5" t="s">
        <v>486</v>
      </c>
      <c r="F3884" s="5" t="s">
        <v>556</v>
      </c>
      <c r="G3884" s="22">
        <v>0</v>
      </c>
      <c r="H3884" s="22">
        <v>0</v>
      </c>
      <c r="I3884" s="22">
        <v>0</v>
      </c>
      <c r="J3884" s="22">
        <v>0.01</v>
      </c>
      <c r="K3884" s="22">
        <v>0</v>
      </c>
      <c r="L3884" s="22">
        <v>0.01</v>
      </c>
      <c r="M3884" s="10"/>
      <c r="O3884" s="11"/>
    </row>
    <row r="3885" spans="1:15" s="4" customFormat="1" x14ac:dyDescent="0.25">
      <c r="A3885" s="6"/>
      <c r="B3885" s="5"/>
      <c r="C3885" s="5"/>
      <c r="D3885" s="5" t="s">
        <v>485</v>
      </c>
      <c r="E3885" s="5" t="s">
        <v>486</v>
      </c>
      <c r="F3885" s="5" t="s">
        <v>556</v>
      </c>
      <c r="G3885" s="14">
        <f t="shared" ref="G3885:L3885" si="962">SUBTOTAL(9,G3883:G3884)</f>
        <v>0.08</v>
      </c>
      <c r="H3885" s="14">
        <f t="shared" si="962"/>
        <v>0</v>
      </c>
      <c r="I3885" s="14">
        <f t="shared" si="962"/>
        <v>0</v>
      </c>
      <c r="J3885" s="14">
        <f t="shared" si="962"/>
        <v>0.01</v>
      </c>
      <c r="K3885" s="14">
        <f t="shared" si="962"/>
        <v>0</v>
      </c>
      <c r="L3885" s="14">
        <f t="shared" si="962"/>
        <v>0.09</v>
      </c>
      <c r="M3885" s="10">
        <v>3041</v>
      </c>
      <c r="N3885" s="67"/>
      <c r="O3885" s="11">
        <f>O3881+1</f>
        <v>922</v>
      </c>
    </row>
    <row r="3886" spans="1:15" s="4" customFormat="1" x14ac:dyDescent="0.25">
      <c r="A3886" s="10"/>
      <c r="B3886"/>
      <c r="C3886"/>
      <c r="D3886"/>
      <c r="E3886"/>
      <c r="F3886"/>
      <c r="G3886" s="21"/>
      <c r="H3886" s="21"/>
      <c r="I3886" s="21"/>
      <c r="J3886" s="21"/>
      <c r="K3886" s="21"/>
      <c r="L3886" s="21"/>
      <c r="M3886" s="10"/>
      <c r="N3886" s="67"/>
      <c r="O3886" s="11"/>
    </row>
    <row r="3887" spans="1:15" x14ac:dyDescent="0.25">
      <c r="A3887" s="6">
        <v>1955</v>
      </c>
      <c r="B3887" s="5" t="s">
        <v>18</v>
      </c>
      <c r="C3887" s="5" t="s">
        <v>17</v>
      </c>
      <c r="D3887" s="5" t="s">
        <v>485</v>
      </c>
      <c r="E3887" s="5" t="s">
        <v>486</v>
      </c>
      <c r="F3887" s="5" t="s">
        <v>19</v>
      </c>
      <c r="G3887" s="22">
        <v>0.01</v>
      </c>
      <c r="H3887" s="22">
        <v>0</v>
      </c>
      <c r="I3887" s="22">
        <v>0</v>
      </c>
      <c r="J3887" s="22">
        <v>0</v>
      </c>
      <c r="K3887" s="22">
        <v>-0.01</v>
      </c>
      <c r="L3887" s="22">
        <v>0</v>
      </c>
      <c r="M3887" s="10"/>
      <c r="O3887" s="11"/>
    </row>
    <row r="3888" spans="1:15" x14ac:dyDescent="0.25">
      <c r="A3888" s="18"/>
      <c r="B3888" s="19"/>
      <c r="C3888" s="19"/>
      <c r="D3888" s="5" t="s">
        <v>485</v>
      </c>
      <c r="E3888" s="5" t="s">
        <v>486</v>
      </c>
      <c r="F3888" s="5" t="s">
        <v>19</v>
      </c>
      <c r="G3888" s="51">
        <f t="shared" ref="G3888:L3888" si="963">SUBTOTAL(9,G3887:G3887)</f>
        <v>0.01</v>
      </c>
      <c r="H3888" s="51">
        <f t="shared" si="963"/>
        <v>0</v>
      </c>
      <c r="I3888" s="51">
        <f t="shared" si="963"/>
        <v>0</v>
      </c>
      <c r="J3888" s="51">
        <f t="shared" si="963"/>
        <v>0</v>
      </c>
      <c r="K3888" s="51">
        <f t="shared" si="963"/>
        <v>-0.01</v>
      </c>
      <c r="L3888" s="51">
        <f t="shared" si="963"/>
        <v>0</v>
      </c>
      <c r="M3888" s="15">
        <v>3042</v>
      </c>
      <c r="O3888" s="11">
        <f>O3885+1</f>
        <v>923</v>
      </c>
    </row>
    <row r="3889" spans="1:15" s="4" customFormat="1" x14ac:dyDescent="0.25">
      <c r="A3889" s="10"/>
      <c r="B3889"/>
      <c r="C3889"/>
      <c r="D3889"/>
      <c r="E3889"/>
      <c r="F3889"/>
      <c r="G3889" s="21"/>
      <c r="H3889" s="21"/>
      <c r="I3889" s="21"/>
      <c r="J3889" s="21"/>
      <c r="K3889" s="21"/>
      <c r="L3889" s="21"/>
      <c r="M3889" s="10"/>
      <c r="N3889" s="67"/>
      <c r="O3889" s="11"/>
    </row>
    <row r="3890" spans="1:15" x14ac:dyDescent="0.25">
      <c r="A3890" s="6">
        <v>1956</v>
      </c>
      <c r="B3890" s="5" t="s">
        <v>550</v>
      </c>
      <c r="C3890" s="5" t="s">
        <v>13</v>
      </c>
      <c r="D3890" s="5" t="s">
        <v>485</v>
      </c>
      <c r="E3890" s="5" t="s">
        <v>486</v>
      </c>
      <c r="F3890" s="5" t="s">
        <v>551</v>
      </c>
      <c r="G3890" s="22">
        <v>0</v>
      </c>
      <c r="H3890" s="22">
        <v>0</v>
      </c>
      <c r="I3890" s="22">
        <v>0</v>
      </c>
      <c r="J3890" s="22">
        <v>2.99</v>
      </c>
      <c r="K3890" s="22">
        <v>0</v>
      </c>
      <c r="L3890" s="22">
        <v>2.99</v>
      </c>
      <c r="M3890" s="10"/>
      <c r="O3890" s="11"/>
    </row>
    <row r="3891" spans="1:15" x14ac:dyDescent="0.25">
      <c r="A3891" s="6">
        <v>1957</v>
      </c>
      <c r="B3891" s="5" t="s">
        <v>550</v>
      </c>
      <c r="C3891" s="5" t="s">
        <v>13</v>
      </c>
      <c r="D3891" s="5" t="s">
        <v>485</v>
      </c>
      <c r="E3891" s="5" t="s">
        <v>486</v>
      </c>
      <c r="F3891" s="5" t="s">
        <v>551</v>
      </c>
      <c r="G3891" s="22">
        <v>0</v>
      </c>
      <c r="H3891" s="22">
        <v>0</v>
      </c>
      <c r="I3891" s="22">
        <v>0</v>
      </c>
      <c r="J3891" s="22">
        <v>2606.75</v>
      </c>
      <c r="K3891" s="22">
        <v>0</v>
      </c>
      <c r="L3891" s="22">
        <v>2606.75</v>
      </c>
      <c r="M3891" s="10"/>
      <c r="O3891" s="11"/>
    </row>
    <row r="3892" spans="1:15" s="4" customFormat="1" x14ac:dyDescent="0.25">
      <c r="A3892" s="6">
        <v>1958</v>
      </c>
      <c r="B3892" s="5" t="s">
        <v>550</v>
      </c>
      <c r="C3892" s="5" t="s">
        <v>17</v>
      </c>
      <c r="D3892" s="5" t="s">
        <v>485</v>
      </c>
      <c r="E3892" s="5" t="s">
        <v>486</v>
      </c>
      <c r="F3892" s="5" t="s">
        <v>551</v>
      </c>
      <c r="G3892" s="22">
        <v>24.95</v>
      </c>
      <c r="H3892" s="22">
        <v>0</v>
      </c>
      <c r="I3892" s="22">
        <v>0</v>
      </c>
      <c r="J3892" s="22">
        <v>0</v>
      </c>
      <c r="K3892" s="22">
        <v>-0.5</v>
      </c>
      <c r="L3892" s="22">
        <v>24.45</v>
      </c>
      <c r="M3892" s="10"/>
      <c r="N3892" s="67"/>
      <c r="O3892" s="11"/>
    </row>
    <row r="3893" spans="1:15" x14ac:dyDescent="0.25">
      <c r="A3893" s="6">
        <v>1959</v>
      </c>
      <c r="B3893" s="5" t="s">
        <v>550</v>
      </c>
      <c r="C3893" s="5" t="s">
        <v>17</v>
      </c>
      <c r="D3893" s="5" t="s">
        <v>485</v>
      </c>
      <c r="E3893" s="5" t="s">
        <v>486</v>
      </c>
      <c r="F3893" s="5" t="s">
        <v>551</v>
      </c>
      <c r="G3893" s="22">
        <v>21722.880000000001</v>
      </c>
      <c r="H3893" s="22">
        <v>0</v>
      </c>
      <c r="I3893" s="22">
        <v>0</v>
      </c>
      <c r="J3893" s="22">
        <v>0</v>
      </c>
      <c r="K3893" s="22">
        <v>-434.46</v>
      </c>
      <c r="L3893" s="22">
        <v>21288.42</v>
      </c>
      <c r="M3893" s="10"/>
      <c r="O3893" s="11"/>
    </row>
    <row r="3894" spans="1:15" x14ac:dyDescent="0.25">
      <c r="A3894" s="6"/>
      <c r="B3894" s="5"/>
      <c r="C3894" s="5"/>
      <c r="D3894" s="5" t="s">
        <v>485</v>
      </c>
      <c r="E3894" s="5" t="s">
        <v>486</v>
      </c>
      <c r="F3894" s="5" t="s">
        <v>551</v>
      </c>
      <c r="G3894" s="14">
        <f t="shared" ref="G3894:L3894" si="964">SUBTOTAL(9,G3890:G3893)</f>
        <v>21747.83</v>
      </c>
      <c r="H3894" s="14">
        <f t="shared" si="964"/>
        <v>0</v>
      </c>
      <c r="I3894" s="14">
        <f t="shared" si="964"/>
        <v>0</v>
      </c>
      <c r="J3894" s="14">
        <f t="shared" si="964"/>
        <v>2609.7399999999998</v>
      </c>
      <c r="K3894" s="14">
        <f t="shared" si="964"/>
        <v>-434.96</v>
      </c>
      <c r="L3894" s="14">
        <f t="shared" si="964"/>
        <v>23922.609999999997</v>
      </c>
      <c r="M3894" s="10">
        <v>3043</v>
      </c>
      <c r="O3894" s="11">
        <f>O3888+1</f>
        <v>924</v>
      </c>
    </row>
    <row r="3895" spans="1:15" s="4" customFormat="1" x14ac:dyDescent="0.25">
      <c r="A3895" s="10"/>
      <c r="B3895"/>
      <c r="C3895"/>
      <c r="D3895"/>
      <c r="E3895"/>
      <c r="F3895"/>
      <c r="G3895" s="21"/>
      <c r="H3895" s="21"/>
      <c r="I3895" s="21"/>
      <c r="J3895" s="21"/>
      <c r="K3895" s="21"/>
      <c r="L3895" s="21"/>
      <c r="M3895" s="10"/>
      <c r="N3895" s="67"/>
      <c r="O3895" s="11"/>
    </row>
    <row r="3896" spans="1:15" s="4" customFormat="1" x14ac:dyDescent="0.25">
      <c r="A3896" s="6">
        <v>1960</v>
      </c>
      <c r="B3896" s="5" t="s">
        <v>550</v>
      </c>
      <c r="C3896" s="5" t="s">
        <v>13</v>
      </c>
      <c r="D3896" s="5" t="s">
        <v>485</v>
      </c>
      <c r="E3896" s="5" t="s">
        <v>486</v>
      </c>
      <c r="F3896" s="5" t="s">
        <v>552</v>
      </c>
      <c r="G3896" s="22">
        <v>0</v>
      </c>
      <c r="H3896" s="22">
        <v>0</v>
      </c>
      <c r="I3896" s="22">
        <v>0</v>
      </c>
      <c r="J3896" s="22">
        <v>0.19</v>
      </c>
      <c r="K3896" s="22">
        <v>0</v>
      </c>
      <c r="L3896" s="22">
        <v>0.19</v>
      </c>
      <c r="M3896" s="10"/>
      <c r="N3896" s="67"/>
      <c r="O3896" s="11"/>
    </row>
    <row r="3897" spans="1:15" s="4" customFormat="1" x14ac:dyDescent="0.25">
      <c r="A3897" s="6">
        <v>1961</v>
      </c>
      <c r="B3897" s="5" t="s">
        <v>550</v>
      </c>
      <c r="C3897" s="5" t="s">
        <v>17</v>
      </c>
      <c r="D3897" s="5" t="s">
        <v>485</v>
      </c>
      <c r="E3897" s="5" t="s">
        <v>486</v>
      </c>
      <c r="F3897" s="5" t="s">
        <v>552</v>
      </c>
      <c r="G3897" s="22">
        <v>1.56</v>
      </c>
      <c r="H3897" s="22">
        <v>0</v>
      </c>
      <c r="I3897" s="22">
        <v>0</v>
      </c>
      <c r="J3897" s="22">
        <v>0</v>
      </c>
      <c r="K3897" s="22">
        <v>-0.03</v>
      </c>
      <c r="L3897" s="22">
        <v>1.53</v>
      </c>
      <c r="M3897" s="10"/>
      <c r="N3897" s="67"/>
      <c r="O3897" s="11"/>
    </row>
    <row r="3898" spans="1:15" x14ac:dyDescent="0.25">
      <c r="A3898" s="6"/>
      <c r="B3898" s="5"/>
      <c r="C3898" s="5"/>
      <c r="D3898" s="5" t="s">
        <v>485</v>
      </c>
      <c r="E3898" s="5" t="s">
        <v>486</v>
      </c>
      <c r="F3898" s="5" t="s">
        <v>552</v>
      </c>
      <c r="G3898" s="14">
        <f t="shared" ref="G3898:L3898" si="965">SUBTOTAL(9,G3896:G3897)</f>
        <v>1.56</v>
      </c>
      <c r="H3898" s="14">
        <f t="shared" si="965"/>
        <v>0</v>
      </c>
      <c r="I3898" s="14">
        <f t="shared" si="965"/>
        <v>0</v>
      </c>
      <c r="J3898" s="14">
        <f t="shared" si="965"/>
        <v>0.19</v>
      </c>
      <c r="K3898" s="14">
        <f t="shared" si="965"/>
        <v>-0.03</v>
      </c>
      <c r="L3898" s="14">
        <f t="shared" si="965"/>
        <v>1.72</v>
      </c>
      <c r="M3898" s="10">
        <v>3044</v>
      </c>
      <c r="O3898" s="11">
        <f>O3894+1</f>
        <v>925</v>
      </c>
    </row>
    <row r="3899" spans="1:15" x14ac:dyDescent="0.25">
      <c r="A3899" s="10"/>
      <c r="G3899" s="21"/>
      <c r="H3899" s="21"/>
      <c r="I3899" s="21"/>
      <c r="J3899" s="21"/>
      <c r="K3899" s="21"/>
      <c r="L3899" s="21"/>
      <c r="M3899" s="10"/>
      <c r="O3899" s="11"/>
    </row>
    <row r="3900" spans="1:15" s="4" customFormat="1" x14ac:dyDescent="0.25">
      <c r="A3900" s="6">
        <v>1962</v>
      </c>
      <c r="B3900" s="5" t="s">
        <v>555</v>
      </c>
      <c r="C3900" s="5" t="s">
        <v>17</v>
      </c>
      <c r="D3900" s="5" t="s">
        <v>487</v>
      </c>
      <c r="E3900" s="5" t="s">
        <v>488</v>
      </c>
      <c r="F3900" s="5" t="s">
        <v>556</v>
      </c>
      <c r="G3900" s="22">
        <v>0</v>
      </c>
      <c r="H3900" s="22">
        <v>0</v>
      </c>
      <c r="I3900" s="22">
        <v>11.5</v>
      </c>
      <c r="J3900" s="22">
        <v>0</v>
      </c>
      <c r="K3900" s="22">
        <v>-0.23</v>
      </c>
      <c r="L3900" s="22">
        <v>11.27</v>
      </c>
      <c r="M3900" s="10"/>
      <c r="N3900" s="67"/>
      <c r="O3900" s="11"/>
    </row>
    <row r="3901" spans="1:15" s="4" customFormat="1" x14ac:dyDescent="0.25">
      <c r="A3901" s="6"/>
      <c r="B3901" s="5"/>
      <c r="C3901" s="5"/>
      <c r="D3901" s="5" t="s">
        <v>487</v>
      </c>
      <c r="E3901" s="5" t="s">
        <v>488</v>
      </c>
      <c r="F3901" s="5" t="s">
        <v>556</v>
      </c>
      <c r="G3901" s="14">
        <f t="shared" ref="G3901:L3901" si="966">SUBTOTAL(9,G3900:G3900)</f>
        <v>0</v>
      </c>
      <c r="H3901" s="14">
        <f t="shared" si="966"/>
        <v>0</v>
      </c>
      <c r="I3901" s="14">
        <f t="shared" si="966"/>
        <v>11.5</v>
      </c>
      <c r="J3901" s="14">
        <f t="shared" si="966"/>
        <v>0</v>
      </c>
      <c r="K3901" s="14">
        <f t="shared" si="966"/>
        <v>-0.23</v>
      </c>
      <c r="L3901" s="14">
        <f t="shared" si="966"/>
        <v>11.27</v>
      </c>
      <c r="M3901" s="10">
        <v>3045</v>
      </c>
      <c r="N3901" s="67"/>
      <c r="O3901" s="11">
        <f>O3898+1</f>
        <v>926</v>
      </c>
    </row>
    <row r="3902" spans="1:15" x14ac:dyDescent="0.25">
      <c r="A3902" s="10"/>
      <c r="G3902" s="21"/>
      <c r="H3902" s="21"/>
      <c r="I3902" s="21"/>
      <c r="J3902" s="21"/>
      <c r="K3902" s="21"/>
      <c r="L3902" s="21"/>
      <c r="M3902" s="10"/>
      <c r="O3902" s="11"/>
    </row>
    <row r="3903" spans="1:15" x14ac:dyDescent="0.25">
      <c r="A3903" s="6">
        <v>1963</v>
      </c>
      <c r="B3903" s="5" t="s">
        <v>557</v>
      </c>
      <c r="C3903" s="5" t="s">
        <v>17</v>
      </c>
      <c r="D3903" s="5" t="s">
        <v>487</v>
      </c>
      <c r="E3903" s="5" t="s">
        <v>488</v>
      </c>
      <c r="F3903" s="5" t="s">
        <v>558</v>
      </c>
      <c r="G3903" s="22">
        <v>0</v>
      </c>
      <c r="H3903" s="22">
        <v>0</v>
      </c>
      <c r="I3903" s="22">
        <v>1.57</v>
      </c>
      <c r="J3903" s="22">
        <v>0</v>
      </c>
      <c r="K3903" s="22">
        <v>-0.03</v>
      </c>
      <c r="L3903" s="22">
        <v>1.54</v>
      </c>
      <c r="M3903" s="10"/>
      <c r="O3903" s="11"/>
    </row>
    <row r="3904" spans="1:15" s="4" customFormat="1" x14ac:dyDescent="0.25">
      <c r="A3904" s="6"/>
      <c r="B3904" s="5"/>
      <c r="C3904" s="5"/>
      <c r="D3904" s="5" t="s">
        <v>487</v>
      </c>
      <c r="E3904" s="5" t="s">
        <v>488</v>
      </c>
      <c r="F3904" s="5" t="s">
        <v>558</v>
      </c>
      <c r="G3904" s="14">
        <f t="shared" ref="G3904:L3904" si="967">SUBTOTAL(9,G3903:G3903)</f>
        <v>0</v>
      </c>
      <c r="H3904" s="14">
        <f t="shared" si="967"/>
        <v>0</v>
      </c>
      <c r="I3904" s="14">
        <f t="shared" si="967"/>
        <v>1.57</v>
      </c>
      <c r="J3904" s="14">
        <f t="shared" si="967"/>
        <v>0</v>
      </c>
      <c r="K3904" s="14">
        <f t="shared" si="967"/>
        <v>-0.03</v>
      </c>
      <c r="L3904" s="14">
        <f t="shared" si="967"/>
        <v>1.54</v>
      </c>
      <c r="M3904" s="10">
        <v>3046</v>
      </c>
      <c r="N3904" s="67"/>
      <c r="O3904" s="11">
        <f>O3901+1</f>
        <v>927</v>
      </c>
    </row>
    <row r="3905" spans="1:15" x14ac:dyDescent="0.25">
      <c r="A3905" s="10"/>
      <c r="G3905" s="21"/>
      <c r="H3905" s="21"/>
      <c r="I3905" s="21"/>
      <c r="J3905" s="21"/>
      <c r="K3905" s="21"/>
      <c r="L3905" s="21"/>
      <c r="M3905" s="10"/>
      <c r="O3905" s="11"/>
    </row>
    <row r="3906" spans="1:15" x14ac:dyDescent="0.25">
      <c r="A3906" s="6">
        <v>1964</v>
      </c>
      <c r="B3906" s="5" t="s">
        <v>18</v>
      </c>
      <c r="C3906" s="5" t="s">
        <v>17</v>
      </c>
      <c r="D3906" s="5" t="s">
        <v>487</v>
      </c>
      <c r="E3906" s="5" t="s">
        <v>488</v>
      </c>
      <c r="F3906" s="5" t="s">
        <v>19</v>
      </c>
      <c r="G3906" s="22">
        <v>0</v>
      </c>
      <c r="H3906" s="22">
        <v>0</v>
      </c>
      <c r="I3906" s="22">
        <v>0.09</v>
      </c>
      <c r="J3906" s="22">
        <v>0</v>
      </c>
      <c r="K3906" s="22">
        <v>-0.01</v>
      </c>
      <c r="L3906" s="22">
        <v>0.08</v>
      </c>
      <c r="M3906" s="10"/>
      <c r="O3906" s="11"/>
    </row>
    <row r="3907" spans="1:15" s="4" customFormat="1" x14ac:dyDescent="0.25">
      <c r="A3907" s="6"/>
      <c r="B3907" s="5"/>
      <c r="C3907" s="5"/>
      <c r="D3907" s="5" t="s">
        <v>487</v>
      </c>
      <c r="E3907" s="5" t="s">
        <v>488</v>
      </c>
      <c r="F3907" s="5" t="s">
        <v>19</v>
      </c>
      <c r="G3907" s="14">
        <f t="shared" ref="G3907:L3907" si="968">SUBTOTAL(9,G3906:G3906)</f>
        <v>0</v>
      </c>
      <c r="H3907" s="14">
        <f t="shared" si="968"/>
        <v>0</v>
      </c>
      <c r="I3907" s="14">
        <f t="shared" si="968"/>
        <v>0.09</v>
      </c>
      <c r="J3907" s="14">
        <f t="shared" si="968"/>
        <v>0</v>
      </c>
      <c r="K3907" s="14">
        <f t="shared" si="968"/>
        <v>-0.01</v>
      </c>
      <c r="L3907" s="14">
        <f t="shared" si="968"/>
        <v>0.08</v>
      </c>
      <c r="M3907" s="10">
        <v>3047</v>
      </c>
      <c r="N3907" s="67"/>
      <c r="O3907" s="11">
        <f>O3904+1</f>
        <v>928</v>
      </c>
    </row>
    <row r="3908" spans="1:15" x14ac:dyDescent="0.25">
      <c r="A3908" s="10"/>
      <c r="G3908" s="21"/>
      <c r="H3908" s="21"/>
      <c r="I3908" s="21"/>
      <c r="J3908" s="21"/>
      <c r="K3908" s="21"/>
      <c r="L3908" s="21"/>
      <c r="M3908" s="10"/>
      <c r="O3908" s="11"/>
    </row>
    <row r="3909" spans="1:15" x14ac:dyDescent="0.25">
      <c r="A3909" s="6">
        <v>1965</v>
      </c>
      <c r="B3909" s="5" t="s">
        <v>550</v>
      </c>
      <c r="C3909" s="5" t="s">
        <v>17</v>
      </c>
      <c r="D3909" s="5" t="s">
        <v>487</v>
      </c>
      <c r="E3909" s="5" t="s">
        <v>488</v>
      </c>
      <c r="F3909" s="5" t="s">
        <v>551</v>
      </c>
      <c r="G3909" s="22">
        <v>0</v>
      </c>
      <c r="H3909" s="22">
        <v>0</v>
      </c>
      <c r="I3909" s="22">
        <v>1556.11</v>
      </c>
      <c r="J3909" s="22">
        <v>0</v>
      </c>
      <c r="K3909" s="22">
        <v>-31.12</v>
      </c>
      <c r="L3909" s="22">
        <v>1524.99</v>
      </c>
      <c r="M3909" s="10"/>
      <c r="O3909" s="11"/>
    </row>
    <row r="3910" spans="1:15" s="4" customFormat="1" x14ac:dyDescent="0.25">
      <c r="A3910" s="6"/>
      <c r="B3910" s="5"/>
      <c r="C3910" s="5"/>
      <c r="D3910" s="5" t="s">
        <v>487</v>
      </c>
      <c r="E3910" s="5" t="s">
        <v>488</v>
      </c>
      <c r="F3910" s="5" t="s">
        <v>551</v>
      </c>
      <c r="G3910" s="14">
        <f t="shared" ref="G3910:L3910" si="969">SUBTOTAL(9,G3909:G3909)</f>
        <v>0</v>
      </c>
      <c r="H3910" s="14">
        <f t="shared" si="969"/>
        <v>0</v>
      </c>
      <c r="I3910" s="14">
        <f t="shared" si="969"/>
        <v>1556.11</v>
      </c>
      <c r="J3910" s="14">
        <f t="shared" si="969"/>
        <v>0</v>
      </c>
      <c r="K3910" s="14">
        <f t="shared" si="969"/>
        <v>-31.12</v>
      </c>
      <c r="L3910" s="14">
        <f t="shared" si="969"/>
        <v>1524.99</v>
      </c>
      <c r="M3910" s="10">
        <v>3048</v>
      </c>
      <c r="N3910" s="67"/>
      <c r="O3910" s="11">
        <f>O3907+1</f>
        <v>929</v>
      </c>
    </row>
    <row r="3911" spans="1:15" s="4" customFormat="1" x14ac:dyDescent="0.25">
      <c r="A3911" s="10"/>
      <c r="B3911"/>
      <c r="C3911"/>
      <c r="D3911"/>
      <c r="E3911"/>
      <c r="F3911"/>
      <c r="G3911" s="21"/>
      <c r="H3911" s="21"/>
      <c r="I3911" s="21"/>
      <c r="J3911" s="21"/>
      <c r="K3911" s="21"/>
      <c r="L3911" s="21"/>
      <c r="M3911" s="10"/>
      <c r="N3911" s="67"/>
      <c r="O3911" s="11"/>
    </row>
    <row r="3912" spans="1:15" x14ac:dyDescent="0.25">
      <c r="A3912" s="6">
        <v>1966</v>
      </c>
      <c r="B3912" s="5" t="s">
        <v>550</v>
      </c>
      <c r="C3912" s="5" t="s">
        <v>17</v>
      </c>
      <c r="D3912" s="5" t="s">
        <v>487</v>
      </c>
      <c r="E3912" s="5" t="s">
        <v>488</v>
      </c>
      <c r="F3912" s="5" t="s">
        <v>552</v>
      </c>
      <c r="G3912" s="22">
        <v>0</v>
      </c>
      <c r="H3912" s="22">
        <v>0</v>
      </c>
      <c r="I3912" s="22">
        <v>0.11</v>
      </c>
      <c r="J3912" s="22">
        <v>0</v>
      </c>
      <c r="K3912" s="22">
        <v>0</v>
      </c>
      <c r="L3912" s="22">
        <v>0.11</v>
      </c>
      <c r="M3912" s="10"/>
      <c r="O3912" s="11"/>
    </row>
    <row r="3913" spans="1:15" x14ac:dyDescent="0.25">
      <c r="A3913" s="6"/>
      <c r="B3913" s="5"/>
      <c r="C3913" s="5"/>
      <c r="D3913" s="5" t="s">
        <v>487</v>
      </c>
      <c r="E3913" s="5" t="s">
        <v>488</v>
      </c>
      <c r="F3913" s="5" t="s">
        <v>552</v>
      </c>
      <c r="G3913" s="14">
        <f t="shared" ref="G3913:L3913" si="970">SUBTOTAL(9,G3912:G3912)</f>
        <v>0</v>
      </c>
      <c r="H3913" s="14">
        <f t="shared" si="970"/>
        <v>0</v>
      </c>
      <c r="I3913" s="14">
        <f t="shared" si="970"/>
        <v>0.11</v>
      </c>
      <c r="J3913" s="14">
        <f t="shared" si="970"/>
        <v>0</v>
      </c>
      <c r="K3913" s="14">
        <f t="shared" si="970"/>
        <v>0</v>
      </c>
      <c r="L3913" s="14">
        <f t="shared" si="970"/>
        <v>0.11</v>
      </c>
      <c r="M3913" s="10">
        <v>3049</v>
      </c>
      <c r="O3913" s="11">
        <f>O3910+1</f>
        <v>930</v>
      </c>
    </row>
    <row r="3914" spans="1:15" s="4" customFormat="1" x14ac:dyDescent="0.25">
      <c r="A3914" s="10"/>
      <c r="B3914"/>
      <c r="C3914"/>
      <c r="D3914"/>
      <c r="E3914"/>
      <c r="F3914"/>
      <c r="G3914" s="21"/>
      <c r="H3914" s="21"/>
      <c r="I3914" s="21"/>
      <c r="J3914" s="21"/>
      <c r="K3914" s="21"/>
      <c r="L3914" s="21"/>
      <c r="M3914" s="10"/>
      <c r="N3914" s="67"/>
      <c r="O3914" s="11"/>
    </row>
    <row r="3915" spans="1:15" s="4" customFormat="1" x14ac:dyDescent="0.25">
      <c r="A3915" s="6">
        <v>1967</v>
      </c>
      <c r="B3915" s="5" t="s">
        <v>559</v>
      </c>
      <c r="C3915" s="5" t="s">
        <v>17</v>
      </c>
      <c r="D3915" s="5" t="s">
        <v>489</v>
      </c>
      <c r="E3915" s="5" t="s">
        <v>490</v>
      </c>
      <c r="F3915" s="5" t="s">
        <v>560</v>
      </c>
      <c r="G3915" s="22">
        <v>0.26</v>
      </c>
      <c r="H3915" s="22">
        <v>0</v>
      </c>
      <c r="I3915" s="22">
        <v>0</v>
      </c>
      <c r="J3915" s="22">
        <v>0</v>
      </c>
      <c r="K3915" s="22">
        <v>-0.01</v>
      </c>
      <c r="L3915" s="22">
        <v>0.25</v>
      </c>
      <c r="M3915" s="10"/>
      <c r="N3915" s="67"/>
      <c r="O3915" s="11"/>
    </row>
    <row r="3916" spans="1:15" x14ac:dyDescent="0.25">
      <c r="A3916" s="6">
        <v>1968</v>
      </c>
      <c r="B3916" s="5" t="s">
        <v>559</v>
      </c>
      <c r="C3916" s="5" t="s">
        <v>13</v>
      </c>
      <c r="D3916" s="5" t="s">
        <v>489</v>
      </c>
      <c r="E3916" s="5" t="s">
        <v>490</v>
      </c>
      <c r="F3916" s="5" t="s">
        <v>560</v>
      </c>
      <c r="G3916" s="22">
        <v>0</v>
      </c>
      <c r="H3916" s="22">
        <v>0</v>
      </c>
      <c r="I3916" s="22">
        <v>0</v>
      </c>
      <c r="J3916" s="22">
        <v>0.03</v>
      </c>
      <c r="K3916" s="22">
        <v>0</v>
      </c>
      <c r="L3916" s="22">
        <v>0.03</v>
      </c>
      <c r="M3916" s="10"/>
      <c r="O3916" s="11"/>
    </row>
    <row r="3917" spans="1:15" x14ac:dyDescent="0.25">
      <c r="A3917" s="6"/>
      <c r="B3917" s="5"/>
      <c r="C3917" s="5"/>
      <c r="D3917" s="5" t="s">
        <v>489</v>
      </c>
      <c r="E3917" s="5" t="s">
        <v>490</v>
      </c>
      <c r="F3917" s="5" t="s">
        <v>560</v>
      </c>
      <c r="G3917" s="14">
        <f t="shared" ref="G3917:L3917" si="971">SUBTOTAL(9,G3915:G3916)</f>
        <v>0.26</v>
      </c>
      <c r="H3917" s="14">
        <f t="shared" si="971"/>
        <v>0</v>
      </c>
      <c r="I3917" s="14">
        <f t="shared" si="971"/>
        <v>0</v>
      </c>
      <c r="J3917" s="14">
        <f t="shared" si="971"/>
        <v>0.03</v>
      </c>
      <c r="K3917" s="14">
        <f t="shared" si="971"/>
        <v>-0.01</v>
      </c>
      <c r="L3917" s="14">
        <f t="shared" si="971"/>
        <v>0.28000000000000003</v>
      </c>
      <c r="M3917" s="10">
        <v>3050</v>
      </c>
      <c r="O3917" s="11">
        <f>O3913+1</f>
        <v>931</v>
      </c>
    </row>
    <row r="3918" spans="1:15" s="4" customFormat="1" x14ac:dyDescent="0.25">
      <c r="A3918" s="10"/>
      <c r="B3918"/>
      <c r="C3918"/>
      <c r="D3918"/>
      <c r="E3918"/>
      <c r="F3918"/>
      <c r="G3918" s="21"/>
      <c r="H3918" s="21"/>
      <c r="I3918" s="21"/>
      <c r="J3918" s="21"/>
      <c r="K3918" s="21"/>
      <c r="L3918" s="21"/>
      <c r="M3918" s="10"/>
      <c r="N3918" s="67"/>
      <c r="O3918" s="11"/>
    </row>
    <row r="3919" spans="1:15" s="4" customFormat="1" x14ac:dyDescent="0.25">
      <c r="A3919" s="6">
        <v>1969</v>
      </c>
      <c r="B3919" s="5" t="s">
        <v>18</v>
      </c>
      <c r="C3919" s="5" t="s">
        <v>17</v>
      </c>
      <c r="D3919" s="5" t="s">
        <v>489</v>
      </c>
      <c r="E3919" s="5" t="s">
        <v>490</v>
      </c>
      <c r="F3919" s="5" t="s">
        <v>19</v>
      </c>
      <c r="G3919" s="22">
        <v>0</v>
      </c>
      <c r="H3919" s="22">
        <v>0</v>
      </c>
      <c r="I3919" s="22">
        <v>0</v>
      </c>
      <c r="J3919" s="22">
        <v>0</v>
      </c>
      <c r="K3919" s="22">
        <v>0</v>
      </c>
      <c r="L3919" s="22">
        <v>0</v>
      </c>
      <c r="M3919" s="10"/>
      <c r="N3919" s="67"/>
      <c r="O3919" s="11"/>
    </row>
    <row r="3920" spans="1:15" x14ac:dyDescent="0.25">
      <c r="A3920" s="28"/>
      <c r="B3920" s="29"/>
      <c r="C3920" s="29"/>
      <c r="D3920" s="29"/>
      <c r="E3920" s="29"/>
      <c r="F3920" s="29" t="s">
        <v>657</v>
      </c>
      <c r="G3920" s="31">
        <f t="shared" ref="G3920:L3920" si="972">SUBTOTAL(9,G3919:G3919)</f>
        <v>0</v>
      </c>
      <c r="H3920" s="31">
        <f t="shared" si="972"/>
        <v>0</v>
      </c>
      <c r="I3920" s="31">
        <f t="shared" si="972"/>
        <v>0</v>
      </c>
      <c r="J3920" s="31">
        <f t="shared" si="972"/>
        <v>0</v>
      </c>
      <c r="K3920" s="31">
        <f t="shared" si="972"/>
        <v>0</v>
      </c>
      <c r="L3920" s="31">
        <f t="shared" si="972"/>
        <v>0</v>
      </c>
      <c r="M3920" s="42"/>
      <c r="O3920" s="50"/>
    </row>
    <row r="3921" spans="1:15" x14ac:dyDescent="0.25">
      <c r="A3921" s="10"/>
      <c r="G3921" s="21"/>
      <c r="H3921" s="21"/>
      <c r="I3921" s="21"/>
      <c r="J3921" s="21"/>
      <c r="K3921" s="21"/>
      <c r="L3921" s="21"/>
      <c r="M3921" s="10"/>
      <c r="O3921" s="11"/>
    </row>
    <row r="3922" spans="1:15" s="4" customFormat="1" x14ac:dyDescent="0.25">
      <c r="A3922" s="6">
        <v>1970</v>
      </c>
      <c r="B3922" s="5" t="s">
        <v>550</v>
      </c>
      <c r="C3922" s="5" t="s">
        <v>13</v>
      </c>
      <c r="D3922" s="5" t="s">
        <v>489</v>
      </c>
      <c r="E3922" s="5" t="s">
        <v>490</v>
      </c>
      <c r="F3922" s="5" t="s">
        <v>551</v>
      </c>
      <c r="G3922" s="22">
        <v>0</v>
      </c>
      <c r="H3922" s="22">
        <v>0</v>
      </c>
      <c r="I3922" s="22">
        <v>0</v>
      </c>
      <c r="J3922" s="22">
        <v>54890.95</v>
      </c>
      <c r="K3922" s="22">
        <v>0</v>
      </c>
      <c r="L3922" s="22">
        <v>54890.95</v>
      </c>
      <c r="M3922" s="10"/>
      <c r="N3922" s="67"/>
      <c r="O3922" s="11"/>
    </row>
    <row r="3923" spans="1:15" s="4" customFormat="1" x14ac:dyDescent="0.25">
      <c r="A3923" s="6">
        <v>1971</v>
      </c>
      <c r="B3923" s="5" t="s">
        <v>550</v>
      </c>
      <c r="C3923" s="5" t="s">
        <v>13</v>
      </c>
      <c r="D3923" s="5" t="s">
        <v>489</v>
      </c>
      <c r="E3923" s="5" t="s">
        <v>490</v>
      </c>
      <c r="F3923" s="5" t="s">
        <v>551</v>
      </c>
      <c r="G3923" s="22">
        <v>0</v>
      </c>
      <c r="H3923" s="22">
        <v>0</v>
      </c>
      <c r="I3923" s="22">
        <v>0</v>
      </c>
      <c r="J3923" s="22">
        <v>23.78</v>
      </c>
      <c r="K3923" s="22">
        <v>0</v>
      </c>
      <c r="L3923" s="22">
        <v>23.78</v>
      </c>
      <c r="M3923" s="10"/>
      <c r="N3923" s="67"/>
      <c r="O3923" s="11"/>
    </row>
    <row r="3924" spans="1:15" x14ac:dyDescent="0.25">
      <c r="A3924" s="6">
        <v>1972</v>
      </c>
      <c r="B3924" s="5" t="s">
        <v>550</v>
      </c>
      <c r="C3924" s="5" t="s">
        <v>17</v>
      </c>
      <c r="D3924" s="5" t="s">
        <v>489</v>
      </c>
      <c r="E3924" s="5" t="s">
        <v>490</v>
      </c>
      <c r="F3924" s="5" t="s">
        <v>551</v>
      </c>
      <c r="G3924" s="22">
        <v>457424.59</v>
      </c>
      <c r="H3924" s="22">
        <v>0</v>
      </c>
      <c r="I3924" s="22">
        <v>0</v>
      </c>
      <c r="J3924" s="22">
        <v>0</v>
      </c>
      <c r="K3924" s="22">
        <v>-9148.49</v>
      </c>
      <c r="L3924" s="22">
        <v>448276.1</v>
      </c>
      <c r="M3924" s="10"/>
      <c r="O3924" s="11"/>
    </row>
    <row r="3925" spans="1:15" x14ac:dyDescent="0.25">
      <c r="A3925" s="6">
        <v>1973</v>
      </c>
      <c r="B3925" s="5" t="s">
        <v>550</v>
      </c>
      <c r="C3925" s="5" t="s">
        <v>17</v>
      </c>
      <c r="D3925" s="5" t="s">
        <v>489</v>
      </c>
      <c r="E3925" s="5" t="s">
        <v>490</v>
      </c>
      <c r="F3925" s="5" t="s">
        <v>551</v>
      </c>
      <c r="G3925" s="22">
        <v>198.14</v>
      </c>
      <c r="H3925" s="22">
        <v>0</v>
      </c>
      <c r="I3925" s="22">
        <v>0</v>
      </c>
      <c r="J3925" s="22">
        <v>0</v>
      </c>
      <c r="K3925" s="22">
        <v>-3.96</v>
      </c>
      <c r="L3925" s="22">
        <v>194.18</v>
      </c>
      <c r="M3925" s="10"/>
      <c r="O3925" s="11"/>
    </row>
    <row r="3926" spans="1:15" s="4" customFormat="1" x14ac:dyDescent="0.25">
      <c r="A3926" s="6"/>
      <c r="B3926" s="5"/>
      <c r="C3926" s="5"/>
      <c r="D3926" s="5" t="s">
        <v>489</v>
      </c>
      <c r="E3926" s="5" t="s">
        <v>490</v>
      </c>
      <c r="F3926" s="5" t="s">
        <v>551</v>
      </c>
      <c r="G3926" s="14">
        <f t="shared" ref="G3926:L3926" si="973">SUBTOTAL(9,G3922:G3925)</f>
        <v>457622.73000000004</v>
      </c>
      <c r="H3926" s="14">
        <f t="shared" si="973"/>
        <v>0</v>
      </c>
      <c r="I3926" s="14">
        <f t="shared" si="973"/>
        <v>0</v>
      </c>
      <c r="J3926" s="14">
        <f t="shared" si="973"/>
        <v>54914.729999999996</v>
      </c>
      <c r="K3926" s="14">
        <f t="shared" si="973"/>
        <v>-9152.4499999999989</v>
      </c>
      <c r="L3926" s="14">
        <f t="shared" si="973"/>
        <v>503385.00999999995</v>
      </c>
      <c r="M3926" s="10">
        <v>3051</v>
      </c>
      <c r="N3926" s="67"/>
      <c r="O3926" s="11">
        <f>O3917+1</f>
        <v>932</v>
      </c>
    </row>
    <row r="3927" spans="1:15" s="4" customFormat="1" x14ac:dyDescent="0.25">
      <c r="A3927" s="10"/>
      <c r="B3927"/>
      <c r="C3927"/>
      <c r="D3927"/>
      <c r="E3927"/>
      <c r="F3927"/>
      <c r="G3927" s="21"/>
      <c r="H3927" s="21"/>
      <c r="I3927" s="21"/>
      <c r="J3927" s="21"/>
      <c r="K3927" s="21"/>
      <c r="L3927" s="21"/>
      <c r="M3927" s="10"/>
      <c r="N3927" s="67"/>
      <c r="O3927" s="11"/>
    </row>
    <row r="3928" spans="1:15" x14ac:dyDescent="0.25">
      <c r="A3928" s="6">
        <v>1974</v>
      </c>
      <c r="B3928" s="5" t="s">
        <v>550</v>
      </c>
      <c r="C3928" s="5" t="s">
        <v>13</v>
      </c>
      <c r="D3928" s="5" t="s">
        <v>489</v>
      </c>
      <c r="E3928" s="5" t="s">
        <v>490</v>
      </c>
      <c r="F3928" s="5" t="s">
        <v>552</v>
      </c>
      <c r="G3928" s="22">
        <v>0</v>
      </c>
      <c r="H3928" s="22">
        <v>0</v>
      </c>
      <c r="I3928" s="22">
        <v>0</v>
      </c>
      <c r="J3928" s="22">
        <v>3.95</v>
      </c>
      <c r="K3928" s="22">
        <v>0</v>
      </c>
      <c r="L3928" s="22">
        <v>3.95</v>
      </c>
      <c r="M3928" s="10"/>
      <c r="O3928" s="11"/>
    </row>
    <row r="3929" spans="1:15" x14ac:dyDescent="0.25">
      <c r="A3929" s="6">
        <v>1975</v>
      </c>
      <c r="B3929" s="5" t="s">
        <v>550</v>
      </c>
      <c r="C3929" s="5" t="s">
        <v>13</v>
      </c>
      <c r="D3929" s="5" t="s">
        <v>489</v>
      </c>
      <c r="E3929" s="5" t="s">
        <v>490</v>
      </c>
      <c r="F3929" s="5" t="s">
        <v>552</v>
      </c>
      <c r="G3929" s="22">
        <v>0</v>
      </c>
      <c r="H3929" s="22">
        <v>0</v>
      </c>
      <c r="I3929" s="22">
        <v>0</v>
      </c>
      <c r="J3929" s="22">
        <v>0</v>
      </c>
      <c r="K3929" s="22">
        <v>0</v>
      </c>
      <c r="L3929" s="22">
        <v>0</v>
      </c>
      <c r="M3929" s="10"/>
      <c r="O3929" s="11"/>
    </row>
    <row r="3930" spans="1:15" s="4" customFormat="1" x14ac:dyDescent="0.25">
      <c r="A3930" s="6">
        <v>1976</v>
      </c>
      <c r="B3930" s="5" t="s">
        <v>550</v>
      </c>
      <c r="C3930" s="5" t="s">
        <v>17</v>
      </c>
      <c r="D3930" s="5" t="s">
        <v>489</v>
      </c>
      <c r="E3930" s="5" t="s">
        <v>490</v>
      </c>
      <c r="F3930" s="5" t="s">
        <v>552</v>
      </c>
      <c r="G3930" s="22">
        <v>32.9</v>
      </c>
      <c r="H3930" s="22">
        <v>0</v>
      </c>
      <c r="I3930" s="22">
        <v>0</v>
      </c>
      <c r="J3930" s="22">
        <v>0</v>
      </c>
      <c r="K3930" s="22">
        <v>-0.66</v>
      </c>
      <c r="L3930" s="22">
        <v>32.24</v>
      </c>
      <c r="M3930" s="10"/>
      <c r="N3930" s="67"/>
      <c r="O3930" s="11"/>
    </row>
    <row r="3931" spans="1:15" x14ac:dyDescent="0.25">
      <c r="A3931" s="6">
        <v>1977</v>
      </c>
      <c r="B3931" s="5" t="s">
        <v>550</v>
      </c>
      <c r="C3931" s="5" t="s">
        <v>17</v>
      </c>
      <c r="D3931" s="5" t="s">
        <v>489</v>
      </c>
      <c r="E3931" s="5" t="s">
        <v>490</v>
      </c>
      <c r="F3931" s="5" t="s">
        <v>552</v>
      </c>
      <c r="G3931" s="22">
        <v>0.01</v>
      </c>
      <c r="H3931" s="22">
        <v>0</v>
      </c>
      <c r="I3931" s="22">
        <v>0</v>
      </c>
      <c r="J3931" s="22">
        <v>0</v>
      </c>
      <c r="K3931" s="22">
        <v>0</v>
      </c>
      <c r="L3931" s="22">
        <v>0.01</v>
      </c>
      <c r="M3931" s="10"/>
      <c r="O3931" s="11"/>
    </row>
    <row r="3932" spans="1:15" x14ac:dyDescent="0.25">
      <c r="A3932" s="6"/>
      <c r="B3932" s="5"/>
      <c r="C3932" s="5"/>
      <c r="D3932" s="5" t="s">
        <v>489</v>
      </c>
      <c r="E3932" s="5" t="s">
        <v>490</v>
      </c>
      <c r="F3932" s="5" t="s">
        <v>552</v>
      </c>
      <c r="G3932" s="14">
        <f t="shared" ref="G3932:L3932" si="974">SUBTOTAL(9,G3928:G3931)</f>
        <v>32.909999999999997</v>
      </c>
      <c r="H3932" s="14">
        <f t="shared" si="974"/>
        <v>0</v>
      </c>
      <c r="I3932" s="14">
        <f t="shared" si="974"/>
        <v>0</v>
      </c>
      <c r="J3932" s="14">
        <f t="shared" si="974"/>
        <v>3.95</v>
      </c>
      <c r="K3932" s="14">
        <f t="shared" si="974"/>
        <v>-0.66</v>
      </c>
      <c r="L3932" s="14">
        <f t="shared" si="974"/>
        <v>36.200000000000003</v>
      </c>
      <c r="M3932" s="10">
        <v>3052</v>
      </c>
      <c r="O3932" s="11">
        <f>O3926+1</f>
        <v>933</v>
      </c>
    </row>
    <row r="3933" spans="1:15" s="4" customFormat="1" x14ac:dyDescent="0.25">
      <c r="A3933" s="10"/>
      <c r="B3933"/>
      <c r="C3933"/>
      <c r="D3933"/>
      <c r="E3933"/>
      <c r="F3933"/>
      <c r="G3933" s="21"/>
      <c r="H3933" s="21"/>
      <c r="I3933" s="21"/>
      <c r="J3933" s="21"/>
      <c r="K3933" s="21"/>
      <c r="L3933" s="21"/>
      <c r="M3933" s="10"/>
      <c r="N3933" s="67"/>
      <c r="O3933" s="11"/>
    </row>
    <row r="3934" spans="1:15" x14ac:dyDescent="0.25">
      <c r="A3934" s="6">
        <v>1978</v>
      </c>
      <c r="B3934" s="5" t="s">
        <v>550</v>
      </c>
      <c r="C3934" s="5" t="s">
        <v>17</v>
      </c>
      <c r="D3934" s="5" t="s">
        <v>642</v>
      </c>
      <c r="E3934" s="5" t="s">
        <v>492</v>
      </c>
      <c r="F3934" s="5" t="s">
        <v>551</v>
      </c>
      <c r="G3934" s="22">
        <v>0</v>
      </c>
      <c r="H3934" s="22">
        <v>0</v>
      </c>
      <c r="I3934" s="22">
        <v>0.46</v>
      </c>
      <c r="J3934" s="22">
        <v>0</v>
      </c>
      <c r="K3934" s="22">
        <v>-0.01</v>
      </c>
      <c r="L3934" s="22">
        <v>0.45</v>
      </c>
      <c r="M3934" s="10"/>
      <c r="O3934" s="11"/>
    </row>
    <row r="3935" spans="1:15" x14ac:dyDescent="0.25">
      <c r="A3935" s="6"/>
      <c r="B3935" s="5"/>
      <c r="C3935" s="5"/>
      <c r="D3935" s="5" t="s">
        <v>491</v>
      </c>
      <c r="E3935" s="5" t="s">
        <v>492</v>
      </c>
      <c r="F3935" s="5" t="s">
        <v>551</v>
      </c>
      <c r="G3935" s="14">
        <f t="shared" ref="G3935:L3935" si="975">SUBTOTAL(9,G3934:G3934)</f>
        <v>0</v>
      </c>
      <c r="H3935" s="14">
        <f t="shared" si="975"/>
        <v>0</v>
      </c>
      <c r="I3935" s="14">
        <f t="shared" si="975"/>
        <v>0.46</v>
      </c>
      <c r="J3935" s="14">
        <f t="shared" si="975"/>
        <v>0</v>
      </c>
      <c r="K3935" s="14">
        <f t="shared" si="975"/>
        <v>-0.01</v>
      </c>
      <c r="L3935" s="14">
        <f t="shared" si="975"/>
        <v>0.45</v>
      </c>
      <c r="M3935" s="10">
        <v>3053</v>
      </c>
      <c r="O3935" s="11">
        <f>O3932+1</f>
        <v>934</v>
      </c>
    </row>
    <row r="3936" spans="1:15" s="4" customFormat="1" x14ac:dyDescent="0.25">
      <c r="A3936" s="10"/>
      <c r="B3936"/>
      <c r="C3936"/>
      <c r="D3936"/>
      <c r="E3936"/>
      <c r="F3936"/>
      <c r="G3936" s="21"/>
      <c r="H3936" s="21"/>
      <c r="I3936" s="21"/>
      <c r="J3936" s="21"/>
      <c r="K3936" s="21"/>
      <c r="L3936" s="21"/>
      <c r="M3936" s="10"/>
      <c r="N3936" s="67"/>
      <c r="O3936" s="11"/>
    </row>
    <row r="3937" spans="1:15" s="4" customFormat="1" x14ac:dyDescent="0.25">
      <c r="A3937" s="6">
        <v>1979</v>
      </c>
      <c r="B3937" s="5" t="s">
        <v>555</v>
      </c>
      <c r="C3937" s="5" t="s">
        <v>17</v>
      </c>
      <c r="D3937" s="5" t="s">
        <v>493</v>
      </c>
      <c r="E3937" s="5" t="s">
        <v>494</v>
      </c>
      <c r="F3937" s="5" t="s">
        <v>556</v>
      </c>
      <c r="G3937" s="22">
        <v>0.52</v>
      </c>
      <c r="H3937" s="22">
        <v>0</v>
      </c>
      <c r="I3937" s="22">
        <v>0</v>
      </c>
      <c r="J3937" s="22">
        <v>0</v>
      </c>
      <c r="K3937" s="22">
        <v>-0.01</v>
      </c>
      <c r="L3937" s="22">
        <v>0.51</v>
      </c>
      <c r="M3937" s="10"/>
      <c r="N3937" s="67"/>
      <c r="O3937" s="11"/>
    </row>
    <row r="3938" spans="1:15" x14ac:dyDescent="0.25">
      <c r="A3938" s="6">
        <v>1980</v>
      </c>
      <c r="B3938" s="5" t="s">
        <v>555</v>
      </c>
      <c r="C3938" s="5" t="s">
        <v>13</v>
      </c>
      <c r="D3938" s="5" t="s">
        <v>493</v>
      </c>
      <c r="E3938" s="5" t="s">
        <v>494</v>
      </c>
      <c r="F3938" s="5" t="s">
        <v>556</v>
      </c>
      <c r="G3938" s="22">
        <v>0</v>
      </c>
      <c r="H3938" s="22">
        <v>0</v>
      </c>
      <c r="I3938" s="22">
        <v>0</v>
      </c>
      <c r="J3938" s="22">
        <v>0.06</v>
      </c>
      <c r="K3938" s="22">
        <v>0</v>
      </c>
      <c r="L3938" s="22">
        <v>0.06</v>
      </c>
      <c r="M3938" s="10"/>
      <c r="O3938" s="11"/>
    </row>
    <row r="3939" spans="1:15" x14ac:dyDescent="0.25">
      <c r="A3939" s="6"/>
      <c r="B3939" s="5"/>
      <c r="C3939" s="5"/>
      <c r="D3939" s="5" t="s">
        <v>493</v>
      </c>
      <c r="E3939" s="5" t="s">
        <v>494</v>
      </c>
      <c r="F3939" s="5" t="s">
        <v>556</v>
      </c>
      <c r="G3939" s="14">
        <f t="shared" ref="G3939:L3939" si="976">SUBTOTAL(9,G3937:G3938)</f>
        <v>0.52</v>
      </c>
      <c r="H3939" s="14">
        <f t="shared" si="976"/>
        <v>0</v>
      </c>
      <c r="I3939" s="14">
        <f t="shared" si="976"/>
        <v>0</v>
      </c>
      <c r="J3939" s="14">
        <f t="shared" si="976"/>
        <v>0.06</v>
      </c>
      <c r="K3939" s="14">
        <f t="shared" si="976"/>
        <v>-0.01</v>
      </c>
      <c r="L3939" s="14">
        <f t="shared" si="976"/>
        <v>0.57000000000000006</v>
      </c>
      <c r="M3939" s="10">
        <v>3054</v>
      </c>
      <c r="O3939" s="11">
        <f>O3935+1</f>
        <v>935</v>
      </c>
    </row>
    <row r="3940" spans="1:15" s="4" customFormat="1" x14ac:dyDescent="0.25">
      <c r="A3940" s="10"/>
      <c r="B3940"/>
      <c r="C3940"/>
      <c r="D3940"/>
      <c r="E3940"/>
      <c r="F3940"/>
      <c r="G3940" s="21"/>
      <c r="H3940" s="21"/>
      <c r="I3940" s="21"/>
      <c r="J3940" s="21"/>
      <c r="K3940" s="21"/>
      <c r="L3940" s="21"/>
      <c r="M3940" s="10"/>
      <c r="N3940" s="67"/>
      <c r="O3940" s="11"/>
    </row>
    <row r="3941" spans="1:15" s="4" customFormat="1" x14ac:dyDescent="0.25">
      <c r="A3941" s="6">
        <v>1981</v>
      </c>
      <c r="B3941" s="5" t="s">
        <v>20</v>
      </c>
      <c r="C3941" s="5" t="s">
        <v>13</v>
      </c>
      <c r="D3941" s="5" t="s">
        <v>493</v>
      </c>
      <c r="E3941" s="5" t="s">
        <v>494</v>
      </c>
      <c r="F3941" s="5" t="s">
        <v>21</v>
      </c>
      <c r="G3941" s="22">
        <v>0</v>
      </c>
      <c r="H3941" s="22">
        <v>0</v>
      </c>
      <c r="I3941" s="22">
        <v>0</v>
      </c>
      <c r="J3941" s="22">
        <v>0.02</v>
      </c>
      <c r="K3941" s="22">
        <v>0</v>
      </c>
      <c r="L3941" s="22">
        <v>0.02</v>
      </c>
      <c r="M3941" s="10"/>
      <c r="N3941" s="67"/>
      <c r="O3941" s="11"/>
    </row>
    <row r="3942" spans="1:15" x14ac:dyDescent="0.25">
      <c r="A3942" s="6"/>
      <c r="B3942" s="5"/>
      <c r="C3942" s="5"/>
      <c r="D3942" s="5" t="s">
        <v>493</v>
      </c>
      <c r="E3942" s="5" t="s">
        <v>494</v>
      </c>
      <c r="F3942" s="5" t="s">
        <v>21</v>
      </c>
      <c r="G3942" s="14">
        <f t="shared" ref="G3942:L3942" si="977">SUBTOTAL(9,G3941:G3941)</f>
        <v>0</v>
      </c>
      <c r="H3942" s="14">
        <f t="shared" si="977"/>
        <v>0</v>
      </c>
      <c r="I3942" s="14">
        <f t="shared" si="977"/>
        <v>0</v>
      </c>
      <c r="J3942" s="14">
        <f t="shared" si="977"/>
        <v>0.02</v>
      </c>
      <c r="K3942" s="14">
        <f t="shared" si="977"/>
        <v>0</v>
      </c>
      <c r="L3942" s="14">
        <f t="shared" si="977"/>
        <v>0.02</v>
      </c>
      <c r="M3942" s="10">
        <v>3055</v>
      </c>
      <c r="O3942" s="11">
        <f>O3939+1</f>
        <v>936</v>
      </c>
    </row>
    <row r="3943" spans="1:15" x14ac:dyDescent="0.25">
      <c r="A3943" s="10"/>
      <c r="G3943" s="21"/>
      <c r="H3943" s="21"/>
      <c r="I3943" s="21"/>
      <c r="J3943" s="21"/>
      <c r="K3943" s="21"/>
      <c r="L3943" s="21"/>
      <c r="M3943" s="10"/>
      <c r="O3943" s="11"/>
    </row>
    <row r="3944" spans="1:15" s="4" customFormat="1" x14ac:dyDescent="0.25">
      <c r="A3944" s="6">
        <v>1982</v>
      </c>
      <c r="B3944" s="5" t="s">
        <v>22</v>
      </c>
      <c r="C3944" s="5" t="s">
        <v>13</v>
      </c>
      <c r="D3944" s="5" t="s">
        <v>493</v>
      </c>
      <c r="E3944" s="5" t="s">
        <v>494</v>
      </c>
      <c r="F3944" s="5" t="s">
        <v>23</v>
      </c>
      <c r="G3944" s="22">
        <v>0</v>
      </c>
      <c r="H3944" s="22">
        <v>0</v>
      </c>
      <c r="I3944" s="22">
        <v>0</v>
      </c>
      <c r="J3944" s="22">
        <v>0.02</v>
      </c>
      <c r="K3944" s="22">
        <v>0</v>
      </c>
      <c r="L3944" s="22">
        <v>0.02</v>
      </c>
      <c r="M3944" s="10"/>
      <c r="N3944" s="67"/>
      <c r="O3944" s="11"/>
    </row>
    <row r="3945" spans="1:15" s="4" customFormat="1" x14ac:dyDescent="0.25">
      <c r="A3945" s="6"/>
      <c r="B3945" s="5"/>
      <c r="C3945" s="5"/>
      <c r="D3945" s="5" t="s">
        <v>493</v>
      </c>
      <c r="E3945" s="5" t="s">
        <v>494</v>
      </c>
      <c r="F3945" s="5" t="s">
        <v>23</v>
      </c>
      <c r="G3945" s="14">
        <f t="shared" ref="G3945:L3945" si="978">SUBTOTAL(9,G3944:G3944)</f>
        <v>0</v>
      </c>
      <c r="H3945" s="14">
        <f t="shared" si="978"/>
        <v>0</v>
      </c>
      <c r="I3945" s="14">
        <f t="shared" si="978"/>
        <v>0</v>
      </c>
      <c r="J3945" s="14">
        <f t="shared" si="978"/>
        <v>0.02</v>
      </c>
      <c r="K3945" s="14">
        <f t="shared" si="978"/>
        <v>0</v>
      </c>
      <c r="L3945" s="14">
        <f t="shared" si="978"/>
        <v>0.02</v>
      </c>
      <c r="M3945" s="10">
        <v>3056</v>
      </c>
      <c r="N3945" s="67"/>
      <c r="O3945" s="11">
        <f>O3942+1</f>
        <v>937</v>
      </c>
    </row>
    <row r="3946" spans="1:15" x14ac:dyDescent="0.25">
      <c r="A3946" s="10"/>
      <c r="G3946" s="21"/>
      <c r="H3946" s="21"/>
      <c r="I3946" s="21"/>
      <c r="J3946" s="21"/>
      <c r="K3946" s="21"/>
      <c r="L3946" s="21"/>
      <c r="M3946" s="10"/>
      <c r="O3946" s="11"/>
    </row>
    <row r="3947" spans="1:15" x14ac:dyDescent="0.25">
      <c r="A3947" s="6">
        <v>1983</v>
      </c>
      <c r="B3947" s="5" t="s">
        <v>22</v>
      </c>
      <c r="C3947" s="5" t="s">
        <v>13</v>
      </c>
      <c r="D3947" s="5" t="s">
        <v>493</v>
      </c>
      <c r="E3947" s="5" t="s">
        <v>494</v>
      </c>
      <c r="F3947" s="5" t="s">
        <v>24</v>
      </c>
      <c r="G3947" s="22">
        <v>0</v>
      </c>
      <c r="H3947" s="22">
        <v>0</v>
      </c>
      <c r="I3947" s="22">
        <v>0</v>
      </c>
      <c r="J3947" s="22">
        <v>0</v>
      </c>
      <c r="K3947" s="22">
        <v>0</v>
      </c>
      <c r="L3947" s="22">
        <v>0</v>
      </c>
      <c r="M3947" s="10"/>
      <c r="O3947" s="11"/>
    </row>
    <row r="3948" spans="1:15" s="4" customFormat="1" x14ac:dyDescent="0.25">
      <c r="A3948" s="28"/>
      <c r="B3948" s="29"/>
      <c r="C3948" s="29"/>
      <c r="D3948" s="29"/>
      <c r="E3948" s="29"/>
      <c r="F3948" s="29" t="s">
        <v>660</v>
      </c>
      <c r="G3948" s="31">
        <f t="shared" ref="G3948:L3948" si="979">SUBTOTAL(9,G3947:G3947)</f>
        <v>0</v>
      </c>
      <c r="H3948" s="31">
        <f t="shared" si="979"/>
        <v>0</v>
      </c>
      <c r="I3948" s="31">
        <f t="shared" si="979"/>
        <v>0</v>
      </c>
      <c r="J3948" s="31">
        <f t="shared" si="979"/>
        <v>0</v>
      </c>
      <c r="K3948" s="31">
        <f t="shared" si="979"/>
        <v>0</v>
      </c>
      <c r="L3948" s="31">
        <f t="shared" si="979"/>
        <v>0</v>
      </c>
      <c r="M3948" s="42"/>
      <c r="N3948" s="67"/>
      <c r="O3948" s="11"/>
    </row>
    <row r="3949" spans="1:15" x14ac:dyDescent="0.25">
      <c r="A3949" s="10"/>
      <c r="G3949" s="21"/>
      <c r="H3949" s="21"/>
      <c r="I3949" s="21"/>
      <c r="J3949" s="21"/>
      <c r="K3949" s="21"/>
      <c r="L3949" s="21"/>
      <c r="M3949" s="10"/>
      <c r="O3949" s="11"/>
    </row>
    <row r="3950" spans="1:15" x14ac:dyDescent="0.25">
      <c r="A3950" s="6">
        <v>1984</v>
      </c>
      <c r="B3950" s="5" t="s">
        <v>550</v>
      </c>
      <c r="C3950" s="5" t="s">
        <v>13</v>
      </c>
      <c r="D3950" s="5" t="s">
        <v>493</v>
      </c>
      <c r="E3950" s="5" t="s">
        <v>494</v>
      </c>
      <c r="F3950" s="5" t="s">
        <v>551</v>
      </c>
      <c r="G3950" s="22">
        <v>0</v>
      </c>
      <c r="H3950" s="22">
        <v>0</v>
      </c>
      <c r="I3950" s="22">
        <v>0</v>
      </c>
      <c r="J3950" s="22">
        <v>0.2</v>
      </c>
      <c r="K3950" s="22">
        <v>0</v>
      </c>
      <c r="L3950" s="22">
        <v>0.2</v>
      </c>
      <c r="M3950" s="10"/>
      <c r="O3950" s="11"/>
    </row>
    <row r="3951" spans="1:15" s="4" customFormat="1" x14ac:dyDescent="0.25">
      <c r="A3951" s="6">
        <v>1985</v>
      </c>
      <c r="B3951" s="5" t="s">
        <v>550</v>
      </c>
      <c r="C3951" s="5" t="s">
        <v>17</v>
      </c>
      <c r="D3951" s="5" t="s">
        <v>493</v>
      </c>
      <c r="E3951" s="5" t="s">
        <v>494</v>
      </c>
      <c r="F3951" s="5" t="s">
        <v>551</v>
      </c>
      <c r="G3951" s="22">
        <v>1.64</v>
      </c>
      <c r="H3951" s="22">
        <v>0</v>
      </c>
      <c r="I3951" s="22">
        <v>0</v>
      </c>
      <c r="J3951" s="22">
        <v>0</v>
      </c>
      <c r="K3951" s="22">
        <v>-0.03</v>
      </c>
      <c r="L3951" s="22">
        <v>1.61</v>
      </c>
      <c r="M3951" s="10"/>
      <c r="N3951" s="67"/>
      <c r="O3951" s="11"/>
    </row>
    <row r="3952" spans="1:15" s="4" customFormat="1" x14ac:dyDescent="0.25">
      <c r="A3952" s="6"/>
      <c r="B3952" s="5"/>
      <c r="C3952" s="5"/>
      <c r="D3952" s="5" t="s">
        <v>493</v>
      </c>
      <c r="E3952" s="5" t="s">
        <v>494</v>
      </c>
      <c r="F3952" s="5" t="s">
        <v>551</v>
      </c>
      <c r="G3952" s="14">
        <f t="shared" ref="G3952:L3952" si="980">SUBTOTAL(9,G3950:G3951)</f>
        <v>1.64</v>
      </c>
      <c r="H3952" s="14">
        <f t="shared" si="980"/>
        <v>0</v>
      </c>
      <c r="I3952" s="14">
        <f t="shared" si="980"/>
        <v>0</v>
      </c>
      <c r="J3952" s="14">
        <f t="shared" si="980"/>
        <v>0.2</v>
      </c>
      <c r="K3952" s="14">
        <f t="shared" si="980"/>
        <v>-0.03</v>
      </c>
      <c r="L3952" s="14">
        <f t="shared" si="980"/>
        <v>1.81</v>
      </c>
      <c r="M3952" s="10">
        <v>3057</v>
      </c>
      <c r="N3952" s="67"/>
      <c r="O3952" s="11">
        <f>O3945+1</f>
        <v>938</v>
      </c>
    </row>
    <row r="3953" spans="1:15" x14ac:dyDescent="0.25">
      <c r="A3953" s="10"/>
      <c r="G3953" s="21"/>
      <c r="H3953" s="21"/>
      <c r="I3953" s="21"/>
      <c r="J3953" s="21"/>
      <c r="K3953" s="21"/>
      <c r="L3953" s="21"/>
      <c r="M3953" s="10"/>
      <c r="O3953" s="11"/>
    </row>
    <row r="3954" spans="1:15" x14ac:dyDescent="0.25">
      <c r="A3954" s="6">
        <v>1986</v>
      </c>
      <c r="B3954" s="5" t="s">
        <v>18</v>
      </c>
      <c r="C3954" s="5" t="s">
        <v>17</v>
      </c>
      <c r="D3954" s="5" t="s">
        <v>495</v>
      </c>
      <c r="E3954" s="5" t="s">
        <v>496</v>
      </c>
      <c r="F3954" s="5" t="s">
        <v>19</v>
      </c>
      <c r="G3954" s="22">
        <v>0</v>
      </c>
      <c r="H3954" s="22">
        <v>0</v>
      </c>
      <c r="I3954" s="22">
        <v>0</v>
      </c>
      <c r="J3954" s="22">
        <v>0</v>
      </c>
      <c r="K3954" s="22">
        <v>0</v>
      </c>
      <c r="L3954" s="22">
        <v>0</v>
      </c>
      <c r="M3954" s="10"/>
      <c r="O3954" s="11"/>
    </row>
    <row r="3955" spans="1:15" s="4" customFormat="1" x14ac:dyDescent="0.25">
      <c r="A3955" s="28"/>
      <c r="B3955" s="29"/>
      <c r="C3955" s="29"/>
      <c r="D3955" s="29"/>
      <c r="E3955" s="29"/>
      <c r="F3955" s="29" t="s">
        <v>657</v>
      </c>
      <c r="G3955" s="31">
        <f t="shared" ref="G3955:L3955" si="981">SUBTOTAL(9,G3954:G3954)</f>
        <v>0</v>
      </c>
      <c r="H3955" s="31">
        <f t="shared" si="981"/>
        <v>0</v>
      </c>
      <c r="I3955" s="31">
        <f t="shared" si="981"/>
        <v>0</v>
      </c>
      <c r="J3955" s="31">
        <f t="shared" si="981"/>
        <v>0</v>
      </c>
      <c r="K3955" s="31">
        <f t="shared" si="981"/>
        <v>0</v>
      </c>
      <c r="L3955" s="31">
        <f t="shared" si="981"/>
        <v>0</v>
      </c>
      <c r="M3955" s="42"/>
      <c r="N3955" s="67"/>
      <c r="O3955" s="11"/>
    </row>
    <row r="3956" spans="1:15" s="4" customFormat="1" x14ac:dyDescent="0.25">
      <c r="A3956" s="10"/>
      <c r="B3956"/>
      <c r="C3956"/>
      <c r="D3956"/>
      <c r="E3956"/>
      <c r="F3956"/>
      <c r="G3956" s="21"/>
      <c r="H3956" s="21"/>
      <c r="I3956" s="21"/>
      <c r="J3956" s="21"/>
      <c r="K3956" s="21"/>
      <c r="L3956" s="21"/>
      <c r="M3956" s="10"/>
      <c r="N3956" s="67"/>
      <c r="O3956" s="11"/>
    </row>
    <row r="3957" spans="1:15" x14ac:dyDescent="0.25">
      <c r="A3957" s="6">
        <v>1987</v>
      </c>
      <c r="B3957" s="5" t="s">
        <v>33</v>
      </c>
      <c r="C3957" s="5" t="s">
        <v>17</v>
      </c>
      <c r="D3957" s="5" t="s">
        <v>643</v>
      </c>
      <c r="E3957" s="5" t="s">
        <v>496</v>
      </c>
      <c r="F3957" s="5" t="s">
        <v>34</v>
      </c>
      <c r="G3957" s="22">
        <v>0</v>
      </c>
      <c r="H3957" s="22">
        <v>0</v>
      </c>
      <c r="I3957" s="22">
        <v>7.07</v>
      </c>
      <c r="J3957" s="22">
        <v>0</v>
      </c>
      <c r="K3957" s="22">
        <v>-0.14000000000000001</v>
      </c>
      <c r="L3957" s="22">
        <v>6.93</v>
      </c>
      <c r="M3957" s="10"/>
      <c r="O3957" s="11"/>
    </row>
    <row r="3958" spans="1:15" x14ac:dyDescent="0.25">
      <c r="A3958" s="6">
        <v>1988</v>
      </c>
      <c r="B3958" s="5" t="s">
        <v>33</v>
      </c>
      <c r="C3958" s="5" t="s">
        <v>49</v>
      </c>
      <c r="D3958" s="5" t="s">
        <v>643</v>
      </c>
      <c r="E3958" s="5" t="s">
        <v>496</v>
      </c>
      <c r="F3958" s="5" t="s">
        <v>34</v>
      </c>
      <c r="G3958" s="22">
        <v>0</v>
      </c>
      <c r="H3958" s="22">
        <v>0</v>
      </c>
      <c r="I3958" s="22">
        <v>0.01</v>
      </c>
      <c r="J3958" s="22">
        <v>0</v>
      </c>
      <c r="K3958" s="22">
        <v>0</v>
      </c>
      <c r="L3958" s="22">
        <v>0.01</v>
      </c>
      <c r="M3958" s="10"/>
      <c r="N3958" s="70">
        <v>0.01</v>
      </c>
      <c r="O3958" s="11"/>
    </row>
    <row r="3959" spans="1:15" s="4" customFormat="1" x14ac:dyDescent="0.25">
      <c r="A3959" s="6"/>
      <c r="B3959" s="5"/>
      <c r="C3959" s="5"/>
      <c r="D3959" s="5" t="s">
        <v>495</v>
      </c>
      <c r="E3959" s="5" t="s">
        <v>496</v>
      </c>
      <c r="F3959" s="5" t="s">
        <v>34</v>
      </c>
      <c r="G3959" s="14">
        <f t="shared" ref="G3959:L3959" si="982">SUBTOTAL(9,G3957:G3958)</f>
        <v>0</v>
      </c>
      <c r="H3959" s="14">
        <f t="shared" si="982"/>
        <v>0</v>
      </c>
      <c r="I3959" s="14">
        <f t="shared" si="982"/>
        <v>7.08</v>
      </c>
      <c r="J3959" s="14">
        <f t="shared" si="982"/>
        <v>0</v>
      </c>
      <c r="K3959" s="14">
        <f t="shared" si="982"/>
        <v>-0.14000000000000001</v>
      </c>
      <c r="L3959" s="14">
        <f t="shared" si="982"/>
        <v>6.9399999999999995</v>
      </c>
      <c r="M3959" s="10">
        <v>3058</v>
      </c>
      <c r="N3959" s="71">
        <f>SUBTOTAL(9,N3957:N3958)</f>
        <v>0.01</v>
      </c>
      <c r="O3959" s="11">
        <f>O3952+1</f>
        <v>939</v>
      </c>
    </row>
    <row r="3960" spans="1:15" s="4" customFormat="1" x14ac:dyDescent="0.25">
      <c r="A3960" s="10"/>
      <c r="B3960"/>
      <c r="C3960"/>
      <c r="D3960"/>
      <c r="E3960"/>
      <c r="F3960"/>
      <c r="G3960" s="21"/>
      <c r="H3960" s="21"/>
      <c r="I3960" s="21"/>
      <c r="J3960" s="21"/>
      <c r="K3960" s="21"/>
      <c r="L3960" s="21"/>
      <c r="M3960" s="10"/>
      <c r="N3960" s="67"/>
      <c r="O3960" s="11"/>
    </row>
    <row r="3961" spans="1:15" x14ac:dyDescent="0.25">
      <c r="A3961" s="6">
        <v>1989</v>
      </c>
      <c r="B3961" s="5" t="s">
        <v>584</v>
      </c>
      <c r="C3961" s="5" t="s">
        <v>17</v>
      </c>
      <c r="D3961" s="5" t="s">
        <v>643</v>
      </c>
      <c r="E3961" s="5" t="s">
        <v>496</v>
      </c>
      <c r="F3961" s="5" t="s">
        <v>585</v>
      </c>
      <c r="G3961" s="22">
        <v>0</v>
      </c>
      <c r="H3961" s="22">
        <v>0</v>
      </c>
      <c r="I3961" s="22">
        <v>7.07</v>
      </c>
      <c r="J3961" s="22">
        <v>0</v>
      </c>
      <c r="K3961" s="22">
        <v>-0.14000000000000001</v>
      </c>
      <c r="L3961" s="22">
        <v>6.93</v>
      </c>
      <c r="M3961" s="10"/>
      <c r="O3961" s="11"/>
    </row>
    <row r="3962" spans="1:15" x14ac:dyDescent="0.25">
      <c r="A3962" s="6">
        <v>1990</v>
      </c>
      <c r="B3962" s="5" t="s">
        <v>584</v>
      </c>
      <c r="C3962" s="5" t="s">
        <v>49</v>
      </c>
      <c r="D3962" s="5" t="s">
        <v>643</v>
      </c>
      <c r="E3962" s="5" t="s">
        <v>496</v>
      </c>
      <c r="F3962" s="5" t="s">
        <v>585</v>
      </c>
      <c r="G3962" s="22">
        <v>0</v>
      </c>
      <c r="H3962" s="22">
        <v>0</v>
      </c>
      <c r="I3962" s="22">
        <v>0.01</v>
      </c>
      <c r="J3962" s="22">
        <v>0</v>
      </c>
      <c r="K3962" s="22">
        <v>0</v>
      </c>
      <c r="L3962" s="22">
        <v>0.01</v>
      </c>
      <c r="M3962" s="10"/>
      <c r="N3962" s="70">
        <v>0.01</v>
      </c>
      <c r="O3962" s="11"/>
    </row>
    <row r="3963" spans="1:15" s="4" customFormat="1" x14ac:dyDescent="0.25">
      <c r="A3963" s="6"/>
      <c r="B3963" s="5"/>
      <c r="C3963" s="5"/>
      <c r="D3963" s="5" t="s">
        <v>495</v>
      </c>
      <c r="E3963" s="5" t="s">
        <v>496</v>
      </c>
      <c r="F3963" s="5" t="s">
        <v>585</v>
      </c>
      <c r="G3963" s="14">
        <f t="shared" ref="G3963:L3963" si="983">SUBTOTAL(9,G3961:G3962)</f>
        <v>0</v>
      </c>
      <c r="H3963" s="14">
        <f t="shared" si="983"/>
        <v>0</v>
      </c>
      <c r="I3963" s="14">
        <f t="shared" si="983"/>
        <v>7.08</v>
      </c>
      <c r="J3963" s="14">
        <f t="shared" si="983"/>
        <v>0</v>
      </c>
      <c r="K3963" s="14">
        <f t="shared" si="983"/>
        <v>-0.14000000000000001</v>
      </c>
      <c r="L3963" s="14">
        <f t="shared" si="983"/>
        <v>6.9399999999999995</v>
      </c>
      <c r="M3963" s="10">
        <v>3059</v>
      </c>
      <c r="N3963" s="71">
        <f>SUBTOTAL(9,N3961:N3962)</f>
        <v>0.01</v>
      </c>
      <c r="O3963" s="11">
        <f>O3959+1</f>
        <v>940</v>
      </c>
    </row>
    <row r="3964" spans="1:15" s="4" customFormat="1" x14ac:dyDescent="0.25">
      <c r="A3964" s="10"/>
      <c r="B3964"/>
      <c r="C3964"/>
      <c r="D3964"/>
      <c r="E3964"/>
      <c r="F3964"/>
      <c r="G3964" s="21"/>
      <c r="H3964" s="21"/>
      <c r="I3964" s="21"/>
      <c r="J3964" s="21"/>
      <c r="K3964" s="21"/>
      <c r="L3964" s="21"/>
      <c r="M3964" s="10"/>
      <c r="N3964" s="67"/>
      <c r="O3964" s="11"/>
    </row>
    <row r="3965" spans="1:15" x14ac:dyDescent="0.25">
      <c r="A3965" s="6">
        <v>1991</v>
      </c>
      <c r="B3965" s="5" t="s">
        <v>22</v>
      </c>
      <c r="C3965" s="5" t="s">
        <v>17</v>
      </c>
      <c r="D3965" s="5" t="s">
        <v>643</v>
      </c>
      <c r="E3965" s="5" t="s">
        <v>496</v>
      </c>
      <c r="F3965" s="5" t="s">
        <v>23</v>
      </c>
      <c r="G3965" s="22">
        <v>0</v>
      </c>
      <c r="H3965" s="22">
        <v>0</v>
      </c>
      <c r="I3965" s="22">
        <v>9.69</v>
      </c>
      <c r="J3965" s="22">
        <v>0</v>
      </c>
      <c r="K3965" s="22">
        <v>-0.19</v>
      </c>
      <c r="L3965" s="22">
        <v>9.5</v>
      </c>
      <c r="M3965" s="10"/>
      <c r="O3965" s="11"/>
    </row>
    <row r="3966" spans="1:15" x14ac:dyDescent="0.25">
      <c r="A3966" s="6">
        <v>1992</v>
      </c>
      <c r="B3966" s="5" t="s">
        <v>22</v>
      </c>
      <c r="C3966" s="5" t="s">
        <v>49</v>
      </c>
      <c r="D3966" s="5" t="s">
        <v>643</v>
      </c>
      <c r="E3966" s="5" t="s">
        <v>496</v>
      </c>
      <c r="F3966" s="5" t="s">
        <v>23</v>
      </c>
      <c r="G3966" s="22">
        <v>0</v>
      </c>
      <c r="H3966" s="22">
        <v>0</v>
      </c>
      <c r="I3966" s="22">
        <v>0.01</v>
      </c>
      <c r="J3966" s="22">
        <v>0</v>
      </c>
      <c r="K3966" s="22">
        <v>0</v>
      </c>
      <c r="L3966" s="22">
        <v>0.01</v>
      </c>
      <c r="M3966" s="10"/>
      <c r="N3966" s="70">
        <v>0.01</v>
      </c>
      <c r="O3966" s="11"/>
    </row>
    <row r="3967" spans="1:15" s="4" customFormat="1" x14ac:dyDescent="0.25">
      <c r="A3967" s="6">
        <v>1993</v>
      </c>
      <c r="B3967" s="5" t="s">
        <v>22</v>
      </c>
      <c r="C3967" s="5" t="s">
        <v>17</v>
      </c>
      <c r="D3967" s="5" t="s">
        <v>643</v>
      </c>
      <c r="E3967" s="5" t="s">
        <v>496</v>
      </c>
      <c r="F3967" s="5" t="s">
        <v>23</v>
      </c>
      <c r="G3967" s="22">
        <v>0</v>
      </c>
      <c r="H3967" s="22">
        <v>0</v>
      </c>
      <c r="I3967" s="22">
        <v>33.79</v>
      </c>
      <c r="J3967" s="22">
        <v>0</v>
      </c>
      <c r="K3967" s="22">
        <v>-0.68</v>
      </c>
      <c r="L3967" s="22">
        <v>33.11</v>
      </c>
      <c r="M3967" s="10"/>
      <c r="N3967" s="67"/>
      <c r="O3967" s="11"/>
    </row>
    <row r="3968" spans="1:15" s="4" customFormat="1" x14ac:dyDescent="0.25">
      <c r="A3968" s="6">
        <v>1994</v>
      </c>
      <c r="B3968" s="5" t="s">
        <v>22</v>
      </c>
      <c r="C3968" s="5" t="s">
        <v>49</v>
      </c>
      <c r="D3968" s="5" t="s">
        <v>643</v>
      </c>
      <c r="E3968" s="5" t="s">
        <v>496</v>
      </c>
      <c r="F3968" s="5" t="s">
        <v>23</v>
      </c>
      <c r="G3968" s="22">
        <v>0</v>
      </c>
      <c r="H3968" s="22">
        <v>0</v>
      </c>
      <c r="I3968" s="22">
        <v>0.12</v>
      </c>
      <c r="J3968" s="22">
        <v>0</v>
      </c>
      <c r="K3968" s="22">
        <v>0</v>
      </c>
      <c r="L3968" s="22">
        <v>0.12</v>
      </c>
      <c r="M3968" s="10"/>
      <c r="N3968" s="70">
        <v>0.12</v>
      </c>
      <c r="O3968" s="11"/>
    </row>
    <row r="3969" spans="1:15" x14ac:dyDescent="0.25">
      <c r="A3969" s="6">
        <v>1995</v>
      </c>
      <c r="B3969" s="5" t="s">
        <v>22</v>
      </c>
      <c r="C3969" s="5" t="s">
        <v>17</v>
      </c>
      <c r="D3969" s="5" t="s">
        <v>643</v>
      </c>
      <c r="E3969" s="5" t="s">
        <v>496</v>
      </c>
      <c r="F3969" s="5" t="s">
        <v>23</v>
      </c>
      <c r="G3969" s="22">
        <v>0</v>
      </c>
      <c r="H3969" s="22">
        <v>0</v>
      </c>
      <c r="I3969" s="22">
        <v>0.12</v>
      </c>
      <c r="J3969" s="22">
        <v>0</v>
      </c>
      <c r="K3969" s="22">
        <v>0</v>
      </c>
      <c r="L3969" s="22">
        <v>0.12</v>
      </c>
      <c r="M3969" s="10"/>
      <c r="O3969" s="11"/>
    </row>
    <row r="3970" spans="1:15" x14ac:dyDescent="0.25">
      <c r="A3970" s="6">
        <v>1996</v>
      </c>
      <c r="B3970" s="5" t="s">
        <v>22</v>
      </c>
      <c r="C3970" s="5" t="s">
        <v>17</v>
      </c>
      <c r="D3970" s="5" t="s">
        <v>643</v>
      </c>
      <c r="E3970" s="5" t="s">
        <v>496</v>
      </c>
      <c r="F3970" s="5" t="s">
        <v>23</v>
      </c>
      <c r="G3970" s="22">
        <v>0</v>
      </c>
      <c r="H3970" s="22">
        <v>0</v>
      </c>
      <c r="I3970" s="22">
        <v>0.01</v>
      </c>
      <c r="J3970" s="22">
        <v>0</v>
      </c>
      <c r="K3970" s="22">
        <v>0</v>
      </c>
      <c r="L3970" s="22">
        <v>0.01</v>
      </c>
      <c r="M3970" s="10"/>
      <c r="O3970" s="11"/>
    </row>
    <row r="3971" spans="1:15" s="4" customFormat="1" x14ac:dyDescent="0.25">
      <c r="A3971" s="6"/>
      <c r="B3971" s="5"/>
      <c r="C3971" s="5"/>
      <c r="D3971" s="5" t="s">
        <v>495</v>
      </c>
      <c r="E3971" s="5" t="s">
        <v>496</v>
      </c>
      <c r="F3971" s="5" t="s">
        <v>23</v>
      </c>
      <c r="G3971" s="14">
        <f t="shared" ref="G3971:L3971" si="984">SUBTOTAL(9,G3965:G3970)</f>
        <v>0</v>
      </c>
      <c r="H3971" s="14">
        <f t="shared" si="984"/>
        <v>0</v>
      </c>
      <c r="I3971" s="14">
        <f t="shared" si="984"/>
        <v>43.739999999999988</v>
      </c>
      <c r="J3971" s="14">
        <f t="shared" si="984"/>
        <v>0</v>
      </c>
      <c r="K3971" s="14">
        <f t="shared" si="984"/>
        <v>-0.87000000000000011</v>
      </c>
      <c r="L3971" s="14">
        <f t="shared" si="984"/>
        <v>42.86999999999999</v>
      </c>
      <c r="M3971" s="10">
        <v>3060</v>
      </c>
      <c r="N3971" s="71">
        <f>SUBTOTAL(9,N3965:N3970)</f>
        <v>0.13</v>
      </c>
      <c r="O3971" s="11">
        <f>O3963+1</f>
        <v>941</v>
      </c>
    </row>
    <row r="3972" spans="1:15" x14ac:dyDescent="0.25">
      <c r="A3972" s="10"/>
      <c r="G3972" s="21"/>
      <c r="H3972" s="21"/>
      <c r="I3972" s="21"/>
      <c r="J3972" s="21"/>
      <c r="K3972" s="21"/>
      <c r="L3972" s="21"/>
      <c r="M3972" s="10"/>
      <c r="O3972" s="11"/>
    </row>
    <row r="3973" spans="1:15" x14ac:dyDescent="0.25">
      <c r="A3973" s="6">
        <v>1997</v>
      </c>
      <c r="B3973" s="5" t="s">
        <v>22</v>
      </c>
      <c r="C3973" s="5" t="s">
        <v>17</v>
      </c>
      <c r="D3973" s="5" t="s">
        <v>643</v>
      </c>
      <c r="E3973" s="5" t="s">
        <v>496</v>
      </c>
      <c r="F3973" s="5" t="s">
        <v>24</v>
      </c>
      <c r="G3973" s="22">
        <v>0</v>
      </c>
      <c r="H3973" s="22">
        <v>0</v>
      </c>
      <c r="I3973" s="22">
        <v>0.02</v>
      </c>
      <c r="J3973" s="22">
        <v>0</v>
      </c>
      <c r="K3973" s="22">
        <v>0</v>
      </c>
      <c r="L3973" s="22">
        <v>0.02</v>
      </c>
      <c r="M3973" s="10"/>
      <c r="O3973" s="11"/>
    </row>
    <row r="3974" spans="1:15" s="4" customFormat="1" x14ac:dyDescent="0.25">
      <c r="A3974" s="6">
        <v>1998</v>
      </c>
      <c r="B3974" s="5" t="s">
        <v>22</v>
      </c>
      <c r="C3974" s="5" t="s">
        <v>17</v>
      </c>
      <c r="D3974" s="5" t="s">
        <v>643</v>
      </c>
      <c r="E3974" s="5" t="s">
        <v>496</v>
      </c>
      <c r="F3974" s="5" t="s">
        <v>24</v>
      </c>
      <c r="G3974" s="22">
        <v>0</v>
      </c>
      <c r="H3974" s="22">
        <v>0</v>
      </c>
      <c r="I3974" s="22">
        <v>7.0000000000000007E-2</v>
      </c>
      <c r="J3974" s="22">
        <v>0</v>
      </c>
      <c r="K3974" s="22">
        <v>0</v>
      </c>
      <c r="L3974" s="22">
        <v>7.0000000000000007E-2</v>
      </c>
      <c r="M3974" s="10"/>
      <c r="N3974" s="67"/>
      <c r="O3974" s="11"/>
    </row>
    <row r="3975" spans="1:15" x14ac:dyDescent="0.25">
      <c r="A3975" s="6">
        <v>1999</v>
      </c>
      <c r="B3975" s="5" t="s">
        <v>22</v>
      </c>
      <c r="C3975" s="5" t="s">
        <v>17</v>
      </c>
      <c r="D3975" s="5" t="s">
        <v>643</v>
      </c>
      <c r="E3975" s="5" t="s">
        <v>496</v>
      </c>
      <c r="F3975" s="5" t="s">
        <v>24</v>
      </c>
      <c r="G3975" s="22">
        <v>0</v>
      </c>
      <c r="H3975" s="22">
        <v>0</v>
      </c>
      <c r="I3975" s="22">
        <v>0</v>
      </c>
      <c r="J3975" s="22">
        <v>0</v>
      </c>
      <c r="K3975" s="22">
        <v>0</v>
      </c>
      <c r="L3975" s="22">
        <v>0</v>
      </c>
      <c r="M3975" s="10"/>
      <c r="O3975" s="11"/>
    </row>
    <row r="3976" spans="1:15" x14ac:dyDescent="0.25">
      <c r="A3976" s="6">
        <v>2000</v>
      </c>
      <c r="B3976" s="5" t="s">
        <v>22</v>
      </c>
      <c r="C3976" s="5" t="s">
        <v>17</v>
      </c>
      <c r="D3976" s="5" t="s">
        <v>643</v>
      </c>
      <c r="E3976" s="5" t="s">
        <v>496</v>
      </c>
      <c r="F3976" s="5" t="s">
        <v>24</v>
      </c>
      <c r="G3976" s="22">
        <v>0</v>
      </c>
      <c r="H3976" s="22">
        <v>0</v>
      </c>
      <c r="I3976" s="22">
        <v>0</v>
      </c>
      <c r="J3976" s="22">
        <v>0</v>
      </c>
      <c r="K3976" s="22">
        <v>0</v>
      </c>
      <c r="L3976" s="22">
        <v>0</v>
      </c>
      <c r="M3976" s="10"/>
      <c r="O3976" s="11"/>
    </row>
    <row r="3977" spans="1:15" s="4" customFormat="1" x14ac:dyDescent="0.25">
      <c r="A3977" s="6"/>
      <c r="B3977" s="5"/>
      <c r="C3977" s="5"/>
      <c r="D3977" s="5" t="s">
        <v>495</v>
      </c>
      <c r="E3977" s="5" t="s">
        <v>496</v>
      </c>
      <c r="F3977" s="5" t="s">
        <v>24</v>
      </c>
      <c r="G3977" s="14">
        <f t="shared" ref="G3977:L3977" si="985">SUBTOTAL(9,G3973:G3976)</f>
        <v>0</v>
      </c>
      <c r="H3977" s="14">
        <f t="shared" si="985"/>
        <v>0</v>
      </c>
      <c r="I3977" s="14">
        <f t="shared" si="985"/>
        <v>9.0000000000000011E-2</v>
      </c>
      <c r="J3977" s="14">
        <f t="shared" si="985"/>
        <v>0</v>
      </c>
      <c r="K3977" s="14">
        <f t="shared" si="985"/>
        <v>0</v>
      </c>
      <c r="L3977" s="14">
        <f t="shared" si="985"/>
        <v>9.0000000000000011E-2</v>
      </c>
      <c r="M3977" s="10">
        <v>3061</v>
      </c>
      <c r="N3977" s="67"/>
      <c r="O3977" s="11">
        <f>O3971+1</f>
        <v>942</v>
      </c>
    </row>
    <row r="3978" spans="1:15" s="4" customFormat="1" x14ac:dyDescent="0.25">
      <c r="A3978" s="10"/>
      <c r="B3978"/>
      <c r="C3978"/>
      <c r="D3978"/>
      <c r="E3978"/>
      <c r="F3978"/>
      <c r="G3978" s="21"/>
      <c r="H3978" s="21"/>
      <c r="I3978" s="21"/>
      <c r="J3978" s="21"/>
      <c r="K3978" s="21"/>
      <c r="L3978" s="21"/>
      <c r="M3978" s="10"/>
      <c r="N3978" s="67"/>
      <c r="O3978" s="11"/>
    </row>
    <row r="3979" spans="1:15" x14ac:dyDescent="0.25">
      <c r="A3979" s="6">
        <v>2001</v>
      </c>
      <c r="B3979" s="5" t="s">
        <v>18</v>
      </c>
      <c r="C3979" s="5" t="s">
        <v>17</v>
      </c>
      <c r="D3979" s="5" t="s">
        <v>497</v>
      </c>
      <c r="E3979" s="5" t="s">
        <v>498</v>
      </c>
      <c r="F3979" s="5" t="s">
        <v>19</v>
      </c>
      <c r="G3979" s="22">
        <v>0.05</v>
      </c>
      <c r="H3979" s="22">
        <v>0</v>
      </c>
      <c r="I3979" s="22">
        <v>0</v>
      </c>
      <c r="J3979" s="22">
        <v>0</v>
      </c>
      <c r="K3979" s="22">
        <v>-0.05</v>
      </c>
      <c r="L3979" s="22">
        <v>0</v>
      </c>
      <c r="M3979" s="10"/>
      <c r="O3979" s="11"/>
    </row>
    <row r="3980" spans="1:15" x14ac:dyDescent="0.25">
      <c r="A3980" s="18"/>
      <c r="B3980" s="19"/>
      <c r="C3980" s="19"/>
      <c r="D3980" s="5" t="s">
        <v>497</v>
      </c>
      <c r="E3980" s="5" t="s">
        <v>498</v>
      </c>
      <c r="F3980" s="5" t="s">
        <v>19</v>
      </c>
      <c r="G3980" s="51">
        <f t="shared" ref="G3980:L3980" si="986">SUBTOTAL(9,G3979:G3979)</f>
        <v>0.05</v>
      </c>
      <c r="H3980" s="51">
        <f t="shared" si="986"/>
        <v>0</v>
      </c>
      <c r="I3980" s="51">
        <f t="shared" si="986"/>
        <v>0</v>
      </c>
      <c r="J3980" s="51">
        <f t="shared" si="986"/>
        <v>0</v>
      </c>
      <c r="K3980" s="51">
        <f t="shared" si="986"/>
        <v>-0.05</v>
      </c>
      <c r="L3980" s="51">
        <f t="shared" si="986"/>
        <v>0</v>
      </c>
      <c r="M3980" s="15">
        <v>3062</v>
      </c>
      <c r="O3980" s="11">
        <f>O3977+1</f>
        <v>943</v>
      </c>
    </row>
    <row r="3981" spans="1:15" s="4" customFormat="1" x14ac:dyDescent="0.25">
      <c r="A3981" s="10"/>
      <c r="B3981"/>
      <c r="C3981"/>
      <c r="D3981"/>
      <c r="E3981"/>
      <c r="F3981"/>
      <c r="G3981" s="21"/>
      <c r="H3981" s="21"/>
      <c r="I3981" s="21"/>
      <c r="J3981" s="21"/>
      <c r="K3981" s="21"/>
      <c r="L3981" s="21"/>
      <c r="M3981" s="10"/>
      <c r="N3981" s="67"/>
      <c r="O3981" s="11"/>
    </row>
    <row r="3982" spans="1:15" s="4" customFormat="1" x14ac:dyDescent="0.25">
      <c r="A3982" s="6">
        <v>2002</v>
      </c>
      <c r="B3982" s="5" t="s">
        <v>550</v>
      </c>
      <c r="C3982" s="5" t="s">
        <v>13</v>
      </c>
      <c r="D3982" s="5" t="s">
        <v>497</v>
      </c>
      <c r="E3982" s="5" t="s">
        <v>498</v>
      </c>
      <c r="F3982" s="5" t="s">
        <v>551</v>
      </c>
      <c r="G3982" s="22">
        <v>0</v>
      </c>
      <c r="H3982" s="22">
        <v>0</v>
      </c>
      <c r="I3982" s="22">
        <v>0</v>
      </c>
      <c r="J3982" s="22">
        <v>139.86000000000001</v>
      </c>
      <c r="K3982" s="22">
        <v>0</v>
      </c>
      <c r="L3982" s="22">
        <v>139.86000000000001</v>
      </c>
      <c r="M3982" s="10"/>
      <c r="N3982" s="67"/>
      <c r="O3982" s="11"/>
    </row>
    <row r="3983" spans="1:15" x14ac:dyDescent="0.25">
      <c r="A3983" s="6">
        <v>2003</v>
      </c>
      <c r="B3983" s="5" t="s">
        <v>550</v>
      </c>
      <c r="C3983" s="5" t="s">
        <v>13</v>
      </c>
      <c r="D3983" s="5" t="s">
        <v>497</v>
      </c>
      <c r="E3983" s="5" t="s">
        <v>498</v>
      </c>
      <c r="F3983" s="5" t="s">
        <v>551</v>
      </c>
      <c r="G3983" s="22">
        <v>0</v>
      </c>
      <c r="H3983" s="22">
        <v>0</v>
      </c>
      <c r="I3983" s="22">
        <v>0</v>
      </c>
      <c r="J3983" s="22">
        <v>137.25</v>
      </c>
      <c r="K3983" s="22">
        <v>0</v>
      </c>
      <c r="L3983" s="22">
        <v>137.25</v>
      </c>
      <c r="M3983" s="10"/>
      <c r="O3983" s="11"/>
    </row>
    <row r="3984" spans="1:15" x14ac:dyDescent="0.25">
      <c r="A3984" s="6">
        <v>2004</v>
      </c>
      <c r="B3984" s="5" t="s">
        <v>550</v>
      </c>
      <c r="C3984" s="5" t="s">
        <v>17</v>
      </c>
      <c r="D3984" s="5" t="s">
        <v>497</v>
      </c>
      <c r="E3984" s="5" t="s">
        <v>498</v>
      </c>
      <c r="F3984" s="5" t="s">
        <v>551</v>
      </c>
      <c r="G3984" s="22">
        <v>1165.52</v>
      </c>
      <c r="H3984" s="22">
        <v>0</v>
      </c>
      <c r="I3984" s="22">
        <v>0</v>
      </c>
      <c r="J3984" s="22">
        <v>0</v>
      </c>
      <c r="K3984" s="22">
        <v>-23.31</v>
      </c>
      <c r="L3984" s="22">
        <v>1142.21</v>
      </c>
      <c r="M3984" s="10"/>
      <c r="O3984" s="11"/>
    </row>
    <row r="3985" spans="1:15" s="4" customFormat="1" x14ac:dyDescent="0.25">
      <c r="A3985" s="6">
        <v>2005</v>
      </c>
      <c r="B3985" s="5" t="s">
        <v>550</v>
      </c>
      <c r="C3985" s="5" t="s">
        <v>17</v>
      </c>
      <c r="D3985" s="5" t="s">
        <v>497</v>
      </c>
      <c r="E3985" s="5" t="s">
        <v>498</v>
      </c>
      <c r="F3985" s="5" t="s">
        <v>551</v>
      </c>
      <c r="G3985" s="22">
        <v>1143.79</v>
      </c>
      <c r="H3985" s="22">
        <v>0</v>
      </c>
      <c r="I3985" s="22">
        <v>0</v>
      </c>
      <c r="J3985" s="22">
        <v>0</v>
      </c>
      <c r="K3985" s="22">
        <v>-22.88</v>
      </c>
      <c r="L3985" s="22">
        <v>1120.9100000000001</v>
      </c>
      <c r="M3985" s="10"/>
      <c r="N3985" s="67"/>
      <c r="O3985" s="11"/>
    </row>
    <row r="3986" spans="1:15" s="4" customFormat="1" x14ac:dyDescent="0.25">
      <c r="A3986" s="6"/>
      <c r="B3986" s="5"/>
      <c r="C3986" s="5"/>
      <c r="D3986" s="5" t="s">
        <v>497</v>
      </c>
      <c r="E3986" s="5" t="s">
        <v>498</v>
      </c>
      <c r="F3986" s="5" t="s">
        <v>551</v>
      </c>
      <c r="G3986" s="14">
        <f t="shared" ref="G3986:L3986" si="987">SUBTOTAL(9,G3982:G3985)</f>
        <v>2309.31</v>
      </c>
      <c r="H3986" s="14">
        <f t="shared" si="987"/>
        <v>0</v>
      </c>
      <c r="I3986" s="14">
        <f t="shared" si="987"/>
        <v>0</v>
      </c>
      <c r="J3986" s="14">
        <f t="shared" si="987"/>
        <v>277.11</v>
      </c>
      <c r="K3986" s="14">
        <f t="shared" si="987"/>
        <v>-46.19</v>
      </c>
      <c r="L3986" s="14">
        <f t="shared" si="987"/>
        <v>2540.2300000000005</v>
      </c>
      <c r="M3986" s="10">
        <v>3063</v>
      </c>
      <c r="N3986" s="67"/>
      <c r="O3986" s="11">
        <f>O3980+1</f>
        <v>944</v>
      </c>
    </row>
    <row r="3987" spans="1:15" x14ac:dyDescent="0.25">
      <c r="A3987" s="10"/>
      <c r="G3987" s="21"/>
      <c r="H3987" s="21"/>
      <c r="I3987" s="21"/>
      <c r="J3987" s="21"/>
      <c r="K3987" s="21"/>
      <c r="L3987" s="21"/>
      <c r="M3987" s="10"/>
      <c r="O3987" s="11"/>
    </row>
    <row r="3988" spans="1:15" x14ac:dyDescent="0.25">
      <c r="A3988" s="6">
        <v>2006</v>
      </c>
      <c r="B3988" s="5" t="s">
        <v>550</v>
      </c>
      <c r="C3988" s="5" t="s">
        <v>13</v>
      </c>
      <c r="D3988" s="5" t="s">
        <v>497</v>
      </c>
      <c r="E3988" s="5" t="s">
        <v>498</v>
      </c>
      <c r="F3988" s="5" t="s">
        <v>552</v>
      </c>
      <c r="G3988" s="22">
        <v>0</v>
      </c>
      <c r="H3988" s="22">
        <v>0</v>
      </c>
      <c r="I3988" s="22">
        <v>0</v>
      </c>
      <c r="J3988" s="22">
        <v>0.01</v>
      </c>
      <c r="K3988" s="22">
        <v>0</v>
      </c>
      <c r="L3988" s="22">
        <v>0.01</v>
      </c>
      <c r="M3988" s="10"/>
      <c r="O3988" s="11"/>
    </row>
    <row r="3989" spans="1:15" s="4" customFormat="1" x14ac:dyDescent="0.25">
      <c r="A3989" s="6">
        <v>2007</v>
      </c>
      <c r="B3989" s="5" t="s">
        <v>550</v>
      </c>
      <c r="C3989" s="5" t="s">
        <v>13</v>
      </c>
      <c r="D3989" s="5" t="s">
        <v>497</v>
      </c>
      <c r="E3989" s="5" t="s">
        <v>498</v>
      </c>
      <c r="F3989" s="5" t="s">
        <v>552</v>
      </c>
      <c r="G3989" s="22">
        <v>0</v>
      </c>
      <c r="H3989" s="22">
        <v>0</v>
      </c>
      <c r="I3989" s="22">
        <v>0</v>
      </c>
      <c r="J3989" s="22">
        <v>0.01</v>
      </c>
      <c r="K3989" s="22">
        <v>0</v>
      </c>
      <c r="L3989" s="22">
        <v>0.01</v>
      </c>
      <c r="M3989" s="10"/>
      <c r="N3989" s="67"/>
      <c r="O3989" s="11"/>
    </row>
    <row r="3990" spans="1:15" s="4" customFormat="1" x14ac:dyDescent="0.25">
      <c r="A3990" s="6">
        <v>2008</v>
      </c>
      <c r="B3990" s="5" t="s">
        <v>550</v>
      </c>
      <c r="C3990" s="5" t="s">
        <v>17</v>
      </c>
      <c r="D3990" s="5" t="s">
        <v>497</v>
      </c>
      <c r="E3990" s="5" t="s">
        <v>498</v>
      </c>
      <c r="F3990" s="5" t="s">
        <v>552</v>
      </c>
      <c r="G3990" s="22">
        <v>0.08</v>
      </c>
      <c r="H3990" s="22">
        <v>0</v>
      </c>
      <c r="I3990" s="22">
        <v>0</v>
      </c>
      <c r="J3990" s="22">
        <v>0</v>
      </c>
      <c r="K3990" s="22">
        <v>0</v>
      </c>
      <c r="L3990" s="22">
        <v>0.08</v>
      </c>
      <c r="M3990" s="10"/>
      <c r="N3990" s="67"/>
      <c r="O3990" s="11"/>
    </row>
    <row r="3991" spans="1:15" x14ac:dyDescent="0.25">
      <c r="A3991" s="6">
        <v>2009</v>
      </c>
      <c r="B3991" s="5" t="s">
        <v>550</v>
      </c>
      <c r="C3991" s="5" t="s">
        <v>17</v>
      </c>
      <c r="D3991" s="5" t="s">
        <v>497</v>
      </c>
      <c r="E3991" s="5" t="s">
        <v>498</v>
      </c>
      <c r="F3991" s="5" t="s">
        <v>552</v>
      </c>
      <c r="G3991" s="22">
        <v>0.08</v>
      </c>
      <c r="H3991" s="22">
        <v>0</v>
      </c>
      <c r="I3991" s="22">
        <v>0</v>
      </c>
      <c r="J3991" s="22">
        <v>0</v>
      </c>
      <c r="K3991" s="22">
        <v>0</v>
      </c>
      <c r="L3991" s="22">
        <v>0.08</v>
      </c>
      <c r="M3991" s="10"/>
      <c r="O3991" s="11"/>
    </row>
    <row r="3992" spans="1:15" x14ac:dyDescent="0.25">
      <c r="A3992" s="6"/>
      <c r="B3992" s="5"/>
      <c r="C3992" s="5"/>
      <c r="D3992" s="5" t="s">
        <v>497</v>
      </c>
      <c r="E3992" s="5" t="s">
        <v>498</v>
      </c>
      <c r="F3992" s="5" t="s">
        <v>552</v>
      </c>
      <c r="G3992" s="14">
        <f t="shared" ref="G3992:L3992" si="988">SUBTOTAL(9,G3988:G3991)</f>
        <v>0.16</v>
      </c>
      <c r="H3992" s="14">
        <f t="shared" si="988"/>
        <v>0</v>
      </c>
      <c r="I3992" s="14">
        <f t="shared" si="988"/>
        <v>0</v>
      </c>
      <c r="J3992" s="14">
        <f t="shared" si="988"/>
        <v>0.02</v>
      </c>
      <c r="K3992" s="14">
        <f t="shared" si="988"/>
        <v>0</v>
      </c>
      <c r="L3992" s="14">
        <f t="shared" si="988"/>
        <v>0.18</v>
      </c>
      <c r="M3992" s="10">
        <v>3064</v>
      </c>
      <c r="O3992" s="11">
        <f>O3986+1</f>
        <v>945</v>
      </c>
    </row>
    <row r="3993" spans="1:15" s="4" customFormat="1" x14ac:dyDescent="0.25">
      <c r="A3993" s="10"/>
      <c r="B3993"/>
      <c r="C3993"/>
      <c r="D3993"/>
      <c r="E3993"/>
      <c r="F3993"/>
      <c r="G3993" s="21"/>
      <c r="H3993" s="21"/>
      <c r="I3993" s="21"/>
      <c r="J3993" s="21"/>
      <c r="K3993" s="21"/>
      <c r="L3993" s="21"/>
      <c r="M3993" s="10"/>
      <c r="N3993" s="67"/>
      <c r="O3993" s="11"/>
    </row>
    <row r="3994" spans="1:15" s="4" customFormat="1" x14ac:dyDescent="0.25">
      <c r="A3994" s="6">
        <v>2010</v>
      </c>
      <c r="B3994" s="5" t="s">
        <v>550</v>
      </c>
      <c r="C3994" s="5" t="s">
        <v>17</v>
      </c>
      <c r="D3994" s="5" t="s">
        <v>644</v>
      </c>
      <c r="E3994" s="5" t="s">
        <v>500</v>
      </c>
      <c r="F3994" s="5" t="s">
        <v>551</v>
      </c>
      <c r="G3994" s="22">
        <v>0</v>
      </c>
      <c r="H3994" s="22">
        <v>0</v>
      </c>
      <c r="I3994" s="22">
        <v>55.61</v>
      </c>
      <c r="J3994" s="22">
        <v>0</v>
      </c>
      <c r="K3994" s="22">
        <v>-1.1100000000000001</v>
      </c>
      <c r="L3994" s="22">
        <v>54.5</v>
      </c>
      <c r="M3994" s="10"/>
      <c r="N3994" s="67"/>
      <c r="O3994" s="11"/>
    </row>
    <row r="3995" spans="1:15" x14ac:dyDescent="0.25">
      <c r="A3995" s="6">
        <v>2011</v>
      </c>
      <c r="B3995" s="5" t="s">
        <v>550</v>
      </c>
      <c r="C3995" s="5" t="s">
        <v>17</v>
      </c>
      <c r="D3995" s="5" t="s">
        <v>644</v>
      </c>
      <c r="E3995" s="5" t="s">
        <v>500</v>
      </c>
      <c r="F3995" s="5" t="s">
        <v>551</v>
      </c>
      <c r="G3995" s="22">
        <v>0</v>
      </c>
      <c r="H3995" s="22">
        <v>0</v>
      </c>
      <c r="I3995" s="22">
        <v>282.95999999999998</v>
      </c>
      <c r="J3995" s="22">
        <v>0</v>
      </c>
      <c r="K3995" s="22">
        <v>-5.66</v>
      </c>
      <c r="L3995" s="22">
        <v>277.3</v>
      </c>
      <c r="M3995" s="10"/>
      <c r="O3995" s="11"/>
    </row>
    <row r="3996" spans="1:15" x14ac:dyDescent="0.25">
      <c r="A3996" s="60"/>
      <c r="B3996" s="55"/>
      <c r="C3996" s="55"/>
      <c r="D3996" s="55" t="s">
        <v>499</v>
      </c>
      <c r="E3996" s="5" t="s">
        <v>669</v>
      </c>
      <c r="F3996" s="5" t="s">
        <v>551</v>
      </c>
      <c r="G3996" s="14">
        <f t="shared" ref="G3996:L3996" si="989">SUBTOTAL(9,G3994:G3995)</f>
        <v>0</v>
      </c>
      <c r="H3996" s="14">
        <f t="shared" si="989"/>
        <v>0</v>
      </c>
      <c r="I3996" s="14">
        <f t="shared" si="989"/>
        <v>338.57</v>
      </c>
      <c r="J3996" s="14">
        <f t="shared" si="989"/>
        <v>0</v>
      </c>
      <c r="K3996" s="14">
        <f t="shared" si="989"/>
        <v>-6.7700000000000005</v>
      </c>
      <c r="L3996" s="14">
        <f t="shared" si="989"/>
        <v>331.8</v>
      </c>
      <c r="M3996" s="61">
        <v>3065</v>
      </c>
      <c r="O3996" s="11">
        <f>O3992+1</f>
        <v>946</v>
      </c>
    </row>
    <row r="3997" spans="1:15" s="4" customFormat="1" x14ac:dyDescent="0.25">
      <c r="A3997" s="10"/>
      <c r="B3997"/>
      <c r="C3997"/>
      <c r="D3997"/>
      <c r="E3997"/>
      <c r="F3997"/>
      <c r="G3997" s="21"/>
      <c r="H3997" s="21"/>
      <c r="I3997" s="21"/>
      <c r="J3997" s="21"/>
      <c r="K3997" s="21"/>
      <c r="L3997" s="21"/>
      <c r="M3997" s="10"/>
      <c r="N3997" s="67"/>
      <c r="O3997" s="11"/>
    </row>
    <row r="3998" spans="1:15" x14ac:dyDescent="0.25">
      <c r="A3998" s="6">
        <v>2012</v>
      </c>
      <c r="B3998" s="5" t="s">
        <v>550</v>
      </c>
      <c r="C3998" s="5" t="s">
        <v>17</v>
      </c>
      <c r="D3998" s="5" t="s">
        <v>644</v>
      </c>
      <c r="E3998" s="5" t="s">
        <v>500</v>
      </c>
      <c r="F3998" s="5" t="s">
        <v>552</v>
      </c>
      <c r="G3998" s="22">
        <v>0</v>
      </c>
      <c r="H3998" s="22">
        <v>0</v>
      </c>
      <c r="I3998" s="22">
        <v>0.02</v>
      </c>
      <c r="J3998" s="22">
        <v>0</v>
      </c>
      <c r="K3998" s="22">
        <v>0</v>
      </c>
      <c r="L3998" s="22">
        <v>0.02</v>
      </c>
      <c r="M3998" s="10"/>
      <c r="O3998" s="11"/>
    </row>
    <row r="3999" spans="1:15" x14ac:dyDescent="0.25">
      <c r="A3999" s="60"/>
      <c r="B3999" s="55"/>
      <c r="C3999" s="55"/>
      <c r="D3999" s="55" t="s">
        <v>499</v>
      </c>
      <c r="E3999" s="5" t="s">
        <v>669</v>
      </c>
      <c r="F3999" s="5" t="s">
        <v>552</v>
      </c>
      <c r="G3999" s="14">
        <f t="shared" ref="G3999:L3999" si="990">SUBTOTAL(9,G3998:G3998)</f>
        <v>0</v>
      </c>
      <c r="H3999" s="14">
        <f t="shared" si="990"/>
        <v>0</v>
      </c>
      <c r="I3999" s="14">
        <f t="shared" si="990"/>
        <v>0.02</v>
      </c>
      <c r="J3999" s="14">
        <f t="shared" si="990"/>
        <v>0</v>
      </c>
      <c r="K3999" s="14">
        <f t="shared" si="990"/>
        <v>0</v>
      </c>
      <c r="L3999" s="14">
        <f t="shared" si="990"/>
        <v>0.02</v>
      </c>
      <c r="M3999" s="61">
        <v>3066</v>
      </c>
      <c r="O3999" s="11">
        <f>O3996+1</f>
        <v>947</v>
      </c>
    </row>
    <row r="4000" spans="1:15" s="4" customFormat="1" x14ac:dyDescent="0.25">
      <c r="A4000" s="10"/>
      <c r="B4000"/>
      <c r="C4000"/>
      <c r="D4000"/>
      <c r="E4000"/>
      <c r="F4000"/>
      <c r="G4000" s="21"/>
      <c r="H4000" s="21"/>
      <c r="I4000" s="21"/>
      <c r="J4000" s="21"/>
      <c r="K4000" s="21"/>
      <c r="L4000" s="21"/>
      <c r="M4000" s="10"/>
      <c r="N4000" s="67"/>
      <c r="O4000" s="11"/>
    </row>
    <row r="4001" spans="1:15" x14ac:dyDescent="0.25">
      <c r="A4001" s="6">
        <v>2013</v>
      </c>
      <c r="B4001" s="5" t="s">
        <v>566</v>
      </c>
      <c r="C4001" s="5" t="s">
        <v>17</v>
      </c>
      <c r="D4001" s="5" t="s">
        <v>501</v>
      </c>
      <c r="E4001" s="5" t="s">
        <v>502</v>
      </c>
      <c r="F4001" s="5" t="s">
        <v>567</v>
      </c>
      <c r="G4001" s="22">
        <v>7.76</v>
      </c>
      <c r="H4001" s="22">
        <v>0</v>
      </c>
      <c r="I4001" s="22">
        <v>0</v>
      </c>
      <c r="J4001" s="22">
        <v>0</v>
      </c>
      <c r="K4001" s="22">
        <v>-0.16</v>
      </c>
      <c r="L4001" s="22">
        <v>7.6</v>
      </c>
      <c r="M4001" s="10"/>
      <c r="O4001" s="11"/>
    </row>
    <row r="4002" spans="1:15" x14ac:dyDescent="0.25">
      <c r="A4002" s="6">
        <v>2014</v>
      </c>
      <c r="B4002" s="5" t="s">
        <v>566</v>
      </c>
      <c r="C4002" s="5" t="s">
        <v>13</v>
      </c>
      <c r="D4002" s="5" t="s">
        <v>501</v>
      </c>
      <c r="E4002" s="5" t="s">
        <v>502</v>
      </c>
      <c r="F4002" s="5" t="s">
        <v>567</v>
      </c>
      <c r="G4002" s="22">
        <v>0</v>
      </c>
      <c r="H4002" s="22">
        <v>0</v>
      </c>
      <c r="I4002" s="22">
        <v>0</v>
      </c>
      <c r="J4002" s="22">
        <v>0.93</v>
      </c>
      <c r="K4002" s="22">
        <v>0</v>
      </c>
      <c r="L4002" s="22">
        <v>0.93</v>
      </c>
      <c r="M4002" s="10"/>
      <c r="O4002" s="11"/>
    </row>
    <row r="4003" spans="1:15" s="4" customFormat="1" x14ac:dyDescent="0.25">
      <c r="A4003" s="6"/>
      <c r="B4003" s="5"/>
      <c r="C4003" s="5"/>
      <c r="D4003" s="5" t="s">
        <v>501</v>
      </c>
      <c r="E4003" s="5" t="s">
        <v>502</v>
      </c>
      <c r="F4003" s="5" t="s">
        <v>567</v>
      </c>
      <c r="G4003" s="14">
        <f t="shared" ref="G4003:L4003" si="991">SUBTOTAL(9,G4001:G4002)</f>
        <v>7.76</v>
      </c>
      <c r="H4003" s="14">
        <f t="shared" si="991"/>
        <v>0</v>
      </c>
      <c r="I4003" s="14">
        <f t="shared" si="991"/>
        <v>0</v>
      </c>
      <c r="J4003" s="14">
        <f t="shared" si="991"/>
        <v>0.93</v>
      </c>
      <c r="K4003" s="14">
        <f t="shared" si="991"/>
        <v>-0.16</v>
      </c>
      <c r="L4003" s="14">
        <f t="shared" si="991"/>
        <v>8.5299999999999994</v>
      </c>
      <c r="M4003" s="10">
        <v>3067</v>
      </c>
      <c r="N4003" s="67"/>
      <c r="O4003" s="11">
        <f>O3999+1</f>
        <v>948</v>
      </c>
    </row>
    <row r="4004" spans="1:15" s="4" customFormat="1" x14ac:dyDescent="0.25">
      <c r="A4004" s="10"/>
      <c r="B4004"/>
      <c r="C4004"/>
      <c r="D4004"/>
      <c r="E4004"/>
      <c r="F4004"/>
      <c r="G4004" s="21"/>
      <c r="H4004" s="21"/>
      <c r="I4004" s="21"/>
      <c r="J4004" s="21"/>
      <c r="K4004" s="21"/>
      <c r="L4004" s="21"/>
      <c r="M4004" s="10"/>
      <c r="N4004" s="67"/>
      <c r="O4004" s="11"/>
    </row>
    <row r="4005" spans="1:15" x14ac:dyDescent="0.25">
      <c r="A4005" s="6">
        <v>2015</v>
      </c>
      <c r="B4005" s="5" t="s">
        <v>559</v>
      </c>
      <c r="C4005" s="5" t="s">
        <v>17</v>
      </c>
      <c r="D4005" s="5" t="s">
        <v>501</v>
      </c>
      <c r="E4005" s="5" t="s">
        <v>502</v>
      </c>
      <c r="F4005" s="5" t="s">
        <v>560</v>
      </c>
      <c r="G4005" s="22">
        <v>0.22</v>
      </c>
      <c r="H4005" s="22">
        <v>0</v>
      </c>
      <c r="I4005" s="22">
        <v>0</v>
      </c>
      <c r="J4005" s="22">
        <v>0</v>
      </c>
      <c r="K4005" s="22">
        <v>0</v>
      </c>
      <c r="L4005" s="22">
        <v>0.22</v>
      </c>
      <c r="M4005" s="10"/>
      <c r="O4005" s="11"/>
    </row>
    <row r="4006" spans="1:15" x14ac:dyDescent="0.25">
      <c r="A4006" s="6">
        <v>2016</v>
      </c>
      <c r="B4006" s="5" t="s">
        <v>559</v>
      </c>
      <c r="C4006" s="5" t="s">
        <v>13</v>
      </c>
      <c r="D4006" s="5" t="s">
        <v>501</v>
      </c>
      <c r="E4006" s="5" t="s">
        <v>502</v>
      </c>
      <c r="F4006" s="5" t="s">
        <v>560</v>
      </c>
      <c r="G4006" s="22">
        <v>0</v>
      </c>
      <c r="H4006" s="22">
        <v>0</v>
      </c>
      <c r="I4006" s="22">
        <v>0</v>
      </c>
      <c r="J4006" s="22">
        <v>0.03</v>
      </c>
      <c r="K4006" s="22">
        <v>0</v>
      </c>
      <c r="L4006" s="22">
        <v>0.03</v>
      </c>
      <c r="M4006" s="10"/>
      <c r="O4006" s="11"/>
    </row>
    <row r="4007" spans="1:15" s="4" customFormat="1" x14ac:dyDescent="0.25">
      <c r="A4007" s="6"/>
      <c r="B4007" s="5"/>
      <c r="C4007" s="5"/>
      <c r="D4007" s="5" t="s">
        <v>501</v>
      </c>
      <c r="E4007" s="5" t="s">
        <v>502</v>
      </c>
      <c r="F4007" s="5" t="s">
        <v>560</v>
      </c>
      <c r="G4007" s="14">
        <f t="shared" ref="G4007:L4007" si="992">SUBTOTAL(9,G4005:G4006)</f>
        <v>0.22</v>
      </c>
      <c r="H4007" s="14">
        <f t="shared" si="992"/>
        <v>0</v>
      </c>
      <c r="I4007" s="14">
        <f t="shared" si="992"/>
        <v>0</v>
      </c>
      <c r="J4007" s="14">
        <f t="shared" si="992"/>
        <v>0.03</v>
      </c>
      <c r="K4007" s="14">
        <f t="shared" si="992"/>
        <v>0</v>
      </c>
      <c r="L4007" s="14">
        <f t="shared" si="992"/>
        <v>0.25</v>
      </c>
      <c r="M4007" s="10">
        <v>3068</v>
      </c>
      <c r="N4007" s="67"/>
      <c r="O4007" s="11">
        <f>O4003+1</f>
        <v>949</v>
      </c>
    </row>
    <row r="4008" spans="1:15" s="4" customFormat="1" x14ac:dyDescent="0.25">
      <c r="A4008" s="10"/>
      <c r="B4008"/>
      <c r="C4008"/>
      <c r="D4008"/>
      <c r="E4008"/>
      <c r="F4008"/>
      <c r="G4008" s="21"/>
      <c r="H4008" s="21"/>
      <c r="I4008" s="21"/>
      <c r="J4008" s="21"/>
      <c r="K4008" s="21"/>
      <c r="L4008" s="21"/>
      <c r="M4008" s="10"/>
      <c r="N4008" s="67"/>
      <c r="O4008" s="11"/>
    </row>
    <row r="4009" spans="1:15" x14ac:dyDescent="0.25">
      <c r="A4009" s="6">
        <v>2017</v>
      </c>
      <c r="B4009" s="5" t="s">
        <v>550</v>
      </c>
      <c r="C4009" s="5" t="s">
        <v>13</v>
      </c>
      <c r="D4009" s="5" t="s">
        <v>501</v>
      </c>
      <c r="E4009" s="5" t="s">
        <v>502</v>
      </c>
      <c r="F4009" s="5" t="s">
        <v>551</v>
      </c>
      <c r="G4009" s="22">
        <v>0</v>
      </c>
      <c r="H4009" s="22">
        <v>0</v>
      </c>
      <c r="I4009" s="22">
        <v>0</v>
      </c>
      <c r="J4009" s="22">
        <v>4597.33</v>
      </c>
      <c r="K4009" s="22">
        <v>0</v>
      </c>
      <c r="L4009" s="22">
        <v>4597.33</v>
      </c>
      <c r="M4009" s="10"/>
      <c r="O4009" s="11"/>
    </row>
    <row r="4010" spans="1:15" x14ac:dyDescent="0.25">
      <c r="A4010" s="6">
        <v>2018</v>
      </c>
      <c r="B4010" s="5" t="s">
        <v>550</v>
      </c>
      <c r="C4010" s="5" t="s">
        <v>17</v>
      </c>
      <c r="D4010" s="5" t="s">
        <v>501</v>
      </c>
      <c r="E4010" s="5" t="s">
        <v>502</v>
      </c>
      <c r="F4010" s="5" t="s">
        <v>551</v>
      </c>
      <c r="G4010" s="22">
        <v>38311.1</v>
      </c>
      <c r="H4010" s="22">
        <v>0</v>
      </c>
      <c r="I4010" s="22">
        <v>0</v>
      </c>
      <c r="J4010" s="22">
        <v>0</v>
      </c>
      <c r="K4010" s="22">
        <v>-766.22</v>
      </c>
      <c r="L4010" s="22">
        <v>37544.879999999997</v>
      </c>
      <c r="M4010" s="10"/>
      <c r="O4010" s="11"/>
    </row>
    <row r="4011" spans="1:15" s="4" customFormat="1" x14ac:dyDescent="0.25">
      <c r="A4011" s="6"/>
      <c r="B4011" s="5"/>
      <c r="C4011" s="5"/>
      <c r="D4011" s="5" t="s">
        <v>501</v>
      </c>
      <c r="E4011" s="5" t="s">
        <v>502</v>
      </c>
      <c r="F4011" s="5" t="s">
        <v>551</v>
      </c>
      <c r="G4011" s="14">
        <f t="shared" ref="G4011:L4011" si="993">SUBTOTAL(9,G4009:G4010)</f>
        <v>38311.1</v>
      </c>
      <c r="H4011" s="14">
        <f t="shared" si="993"/>
        <v>0</v>
      </c>
      <c r="I4011" s="14">
        <f t="shared" si="993"/>
        <v>0</v>
      </c>
      <c r="J4011" s="14">
        <f t="shared" si="993"/>
        <v>4597.33</v>
      </c>
      <c r="K4011" s="14">
        <f t="shared" si="993"/>
        <v>-766.22</v>
      </c>
      <c r="L4011" s="14">
        <f t="shared" si="993"/>
        <v>42142.21</v>
      </c>
      <c r="M4011" s="10">
        <v>3069</v>
      </c>
      <c r="N4011" s="67"/>
      <c r="O4011" s="11">
        <f>O4007+1</f>
        <v>950</v>
      </c>
    </row>
    <row r="4012" spans="1:15" s="4" customFormat="1" x14ac:dyDescent="0.25">
      <c r="A4012" s="10"/>
      <c r="B4012"/>
      <c r="C4012"/>
      <c r="D4012"/>
      <c r="E4012"/>
      <c r="F4012"/>
      <c r="G4012" s="21"/>
      <c r="H4012" s="21"/>
      <c r="I4012" s="21"/>
      <c r="J4012" s="21"/>
      <c r="K4012" s="21"/>
      <c r="L4012" s="21"/>
      <c r="M4012" s="10"/>
      <c r="N4012" s="67"/>
      <c r="O4012" s="11"/>
    </row>
    <row r="4013" spans="1:15" x14ac:dyDescent="0.25">
      <c r="A4013" s="6">
        <v>2019</v>
      </c>
      <c r="B4013" s="5" t="s">
        <v>550</v>
      </c>
      <c r="C4013" s="5" t="s">
        <v>13</v>
      </c>
      <c r="D4013" s="5" t="s">
        <v>501</v>
      </c>
      <c r="E4013" s="5" t="s">
        <v>502</v>
      </c>
      <c r="F4013" s="5" t="s">
        <v>552</v>
      </c>
      <c r="G4013" s="22">
        <v>0</v>
      </c>
      <c r="H4013" s="22">
        <v>0</v>
      </c>
      <c r="I4013" s="22">
        <v>0</v>
      </c>
      <c r="J4013" s="22">
        <v>0.33</v>
      </c>
      <c r="K4013" s="22">
        <v>0</v>
      </c>
      <c r="L4013" s="22">
        <v>0.33</v>
      </c>
      <c r="M4013" s="10"/>
      <c r="O4013" s="11"/>
    </row>
    <row r="4014" spans="1:15" x14ac:dyDescent="0.25">
      <c r="A4014" s="6">
        <v>2020</v>
      </c>
      <c r="B4014" s="5" t="s">
        <v>550</v>
      </c>
      <c r="C4014" s="5" t="s">
        <v>17</v>
      </c>
      <c r="D4014" s="5" t="s">
        <v>501</v>
      </c>
      <c r="E4014" s="5" t="s">
        <v>502</v>
      </c>
      <c r="F4014" s="5" t="s">
        <v>552</v>
      </c>
      <c r="G4014" s="22">
        <v>2.76</v>
      </c>
      <c r="H4014" s="22">
        <v>0</v>
      </c>
      <c r="I4014" s="22">
        <v>0</v>
      </c>
      <c r="J4014" s="22">
        <v>0</v>
      </c>
      <c r="K4014" s="22">
        <v>-0.06</v>
      </c>
      <c r="L4014" s="22">
        <v>2.7</v>
      </c>
      <c r="M4014" s="10"/>
      <c r="O4014" s="11"/>
    </row>
    <row r="4015" spans="1:15" s="4" customFormat="1" x14ac:dyDescent="0.25">
      <c r="A4015" s="6"/>
      <c r="B4015" s="5"/>
      <c r="C4015" s="5"/>
      <c r="D4015" s="5" t="s">
        <v>501</v>
      </c>
      <c r="E4015" s="5" t="s">
        <v>502</v>
      </c>
      <c r="F4015" s="5" t="s">
        <v>552</v>
      </c>
      <c r="G4015" s="14">
        <f t="shared" ref="G4015:L4015" si="994">SUBTOTAL(9,G4013:G4014)</f>
        <v>2.76</v>
      </c>
      <c r="H4015" s="14">
        <f t="shared" si="994"/>
        <v>0</v>
      </c>
      <c r="I4015" s="14">
        <f t="shared" si="994"/>
        <v>0</v>
      </c>
      <c r="J4015" s="14">
        <f t="shared" si="994"/>
        <v>0.33</v>
      </c>
      <c r="K4015" s="14">
        <f t="shared" si="994"/>
        <v>-0.06</v>
      </c>
      <c r="L4015" s="14">
        <f t="shared" si="994"/>
        <v>3.0300000000000002</v>
      </c>
      <c r="M4015" s="10">
        <v>3070</v>
      </c>
      <c r="N4015" s="67"/>
      <c r="O4015" s="11">
        <f>O4011+1</f>
        <v>951</v>
      </c>
    </row>
    <row r="4016" spans="1:15" s="4" customFormat="1" x14ac:dyDescent="0.25">
      <c r="A4016" s="10"/>
      <c r="B4016"/>
      <c r="C4016"/>
      <c r="D4016"/>
      <c r="E4016"/>
      <c r="F4016"/>
      <c r="G4016" s="21"/>
      <c r="H4016" s="21"/>
      <c r="I4016" s="21"/>
      <c r="J4016" s="21"/>
      <c r="K4016" s="21"/>
      <c r="L4016" s="21"/>
      <c r="M4016" s="10"/>
      <c r="N4016" s="67"/>
      <c r="O4016" s="11"/>
    </row>
    <row r="4017" spans="1:15" x14ac:dyDescent="0.25">
      <c r="A4017" s="6">
        <v>2021</v>
      </c>
      <c r="B4017" s="5" t="s">
        <v>559</v>
      </c>
      <c r="C4017" s="5" t="s">
        <v>17</v>
      </c>
      <c r="D4017" s="5" t="s">
        <v>503</v>
      </c>
      <c r="E4017" s="5" t="s">
        <v>504</v>
      </c>
      <c r="F4017" s="5" t="s">
        <v>560</v>
      </c>
      <c r="G4017" s="22">
        <v>0.05</v>
      </c>
      <c r="H4017" s="22">
        <v>0</v>
      </c>
      <c r="I4017" s="22">
        <v>0</v>
      </c>
      <c r="J4017" s="22">
        <v>0</v>
      </c>
      <c r="K4017" s="22">
        <v>0</v>
      </c>
      <c r="L4017" s="22">
        <v>0.05</v>
      </c>
      <c r="M4017" s="10"/>
      <c r="O4017" s="11"/>
    </row>
    <row r="4018" spans="1:15" x14ac:dyDescent="0.25">
      <c r="A4018" s="6">
        <v>2022</v>
      </c>
      <c r="B4018" s="5" t="s">
        <v>559</v>
      </c>
      <c r="C4018" s="5" t="s">
        <v>13</v>
      </c>
      <c r="D4018" s="5" t="s">
        <v>503</v>
      </c>
      <c r="E4018" s="5" t="s">
        <v>504</v>
      </c>
      <c r="F4018" s="5" t="s">
        <v>560</v>
      </c>
      <c r="G4018" s="22">
        <v>0</v>
      </c>
      <c r="H4018" s="22">
        <v>0</v>
      </c>
      <c r="I4018" s="22">
        <v>0</v>
      </c>
      <c r="J4018" s="22">
        <v>0.01</v>
      </c>
      <c r="K4018" s="22">
        <v>0</v>
      </c>
      <c r="L4018" s="22">
        <v>0.01</v>
      </c>
      <c r="M4018" s="10"/>
      <c r="O4018" s="11"/>
    </row>
    <row r="4019" spans="1:15" s="4" customFormat="1" x14ac:dyDescent="0.25">
      <c r="A4019" s="6"/>
      <c r="B4019" s="5"/>
      <c r="C4019" s="5"/>
      <c r="D4019" s="5" t="s">
        <v>503</v>
      </c>
      <c r="E4019" s="5" t="s">
        <v>504</v>
      </c>
      <c r="F4019" s="5" t="s">
        <v>560</v>
      </c>
      <c r="G4019" s="14">
        <f t="shared" ref="G4019:L4019" si="995">SUBTOTAL(9,G4017:G4018)</f>
        <v>0.05</v>
      </c>
      <c r="H4019" s="14">
        <f t="shared" si="995"/>
        <v>0</v>
      </c>
      <c r="I4019" s="14">
        <f t="shared" si="995"/>
        <v>0</v>
      </c>
      <c r="J4019" s="14">
        <f t="shared" si="995"/>
        <v>0.01</v>
      </c>
      <c r="K4019" s="14">
        <f t="shared" si="995"/>
        <v>0</v>
      </c>
      <c r="L4019" s="14">
        <f t="shared" si="995"/>
        <v>6.0000000000000005E-2</v>
      </c>
      <c r="M4019" s="10">
        <v>3071</v>
      </c>
      <c r="N4019" s="67"/>
      <c r="O4019" s="11">
        <f>O4015+1</f>
        <v>952</v>
      </c>
    </row>
    <row r="4020" spans="1:15" s="4" customFormat="1" x14ac:dyDescent="0.25">
      <c r="A4020" s="10"/>
      <c r="B4020"/>
      <c r="C4020"/>
      <c r="D4020"/>
      <c r="E4020"/>
      <c r="F4020"/>
      <c r="G4020" s="21"/>
      <c r="H4020" s="21"/>
      <c r="I4020" s="21"/>
      <c r="J4020" s="21"/>
      <c r="K4020" s="21"/>
      <c r="L4020" s="21"/>
      <c r="M4020" s="10"/>
      <c r="N4020" s="67"/>
      <c r="O4020" s="11"/>
    </row>
    <row r="4021" spans="1:15" x14ac:dyDescent="0.25">
      <c r="A4021" s="6">
        <v>2023</v>
      </c>
      <c r="B4021" s="5" t="s">
        <v>18</v>
      </c>
      <c r="C4021" s="5" t="s">
        <v>17</v>
      </c>
      <c r="D4021" s="5" t="s">
        <v>503</v>
      </c>
      <c r="E4021" s="5" t="s">
        <v>504</v>
      </c>
      <c r="F4021" s="5" t="s">
        <v>19</v>
      </c>
      <c r="G4021" s="22">
        <v>0.49</v>
      </c>
      <c r="H4021" s="22">
        <v>0</v>
      </c>
      <c r="I4021" s="22">
        <v>0</v>
      </c>
      <c r="J4021" s="22">
        <v>0</v>
      </c>
      <c r="K4021" s="22">
        <v>-0.44</v>
      </c>
      <c r="L4021" s="22">
        <v>0.05</v>
      </c>
      <c r="M4021" s="10"/>
      <c r="O4021" s="11"/>
    </row>
    <row r="4022" spans="1:15" x14ac:dyDescent="0.25">
      <c r="A4022" s="6">
        <v>2024</v>
      </c>
      <c r="B4022" s="5" t="s">
        <v>18</v>
      </c>
      <c r="C4022" s="5" t="s">
        <v>13</v>
      </c>
      <c r="D4022" s="5" t="s">
        <v>503</v>
      </c>
      <c r="E4022" s="5" t="s">
        <v>504</v>
      </c>
      <c r="F4022" s="5" t="s">
        <v>19</v>
      </c>
      <c r="G4022" s="22">
        <v>0</v>
      </c>
      <c r="H4022" s="22">
        <v>0</v>
      </c>
      <c r="I4022" s="22">
        <v>0</v>
      </c>
      <c r="J4022" s="22">
        <v>0.11</v>
      </c>
      <c r="K4022" s="22">
        <v>0</v>
      </c>
      <c r="L4022" s="22">
        <v>0.11</v>
      </c>
      <c r="M4022" s="10"/>
      <c r="O4022" s="11"/>
    </row>
    <row r="4023" spans="1:15" s="4" customFormat="1" x14ac:dyDescent="0.25">
      <c r="A4023" s="6"/>
      <c r="B4023" s="5"/>
      <c r="C4023" s="5"/>
      <c r="D4023" s="5" t="s">
        <v>503</v>
      </c>
      <c r="E4023" s="5" t="s">
        <v>504</v>
      </c>
      <c r="F4023" s="5" t="s">
        <v>19</v>
      </c>
      <c r="G4023" s="14">
        <f t="shared" ref="G4023:L4023" si="996">SUBTOTAL(9,G4021:G4022)</f>
        <v>0.49</v>
      </c>
      <c r="H4023" s="14">
        <f t="shared" si="996"/>
        <v>0</v>
      </c>
      <c r="I4023" s="14">
        <f t="shared" si="996"/>
        <v>0</v>
      </c>
      <c r="J4023" s="14">
        <f t="shared" si="996"/>
        <v>0.11</v>
      </c>
      <c r="K4023" s="14">
        <f t="shared" si="996"/>
        <v>-0.44</v>
      </c>
      <c r="L4023" s="14">
        <f t="shared" si="996"/>
        <v>0.16</v>
      </c>
      <c r="M4023" s="10">
        <v>3072</v>
      </c>
      <c r="N4023" s="67"/>
      <c r="O4023" s="11">
        <f>O4019+1</f>
        <v>953</v>
      </c>
    </row>
    <row r="4024" spans="1:15" s="4" customFormat="1" x14ac:dyDescent="0.25">
      <c r="A4024" s="10"/>
      <c r="B4024"/>
      <c r="C4024"/>
      <c r="D4024"/>
      <c r="E4024"/>
      <c r="F4024"/>
      <c r="G4024" s="21"/>
      <c r="H4024" s="21"/>
      <c r="I4024" s="21"/>
      <c r="J4024" s="21"/>
      <c r="K4024" s="21"/>
      <c r="L4024" s="21"/>
      <c r="M4024" s="10"/>
      <c r="N4024" s="67"/>
      <c r="O4024" s="11"/>
    </row>
    <row r="4025" spans="1:15" x14ac:dyDescent="0.25">
      <c r="A4025" s="6">
        <v>2025</v>
      </c>
      <c r="B4025" s="5" t="s">
        <v>550</v>
      </c>
      <c r="C4025" s="5" t="s">
        <v>13</v>
      </c>
      <c r="D4025" s="5" t="s">
        <v>503</v>
      </c>
      <c r="E4025" s="5" t="s">
        <v>504</v>
      </c>
      <c r="F4025" s="5" t="s">
        <v>551</v>
      </c>
      <c r="G4025" s="22">
        <v>0</v>
      </c>
      <c r="H4025" s="22">
        <v>0</v>
      </c>
      <c r="I4025" s="22">
        <v>0</v>
      </c>
      <c r="J4025" s="22">
        <v>4740.8900000000003</v>
      </c>
      <c r="K4025" s="22">
        <v>0</v>
      </c>
      <c r="L4025" s="22">
        <v>4740.8900000000003</v>
      </c>
      <c r="M4025" s="10"/>
      <c r="O4025" s="11"/>
    </row>
    <row r="4026" spans="1:15" x14ac:dyDescent="0.25">
      <c r="A4026" s="6">
        <v>2026</v>
      </c>
      <c r="B4026" s="5" t="s">
        <v>550</v>
      </c>
      <c r="C4026" s="5" t="s">
        <v>17</v>
      </c>
      <c r="D4026" s="5" t="s">
        <v>503</v>
      </c>
      <c r="E4026" s="5" t="s">
        <v>504</v>
      </c>
      <c r="F4026" s="5" t="s">
        <v>551</v>
      </c>
      <c r="G4026" s="22">
        <v>39507.379999999997</v>
      </c>
      <c r="H4026" s="22">
        <v>0</v>
      </c>
      <c r="I4026" s="22">
        <v>0</v>
      </c>
      <c r="J4026" s="22">
        <v>0</v>
      </c>
      <c r="K4026" s="22">
        <v>-790.15</v>
      </c>
      <c r="L4026" s="22">
        <v>38717.230000000003</v>
      </c>
      <c r="M4026" s="10"/>
      <c r="O4026" s="11"/>
    </row>
    <row r="4027" spans="1:15" s="4" customFormat="1" x14ac:dyDescent="0.25">
      <c r="A4027" s="6"/>
      <c r="B4027" s="5"/>
      <c r="C4027" s="5"/>
      <c r="D4027" s="5" t="s">
        <v>503</v>
      </c>
      <c r="E4027" s="5" t="s">
        <v>504</v>
      </c>
      <c r="F4027" s="5" t="s">
        <v>551</v>
      </c>
      <c r="G4027" s="14">
        <f t="shared" ref="G4027:L4027" si="997">SUBTOTAL(9,G4025:G4026)</f>
        <v>39507.379999999997</v>
      </c>
      <c r="H4027" s="14">
        <f t="shared" si="997"/>
        <v>0</v>
      </c>
      <c r="I4027" s="14">
        <f t="shared" si="997"/>
        <v>0</v>
      </c>
      <c r="J4027" s="14">
        <f t="shared" si="997"/>
        <v>4740.8900000000003</v>
      </c>
      <c r="K4027" s="14">
        <f t="shared" si="997"/>
        <v>-790.15</v>
      </c>
      <c r="L4027" s="14">
        <f t="shared" si="997"/>
        <v>43458.12</v>
      </c>
      <c r="M4027" s="10">
        <v>3073</v>
      </c>
      <c r="N4027" s="67"/>
      <c r="O4027" s="11">
        <f>O4023+1</f>
        <v>954</v>
      </c>
    </row>
    <row r="4028" spans="1:15" s="4" customFormat="1" x14ac:dyDescent="0.25">
      <c r="A4028" s="10"/>
      <c r="B4028"/>
      <c r="C4028"/>
      <c r="D4028"/>
      <c r="E4028"/>
      <c r="F4028"/>
      <c r="G4028" s="21"/>
      <c r="H4028" s="21"/>
      <c r="I4028" s="21"/>
      <c r="J4028" s="21"/>
      <c r="K4028" s="21"/>
      <c r="L4028" s="21"/>
      <c r="M4028" s="10"/>
      <c r="N4028" s="67"/>
      <c r="O4028" s="11"/>
    </row>
    <row r="4029" spans="1:15" x14ac:dyDescent="0.25">
      <c r="A4029" s="6">
        <v>2027</v>
      </c>
      <c r="B4029" s="5" t="s">
        <v>550</v>
      </c>
      <c r="C4029" s="5" t="s">
        <v>13</v>
      </c>
      <c r="D4029" s="5" t="s">
        <v>503</v>
      </c>
      <c r="E4029" s="5" t="s">
        <v>504</v>
      </c>
      <c r="F4029" s="5" t="s">
        <v>552</v>
      </c>
      <c r="G4029" s="22">
        <v>0</v>
      </c>
      <c r="H4029" s="22">
        <v>0</v>
      </c>
      <c r="I4029" s="22">
        <v>0</v>
      </c>
      <c r="J4029" s="22">
        <v>0.34</v>
      </c>
      <c r="K4029" s="22">
        <v>0</v>
      </c>
      <c r="L4029" s="22">
        <v>0.34</v>
      </c>
      <c r="M4029" s="10"/>
      <c r="O4029" s="11"/>
    </row>
    <row r="4030" spans="1:15" x14ac:dyDescent="0.25">
      <c r="A4030" s="6">
        <v>2028</v>
      </c>
      <c r="B4030" s="5" t="s">
        <v>550</v>
      </c>
      <c r="C4030" s="5" t="s">
        <v>17</v>
      </c>
      <c r="D4030" s="5" t="s">
        <v>503</v>
      </c>
      <c r="E4030" s="5" t="s">
        <v>504</v>
      </c>
      <c r="F4030" s="5" t="s">
        <v>552</v>
      </c>
      <c r="G4030" s="22">
        <v>2.84</v>
      </c>
      <c r="H4030" s="22">
        <v>0</v>
      </c>
      <c r="I4030" s="22">
        <v>0</v>
      </c>
      <c r="J4030" s="22">
        <v>0</v>
      </c>
      <c r="K4030" s="22">
        <v>-0.06</v>
      </c>
      <c r="L4030" s="22">
        <v>2.78</v>
      </c>
      <c r="M4030" s="10"/>
      <c r="O4030" s="11"/>
    </row>
    <row r="4031" spans="1:15" s="4" customFormat="1" x14ac:dyDescent="0.25">
      <c r="A4031" s="6"/>
      <c r="B4031" s="5"/>
      <c r="C4031" s="5"/>
      <c r="D4031" s="5" t="s">
        <v>503</v>
      </c>
      <c r="E4031" s="5" t="s">
        <v>504</v>
      </c>
      <c r="F4031" s="5" t="s">
        <v>552</v>
      </c>
      <c r="G4031" s="14">
        <f t="shared" ref="G4031:L4031" si="998">SUBTOTAL(9,G4029:G4030)</f>
        <v>2.84</v>
      </c>
      <c r="H4031" s="14">
        <f t="shared" si="998"/>
        <v>0</v>
      </c>
      <c r="I4031" s="14">
        <f t="shared" si="998"/>
        <v>0</v>
      </c>
      <c r="J4031" s="14">
        <f t="shared" si="998"/>
        <v>0.34</v>
      </c>
      <c r="K4031" s="14">
        <f t="shared" si="998"/>
        <v>-0.06</v>
      </c>
      <c r="L4031" s="14">
        <f t="shared" si="998"/>
        <v>3.1199999999999997</v>
      </c>
      <c r="M4031" s="10">
        <v>3074</v>
      </c>
      <c r="N4031" s="67"/>
      <c r="O4031" s="11">
        <f>O4027+1</f>
        <v>955</v>
      </c>
    </row>
    <row r="4032" spans="1:15" x14ac:dyDescent="0.25">
      <c r="A4032" s="10"/>
      <c r="G4032" s="21"/>
      <c r="H4032" s="21"/>
      <c r="I4032" s="21"/>
      <c r="J4032" s="21"/>
      <c r="K4032" s="21"/>
      <c r="L4032" s="21"/>
      <c r="M4032" s="10"/>
      <c r="O4032" s="11"/>
    </row>
    <row r="4033" spans="1:15" x14ac:dyDescent="0.25">
      <c r="A4033" s="6">
        <v>2029</v>
      </c>
      <c r="B4033" s="5" t="s">
        <v>18</v>
      </c>
      <c r="C4033" s="5" t="s">
        <v>17</v>
      </c>
      <c r="D4033" s="5" t="s">
        <v>505</v>
      </c>
      <c r="E4033" s="5" t="s">
        <v>506</v>
      </c>
      <c r="F4033" s="5" t="s">
        <v>19</v>
      </c>
      <c r="G4033" s="22">
        <v>0.7</v>
      </c>
      <c r="H4033" s="22">
        <v>0</v>
      </c>
      <c r="I4033" s="22">
        <v>0</v>
      </c>
      <c r="J4033" s="22">
        <v>0</v>
      </c>
      <c r="K4033" s="22">
        <v>-0.62</v>
      </c>
      <c r="L4033" s="22">
        <v>0.08</v>
      </c>
      <c r="M4033" s="10"/>
      <c r="O4033" s="11"/>
    </row>
    <row r="4034" spans="1:15" s="4" customFormat="1" x14ac:dyDescent="0.25">
      <c r="A4034" s="6"/>
      <c r="B4034" s="5"/>
      <c r="C4034" s="5"/>
      <c r="D4034" s="5" t="s">
        <v>505</v>
      </c>
      <c r="E4034" s="5" t="s">
        <v>506</v>
      </c>
      <c r="F4034" s="5" t="s">
        <v>19</v>
      </c>
      <c r="G4034" s="14">
        <f t="shared" ref="G4034:L4034" si="999">SUBTOTAL(9,G4033:G4033)</f>
        <v>0.7</v>
      </c>
      <c r="H4034" s="14">
        <f t="shared" si="999"/>
        <v>0</v>
      </c>
      <c r="I4034" s="14">
        <f t="shared" si="999"/>
        <v>0</v>
      </c>
      <c r="J4034" s="14">
        <f t="shared" si="999"/>
        <v>0</v>
      </c>
      <c r="K4034" s="14">
        <f t="shared" si="999"/>
        <v>-0.62</v>
      </c>
      <c r="L4034" s="14">
        <f t="shared" si="999"/>
        <v>0.08</v>
      </c>
      <c r="M4034" s="10">
        <v>3075</v>
      </c>
      <c r="N4034" s="67"/>
      <c r="O4034" s="11">
        <f>O4031+1</f>
        <v>956</v>
      </c>
    </row>
    <row r="4035" spans="1:15" x14ac:dyDescent="0.25">
      <c r="A4035" s="10"/>
      <c r="G4035" s="21"/>
      <c r="H4035" s="21"/>
      <c r="I4035" s="21"/>
      <c r="J4035" s="21"/>
      <c r="K4035" s="21"/>
      <c r="L4035" s="21"/>
      <c r="M4035" s="10"/>
      <c r="O4035" s="11"/>
    </row>
    <row r="4036" spans="1:15" x14ac:dyDescent="0.25">
      <c r="A4036" s="6">
        <v>2030</v>
      </c>
      <c r="B4036" s="5" t="s">
        <v>550</v>
      </c>
      <c r="C4036" s="5" t="s">
        <v>13</v>
      </c>
      <c r="D4036" s="5" t="s">
        <v>505</v>
      </c>
      <c r="E4036" s="5" t="s">
        <v>506</v>
      </c>
      <c r="F4036" s="5" t="s">
        <v>551</v>
      </c>
      <c r="G4036" s="22">
        <v>0</v>
      </c>
      <c r="H4036" s="22">
        <v>0</v>
      </c>
      <c r="I4036" s="22">
        <v>0</v>
      </c>
      <c r="J4036" s="22">
        <v>4029.47</v>
      </c>
      <c r="K4036" s="22">
        <v>0</v>
      </c>
      <c r="L4036" s="22">
        <v>4029.47</v>
      </c>
      <c r="M4036" s="10"/>
      <c r="O4036" s="11"/>
    </row>
    <row r="4037" spans="1:15" s="4" customFormat="1" x14ac:dyDescent="0.25">
      <c r="A4037" s="6">
        <v>2031</v>
      </c>
      <c r="B4037" s="5" t="s">
        <v>550</v>
      </c>
      <c r="C4037" s="5" t="s">
        <v>17</v>
      </c>
      <c r="D4037" s="5" t="s">
        <v>505</v>
      </c>
      <c r="E4037" s="5" t="s">
        <v>506</v>
      </c>
      <c r="F4037" s="5" t="s">
        <v>551</v>
      </c>
      <c r="G4037" s="22">
        <v>33578.93</v>
      </c>
      <c r="H4037" s="22">
        <v>0</v>
      </c>
      <c r="I4037" s="22">
        <v>0</v>
      </c>
      <c r="J4037" s="22">
        <v>0</v>
      </c>
      <c r="K4037" s="22">
        <v>-671.58</v>
      </c>
      <c r="L4037" s="22">
        <v>32907.35</v>
      </c>
      <c r="M4037" s="10"/>
      <c r="N4037" s="67"/>
      <c r="O4037" s="11"/>
    </row>
    <row r="4038" spans="1:15" s="4" customFormat="1" x14ac:dyDescent="0.25">
      <c r="A4038" s="6"/>
      <c r="B4038" s="5"/>
      <c r="C4038" s="5"/>
      <c r="D4038" s="5" t="s">
        <v>505</v>
      </c>
      <c r="E4038" s="5" t="s">
        <v>506</v>
      </c>
      <c r="F4038" s="5" t="s">
        <v>551</v>
      </c>
      <c r="G4038" s="14">
        <f t="shared" ref="G4038:L4038" si="1000">SUBTOTAL(9,G4036:G4037)</f>
        <v>33578.93</v>
      </c>
      <c r="H4038" s="14">
        <f t="shared" si="1000"/>
        <v>0</v>
      </c>
      <c r="I4038" s="14">
        <f t="shared" si="1000"/>
        <v>0</v>
      </c>
      <c r="J4038" s="14">
        <f t="shared" si="1000"/>
        <v>4029.47</v>
      </c>
      <c r="K4038" s="14">
        <f t="shared" si="1000"/>
        <v>-671.58</v>
      </c>
      <c r="L4038" s="14">
        <f t="shared" si="1000"/>
        <v>36936.82</v>
      </c>
      <c r="M4038" s="10">
        <v>3076</v>
      </c>
      <c r="N4038" s="67"/>
      <c r="O4038" s="11">
        <f>O4034+1</f>
        <v>957</v>
      </c>
    </row>
    <row r="4039" spans="1:15" x14ac:dyDescent="0.25">
      <c r="A4039" s="10"/>
      <c r="G4039" s="21"/>
      <c r="H4039" s="21"/>
      <c r="I4039" s="21"/>
      <c r="J4039" s="21"/>
      <c r="K4039" s="21"/>
      <c r="L4039" s="21"/>
      <c r="M4039" s="10"/>
      <c r="O4039" s="11"/>
    </row>
    <row r="4040" spans="1:15" x14ac:dyDescent="0.25">
      <c r="A4040" s="6">
        <v>2032</v>
      </c>
      <c r="B4040" s="5" t="s">
        <v>550</v>
      </c>
      <c r="C4040" s="5" t="s">
        <v>13</v>
      </c>
      <c r="D4040" s="5" t="s">
        <v>505</v>
      </c>
      <c r="E4040" s="5" t="s">
        <v>506</v>
      </c>
      <c r="F4040" s="5" t="s">
        <v>552</v>
      </c>
      <c r="G4040" s="22">
        <v>0</v>
      </c>
      <c r="H4040" s="22">
        <v>0</v>
      </c>
      <c r="I4040" s="22">
        <v>0</v>
      </c>
      <c r="J4040" s="22">
        <v>0.28999999999999998</v>
      </c>
      <c r="K4040" s="22">
        <v>0</v>
      </c>
      <c r="L4040" s="22">
        <v>0.28999999999999998</v>
      </c>
      <c r="M4040" s="10"/>
      <c r="O4040" s="11"/>
    </row>
    <row r="4041" spans="1:15" s="4" customFormat="1" x14ac:dyDescent="0.25">
      <c r="A4041" s="6">
        <v>2033</v>
      </c>
      <c r="B4041" s="5" t="s">
        <v>550</v>
      </c>
      <c r="C4041" s="5" t="s">
        <v>17</v>
      </c>
      <c r="D4041" s="5" t="s">
        <v>505</v>
      </c>
      <c r="E4041" s="5" t="s">
        <v>506</v>
      </c>
      <c r="F4041" s="5" t="s">
        <v>552</v>
      </c>
      <c r="G4041" s="22">
        <v>2.42</v>
      </c>
      <c r="H4041" s="22">
        <v>0</v>
      </c>
      <c r="I4041" s="22">
        <v>0</v>
      </c>
      <c r="J4041" s="22">
        <v>0</v>
      </c>
      <c r="K4041" s="22">
        <v>-0.05</v>
      </c>
      <c r="L4041" s="22">
        <v>2.37</v>
      </c>
      <c r="M4041" s="10"/>
      <c r="N4041" s="67"/>
      <c r="O4041" s="11"/>
    </row>
    <row r="4042" spans="1:15" s="4" customFormat="1" x14ac:dyDescent="0.25">
      <c r="A4042" s="6"/>
      <c r="B4042" s="5"/>
      <c r="C4042" s="5"/>
      <c r="D4042" s="5" t="s">
        <v>505</v>
      </c>
      <c r="E4042" s="5" t="s">
        <v>506</v>
      </c>
      <c r="F4042" s="5" t="s">
        <v>552</v>
      </c>
      <c r="G4042" s="14">
        <f t="shared" ref="G4042:L4042" si="1001">SUBTOTAL(9,G4040:G4041)</f>
        <v>2.42</v>
      </c>
      <c r="H4042" s="14">
        <f t="shared" si="1001"/>
        <v>0</v>
      </c>
      <c r="I4042" s="14">
        <f t="shared" si="1001"/>
        <v>0</v>
      </c>
      <c r="J4042" s="14">
        <f t="shared" si="1001"/>
        <v>0.28999999999999998</v>
      </c>
      <c r="K4042" s="14">
        <f t="shared" si="1001"/>
        <v>-0.05</v>
      </c>
      <c r="L4042" s="14">
        <f t="shared" si="1001"/>
        <v>2.66</v>
      </c>
      <c r="M4042" s="10">
        <v>3077</v>
      </c>
      <c r="N4042" s="67"/>
      <c r="O4042" s="11">
        <f>O4038+1</f>
        <v>958</v>
      </c>
    </row>
    <row r="4043" spans="1:15" x14ac:dyDescent="0.25">
      <c r="A4043" s="10"/>
      <c r="G4043" s="21"/>
      <c r="H4043" s="21"/>
      <c r="I4043" s="21"/>
      <c r="J4043" s="21"/>
      <c r="K4043" s="21"/>
      <c r="L4043" s="21"/>
      <c r="M4043" s="10"/>
      <c r="O4043" s="11"/>
    </row>
    <row r="4044" spans="1:15" x14ac:dyDescent="0.25">
      <c r="A4044" s="6">
        <v>2034</v>
      </c>
      <c r="B4044" s="5" t="s">
        <v>18</v>
      </c>
      <c r="C4044" s="5" t="s">
        <v>17</v>
      </c>
      <c r="D4044" s="5" t="s">
        <v>507</v>
      </c>
      <c r="E4044" s="5" t="s">
        <v>508</v>
      </c>
      <c r="F4044" s="5" t="s">
        <v>19</v>
      </c>
      <c r="G4044" s="22">
        <v>2.15</v>
      </c>
      <c r="H4044" s="22">
        <v>0</v>
      </c>
      <c r="I4044" s="22">
        <v>0</v>
      </c>
      <c r="J4044" s="22">
        <v>0</v>
      </c>
      <c r="K4044" s="22">
        <v>-1.91</v>
      </c>
      <c r="L4044" s="22">
        <v>0.24</v>
      </c>
      <c r="M4044" s="10"/>
      <c r="O4044" s="11"/>
    </row>
    <row r="4045" spans="1:15" s="4" customFormat="1" x14ac:dyDescent="0.25">
      <c r="A4045" s="6"/>
      <c r="B4045" s="5"/>
      <c r="C4045" s="5"/>
      <c r="D4045" s="5" t="s">
        <v>507</v>
      </c>
      <c r="E4045" s="5" t="s">
        <v>508</v>
      </c>
      <c r="F4045" s="5" t="s">
        <v>19</v>
      </c>
      <c r="G4045" s="14">
        <f t="shared" ref="G4045:L4045" si="1002">SUBTOTAL(9,G4044:G4044)</f>
        <v>2.15</v>
      </c>
      <c r="H4045" s="14">
        <f t="shared" si="1002"/>
        <v>0</v>
      </c>
      <c r="I4045" s="14">
        <f t="shared" si="1002"/>
        <v>0</v>
      </c>
      <c r="J4045" s="14">
        <f t="shared" si="1002"/>
        <v>0</v>
      </c>
      <c r="K4045" s="14">
        <f t="shared" si="1002"/>
        <v>-1.91</v>
      </c>
      <c r="L4045" s="14">
        <f t="shared" si="1002"/>
        <v>0.24</v>
      </c>
      <c r="M4045" s="10">
        <v>3078</v>
      </c>
      <c r="N4045" s="67"/>
      <c r="O4045" s="11">
        <f>O4042+1</f>
        <v>959</v>
      </c>
    </row>
    <row r="4046" spans="1:15" x14ac:dyDescent="0.25">
      <c r="A4046" s="10"/>
      <c r="G4046" s="21"/>
      <c r="H4046" s="21"/>
      <c r="I4046" s="21"/>
      <c r="J4046" s="21"/>
      <c r="K4046" s="21"/>
      <c r="L4046" s="21"/>
      <c r="M4046" s="10"/>
      <c r="O4046" s="11"/>
    </row>
    <row r="4047" spans="1:15" x14ac:dyDescent="0.25">
      <c r="A4047" s="6">
        <v>2035</v>
      </c>
      <c r="B4047" s="5" t="s">
        <v>550</v>
      </c>
      <c r="C4047" s="5" t="s">
        <v>13</v>
      </c>
      <c r="D4047" s="5" t="s">
        <v>507</v>
      </c>
      <c r="E4047" s="5" t="s">
        <v>508</v>
      </c>
      <c r="F4047" s="5" t="s">
        <v>551</v>
      </c>
      <c r="G4047" s="22">
        <v>0</v>
      </c>
      <c r="H4047" s="22">
        <v>0</v>
      </c>
      <c r="I4047" s="22">
        <v>0</v>
      </c>
      <c r="J4047" s="22">
        <v>14901.57</v>
      </c>
      <c r="K4047" s="22">
        <v>0</v>
      </c>
      <c r="L4047" s="22">
        <v>14901.57</v>
      </c>
      <c r="M4047" s="10"/>
      <c r="O4047" s="11"/>
    </row>
    <row r="4048" spans="1:15" s="4" customFormat="1" x14ac:dyDescent="0.25">
      <c r="A4048" s="6">
        <v>2036</v>
      </c>
      <c r="B4048" s="5" t="s">
        <v>550</v>
      </c>
      <c r="C4048" s="5" t="s">
        <v>17</v>
      </c>
      <c r="D4048" s="5" t="s">
        <v>507</v>
      </c>
      <c r="E4048" s="5" t="s">
        <v>508</v>
      </c>
      <c r="F4048" s="5" t="s">
        <v>551</v>
      </c>
      <c r="G4048" s="22">
        <v>125787.53</v>
      </c>
      <c r="H4048" s="22">
        <v>0</v>
      </c>
      <c r="I4048" s="22">
        <v>0</v>
      </c>
      <c r="J4048" s="22">
        <v>0</v>
      </c>
      <c r="K4048" s="22">
        <v>-2515.75</v>
      </c>
      <c r="L4048" s="22">
        <v>123271.78</v>
      </c>
      <c r="M4048" s="10"/>
      <c r="N4048" s="67"/>
      <c r="O4048" s="11"/>
    </row>
    <row r="4049" spans="1:15" x14ac:dyDescent="0.25">
      <c r="A4049" s="6"/>
      <c r="B4049" s="5"/>
      <c r="C4049" s="5"/>
      <c r="D4049" s="5" t="s">
        <v>507</v>
      </c>
      <c r="E4049" s="5" t="s">
        <v>508</v>
      </c>
      <c r="F4049" s="5" t="s">
        <v>551</v>
      </c>
      <c r="G4049" s="14">
        <f t="shared" ref="G4049:L4049" si="1003">SUBTOTAL(9,G4047:G4048)</f>
        <v>125787.53</v>
      </c>
      <c r="H4049" s="14">
        <f t="shared" si="1003"/>
        <v>0</v>
      </c>
      <c r="I4049" s="14">
        <f t="shared" si="1003"/>
        <v>0</v>
      </c>
      <c r="J4049" s="14">
        <f t="shared" si="1003"/>
        <v>14901.57</v>
      </c>
      <c r="K4049" s="14">
        <f t="shared" si="1003"/>
        <v>-2515.75</v>
      </c>
      <c r="L4049" s="14">
        <f t="shared" si="1003"/>
        <v>138173.35</v>
      </c>
      <c r="M4049" s="10">
        <v>3079</v>
      </c>
      <c r="O4049" s="11">
        <f>O4045+1</f>
        <v>960</v>
      </c>
    </row>
    <row r="4050" spans="1:15" x14ac:dyDescent="0.25">
      <c r="A4050" s="10"/>
      <c r="G4050" s="21"/>
      <c r="H4050" s="21"/>
      <c r="I4050" s="21"/>
      <c r="J4050" s="21"/>
      <c r="K4050" s="21"/>
      <c r="L4050" s="21"/>
      <c r="M4050" s="10"/>
      <c r="O4050" s="11"/>
    </row>
    <row r="4051" spans="1:15" s="4" customFormat="1" x14ac:dyDescent="0.25">
      <c r="A4051" s="6">
        <v>2037</v>
      </c>
      <c r="B4051" s="5" t="s">
        <v>550</v>
      </c>
      <c r="C4051" s="5" t="s">
        <v>13</v>
      </c>
      <c r="D4051" s="5" t="s">
        <v>507</v>
      </c>
      <c r="E4051" s="5" t="s">
        <v>508</v>
      </c>
      <c r="F4051" s="5" t="s">
        <v>552</v>
      </c>
      <c r="G4051" s="22">
        <v>0</v>
      </c>
      <c r="H4051" s="22">
        <v>0</v>
      </c>
      <c r="I4051" s="22">
        <v>0</v>
      </c>
      <c r="J4051" s="22">
        <v>1.08</v>
      </c>
      <c r="K4051" s="22">
        <v>0</v>
      </c>
      <c r="L4051" s="22">
        <v>1.08</v>
      </c>
      <c r="M4051" s="10"/>
      <c r="N4051" s="67"/>
      <c r="O4051" s="11"/>
    </row>
    <row r="4052" spans="1:15" x14ac:dyDescent="0.25">
      <c r="A4052" s="6">
        <v>2038</v>
      </c>
      <c r="B4052" s="5" t="s">
        <v>550</v>
      </c>
      <c r="C4052" s="5" t="s">
        <v>17</v>
      </c>
      <c r="D4052" s="5" t="s">
        <v>507</v>
      </c>
      <c r="E4052" s="5" t="s">
        <v>508</v>
      </c>
      <c r="F4052" s="5" t="s">
        <v>552</v>
      </c>
      <c r="G4052" s="22">
        <v>9.0500000000000007</v>
      </c>
      <c r="H4052" s="22">
        <v>0</v>
      </c>
      <c r="I4052" s="22">
        <v>0</v>
      </c>
      <c r="J4052" s="22">
        <v>0</v>
      </c>
      <c r="K4052" s="22">
        <v>-0.18</v>
      </c>
      <c r="L4052" s="22">
        <v>8.8699999999999992</v>
      </c>
      <c r="M4052" s="10"/>
      <c r="O4052" s="11"/>
    </row>
    <row r="4053" spans="1:15" x14ac:dyDescent="0.25">
      <c r="A4053" s="6"/>
      <c r="B4053" s="5"/>
      <c r="C4053" s="5"/>
      <c r="D4053" s="5" t="s">
        <v>507</v>
      </c>
      <c r="E4053" s="5" t="s">
        <v>508</v>
      </c>
      <c r="F4053" s="5" t="s">
        <v>552</v>
      </c>
      <c r="G4053" s="14">
        <f t="shared" ref="G4053:L4053" si="1004">SUBTOTAL(9,G4051:G4052)</f>
        <v>9.0500000000000007</v>
      </c>
      <c r="H4053" s="14">
        <f t="shared" si="1004"/>
        <v>0</v>
      </c>
      <c r="I4053" s="14">
        <f t="shared" si="1004"/>
        <v>0</v>
      </c>
      <c r="J4053" s="14">
        <f t="shared" si="1004"/>
        <v>1.08</v>
      </c>
      <c r="K4053" s="14">
        <f t="shared" si="1004"/>
        <v>-0.18</v>
      </c>
      <c r="L4053" s="14">
        <f t="shared" si="1004"/>
        <v>9.9499999999999993</v>
      </c>
      <c r="M4053" s="10">
        <v>3080</v>
      </c>
      <c r="O4053" s="11">
        <f>O4049+1</f>
        <v>961</v>
      </c>
    </row>
    <row r="4054" spans="1:15" s="4" customFormat="1" x14ac:dyDescent="0.25">
      <c r="A4054" s="10"/>
      <c r="B4054"/>
      <c r="C4054"/>
      <c r="D4054"/>
      <c r="E4054"/>
      <c r="F4054"/>
      <c r="G4054" s="21"/>
      <c r="H4054" s="21"/>
      <c r="I4054" s="21"/>
      <c r="J4054" s="21"/>
      <c r="K4054" s="21"/>
      <c r="L4054" s="21"/>
      <c r="M4054" s="10"/>
      <c r="N4054" s="67"/>
      <c r="O4054" s="11"/>
    </row>
    <row r="4055" spans="1:15" x14ac:dyDescent="0.25">
      <c r="A4055" s="6">
        <v>2039</v>
      </c>
      <c r="B4055" s="5" t="s">
        <v>18</v>
      </c>
      <c r="C4055" s="5" t="s">
        <v>17</v>
      </c>
      <c r="D4055" s="5" t="s">
        <v>509</v>
      </c>
      <c r="E4055" s="5" t="s">
        <v>510</v>
      </c>
      <c r="F4055" s="5" t="s">
        <v>19</v>
      </c>
      <c r="G4055" s="22">
        <v>0</v>
      </c>
      <c r="H4055" s="22">
        <v>0</v>
      </c>
      <c r="I4055" s="22">
        <v>0.12</v>
      </c>
      <c r="J4055" s="22">
        <v>0</v>
      </c>
      <c r="K4055" s="22">
        <v>-0.01</v>
      </c>
      <c r="L4055" s="22">
        <v>0.11</v>
      </c>
      <c r="M4055" s="10"/>
      <c r="O4055" s="11"/>
    </row>
    <row r="4056" spans="1:15" x14ac:dyDescent="0.25">
      <c r="A4056" s="6">
        <v>2040</v>
      </c>
      <c r="B4056" s="5" t="s">
        <v>18</v>
      </c>
      <c r="C4056" s="5" t="s">
        <v>17</v>
      </c>
      <c r="D4056" s="5" t="s">
        <v>509</v>
      </c>
      <c r="E4056" s="5" t="s">
        <v>510</v>
      </c>
      <c r="F4056" s="5" t="s">
        <v>19</v>
      </c>
      <c r="G4056" s="22">
        <v>0</v>
      </c>
      <c r="H4056" s="22">
        <v>0</v>
      </c>
      <c r="I4056" s="22">
        <v>0</v>
      </c>
      <c r="J4056" s="22">
        <v>0</v>
      </c>
      <c r="K4056" s="22">
        <v>0</v>
      </c>
      <c r="L4056" s="22">
        <v>0</v>
      </c>
      <c r="M4056" s="10"/>
      <c r="O4056" s="11"/>
    </row>
    <row r="4057" spans="1:15" s="4" customFormat="1" x14ac:dyDescent="0.25">
      <c r="A4057" s="6"/>
      <c r="B4057" s="5"/>
      <c r="C4057" s="5"/>
      <c r="D4057" s="5" t="s">
        <v>509</v>
      </c>
      <c r="E4057" s="5" t="s">
        <v>510</v>
      </c>
      <c r="F4057" s="5" t="s">
        <v>19</v>
      </c>
      <c r="G4057" s="14">
        <f t="shared" ref="G4057:L4057" si="1005">SUBTOTAL(9,G4055:G4056)</f>
        <v>0</v>
      </c>
      <c r="H4057" s="14">
        <f t="shared" si="1005"/>
        <v>0</v>
      </c>
      <c r="I4057" s="14">
        <f t="shared" si="1005"/>
        <v>0.12</v>
      </c>
      <c r="J4057" s="14">
        <f t="shared" si="1005"/>
        <v>0</v>
      </c>
      <c r="K4057" s="14">
        <f t="shared" si="1005"/>
        <v>-0.01</v>
      </c>
      <c r="L4057" s="14">
        <f t="shared" si="1005"/>
        <v>0.11</v>
      </c>
      <c r="M4057" s="10">
        <v>3081</v>
      </c>
      <c r="N4057" s="67"/>
      <c r="O4057" s="11">
        <f>O4053+1</f>
        <v>962</v>
      </c>
    </row>
    <row r="4058" spans="1:15" x14ac:dyDescent="0.25">
      <c r="A4058" s="10"/>
      <c r="G4058" s="21"/>
      <c r="H4058" s="21"/>
      <c r="I4058" s="21"/>
      <c r="J4058" s="21"/>
      <c r="K4058" s="21"/>
      <c r="L4058" s="21"/>
      <c r="M4058" s="10"/>
      <c r="O4058" s="11"/>
    </row>
    <row r="4059" spans="1:15" x14ac:dyDescent="0.25">
      <c r="A4059" s="6">
        <v>2041</v>
      </c>
      <c r="B4059" s="5" t="s">
        <v>550</v>
      </c>
      <c r="C4059" s="5" t="s">
        <v>17</v>
      </c>
      <c r="D4059" s="5" t="s">
        <v>509</v>
      </c>
      <c r="E4059" s="5" t="s">
        <v>510</v>
      </c>
      <c r="F4059" s="5" t="s">
        <v>551</v>
      </c>
      <c r="G4059" s="22">
        <v>0</v>
      </c>
      <c r="H4059" s="22">
        <v>0</v>
      </c>
      <c r="I4059" s="22">
        <v>29.89</v>
      </c>
      <c r="J4059" s="22">
        <v>0</v>
      </c>
      <c r="K4059" s="22">
        <v>-0.6</v>
      </c>
      <c r="L4059" s="22">
        <v>29.29</v>
      </c>
      <c r="M4059" s="10"/>
      <c r="O4059" s="11"/>
    </row>
    <row r="4060" spans="1:15" s="4" customFormat="1" x14ac:dyDescent="0.25">
      <c r="A4060" s="6">
        <v>2042</v>
      </c>
      <c r="B4060" s="5" t="s">
        <v>550</v>
      </c>
      <c r="C4060" s="5" t="s">
        <v>17</v>
      </c>
      <c r="D4060" s="5" t="s">
        <v>509</v>
      </c>
      <c r="E4060" s="5" t="s">
        <v>510</v>
      </c>
      <c r="F4060" s="5" t="s">
        <v>551</v>
      </c>
      <c r="G4060" s="22">
        <v>0</v>
      </c>
      <c r="H4060" s="22">
        <v>0</v>
      </c>
      <c r="I4060" s="22">
        <v>271.55</v>
      </c>
      <c r="J4060" s="22">
        <v>0</v>
      </c>
      <c r="K4060" s="22">
        <v>-5.43</v>
      </c>
      <c r="L4060" s="22">
        <v>266.12</v>
      </c>
      <c r="M4060" s="10"/>
      <c r="N4060" s="67"/>
      <c r="O4060" s="11"/>
    </row>
    <row r="4061" spans="1:15" x14ac:dyDescent="0.25">
      <c r="A4061" s="6"/>
      <c r="B4061" s="5"/>
      <c r="C4061" s="5"/>
      <c r="D4061" s="5" t="s">
        <v>509</v>
      </c>
      <c r="E4061" s="5" t="s">
        <v>510</v>
      </c>
      <c r="F4061" s="5" t="s">
        <v>551</v>
      </c>
      <c r="G4061" s="14">
        <f t="shared" ref="G4061:L4061" si="1006">SUBTOTAL(9,G4059:G4060)</f>
        <v>0</v>
      </c>
      <c r="H4061" s="14">
        <f t="shared" si="1006"/>
        <v>0</v>
      </c>
      <c r="I4061" s="14">
        <f t="shared" si="1006"/>
        <v>301.44</v>
      </c>
      <c r="J4061" s="14">
        <f t="shared" si="1006"/>
        <v>0</v>
      </c>
      <c r="K4061" s="14">
        <f t="shared" si="1006"/>
        <v>-6.0299999999999994</v>
      </c>
      <c r="L4061" s="14">
        <f t="shared" si="1006"/>
        <v>295.41000000000003</v>
      </c>
      <c r="M4061" s="10">
        <v>3082</v>
      </c>
      <c r="O4061" s="11">
        <f>O4057+1</f>
        <v>963</v>
      </c>
    </row>
    <row r="4062" spans="1:15" x14ac:dyDescent="0.25">
      <c r="A4062" s="10"/>
      <c r="G4062" s="21"/>
      <c r="H4062" s="21"/>
      <c r="I4062" s="21"/>
      <c r="J4062" s="21"/>
      <c r="K4062" s="21"/>
      <c r="L4062" s="21"/>
      <c r="M4062" s="10"/>
      <c r="O4062" s="11"/>
    </row>
    <row r="4063" spans="1:15" s="4" customFormat="1" x14ac:dyDescent="0.25">
      <c r="A4063" s="6">
        <v>2043</v>
      </c>
      <c r="B4063" s="5" t="s">
        <v>550</v>
      </c>
      <c r="C4063" s="5" t="s">
        <v>17</v>
      </c>
      <c r="D4063" s="5" t="s">
        <v>509</v>
      </c>
      <c r="E4063" s="5" t="s">
        <v>510</v>
      </c>
      <c r="F4063" s="5" t="s">
        <v>552</v>
      </c>
      <c r="G4063" s="22">
        <v>0</v>
      </c>
      <c r="H4063" s="22">
        <v>0</v>
      </c>
      <c r="I4063" s="22">
        <v>0.02</v>
      </c>
      <c r="J4063" s="22">
        <v>0</v>
      </c>
      <c r="K4063" s="22">
        <v>0</v>
      </c>
      <c r="L4063" s="22">
        <v>0.02</v>
      </c>
      <c r="M4063" s="10"/>
      <c r="N4063" s="67"/>
      <c r="O4063" s="11"/>
    </row>
    <row r="4064" spans="1:15" x14ac:dyDescent="0.25">
      <c r="A4064" s="6"/>
      <c r="B4064" s="5"/>
      <c r="C4064" s="5"/>
      <c r="D4064" s="5" t="s">
        <v>509</v>
      </c>
      <c r="E4064" s="5" t="s">
        <v>510</v>
      </c>
      <c r="F4064" s="5" t="s">
        <v>552</v>
      </c>
      <c r="G4064" s="14">
        <f t="shared" ref="G4064:L4064" si="1007">SUBTOTAL(9,G4063:G4063)</f>
        <v>0</v>
      </c>
      <c r="H4064" s="14">
        <f t="shared" si="1007"/>
        <v>0</v>
      </c>
      <c r="I4064" s="14">
        <f t="shared" si="1007"/>
        <v>0.02</v>
      </c>
      <c r="J4064" s="14">
        <f t="shared" si="1007"/>
        <v>0</v>
      </c>
      <c r="K4064" s="14">
        <f t="shared" si="1007"/>
        <v>0</v>
      </c>
      <c r="L4064" s="14">
        <f t="shared" si="1007"/>
        <v>0.02</v>
      </c>
      <c r="M4064" s="10">
        <v>3083</v>
      </c>
      <c r="O4064" s="11">
        <f>O4061+1</f>
        <v>964</v>
      </c>
    </row>
    <row r="4065" spans="1:15" x14ac:dyDescent="0.25">
      <c r="A4065" s="10"/>
      <c r="G4065" s="21"/>
      <c r="H4065" s="21"/>
      <c r="I4065" s="21"/>
      <c r="J4065" s="21"/>
      <c r="K4065" s="21"/>
      <c r="L4065" s="21"/>
      <c r="M4065" s="10"/>
      <c r="O4065" s="11"/>
    </row>
    <row r="4066" spans="1:15" s="4" customFormat="1" x14ac:dyDescent="0.25">
      <c r="A4066" s="6">
        <v>2044</v>
      </c>
      <c r="B4066" s="5" t="s">
        <v>559</v>
      </c>
      <c r="C4066" s="5" t="s">
        <v>17</v>
      </c>
      <c r="D4066" s="5" t="s">
        <v>511</v>
      </c>
      <c r="E4066" s="5" t="s">
        <v>512</v>
      </c>
      <c r="F4066" s="5" t="s">
        <v>560</v>
      </c>
      <c r="G4066" s="22">
        <v>0.02</v>
      </c>
      <c r="H4066" s="22">
        <v>0</v>
      </c>
      <c r="I4066" s="22">
        <v>0</v>
      </c>
      <c r="J4066" s="22">
        <v>0</v>
      </c>
      <c r="K4066" s="22">
        <v>0</v>
      </c>
      <c r="L4066" s="22">
        <v>0.02</v>
      </c>
      <c r="M4066" s="10"/>
      <c r="N4066" s="67"/>
      <c r="O4066" s="11"/>
    </row>
    <row r="4067" spans="1:15" x14ac:dyDescent="0.25">
      <c r="A4067" s="6">
        <v>2045</v>
      </c>
      <c r="B4067" s="5" t="s">
        <v>559</v>
      </c>
      <c r="C4067" s="5" t="s">
        <v>17</v>
      </c>
      <c r="D4067" s="5" t="s">
        <v>511</v>
      </c>
      <c r="E4067" s="5" t="s">
        <v>512</v>
      </c>
      <c r="F4067" s="5" t="s">
        <v>560</v>
      </c>
      <c r="G4067" s="22">
        <v>1.02</v>
      </c>
      <c r="H4067" s="22">
        <v>0</v>
      </c>
      <c r="I4067" s="22">
        <v>0</v>
      </c>
      <c r="J4067" s="22">
        <v>0</v>
      </c>
      <c r="K4067" s="22">
        <v>-0.02</v>
      </c>
      <c r="L4067" s="22">
        <v>1</v>
      </c>
      <c r="M4067" s="10"/>
      <c r="O4067" s="11"/>
    </row>
    <row r="4068" spans="1:15" x14ac:dyDescent="0.25">
      <c r="A4068" s="6">
        <v>2046</v>
      </c>
      <c r="B4068" s="5" t="s">
        <v>559</v>
      </c>
      <c r="C4068" s="5" t="s">
        <v>17</v>
      </c>
      <c r="D4068" s="5" t="s">
        <v>511</v>
      </c>
      <c r="E4068" s="5" t="s">
        <v>512</v>
      </c>
      <c r="F4068" s="5" t="s">
        <v>560</v>
      </c>
      <c r="G4068" s="22">
        <v>0.36</v>
      </c>
      <c r="H4068" s="22">
        <v>0</v>
      </c>
      <c r="I4068" s="22">
        <v>0</v>
      </c>
      <c r="J4068" s="22">
        <v>0</v>
      </c>
      <c r="K4068" s="22">
        <v>-0.01</v>
      </c>
      <c r="L4068" s="22">
        <v>0.35</v>
      </c>
      <c r="M4068" s="10"/>
      <c r="O4068" s="11"/>
    </row>
    <row r="4069" spans="1:15" s="4" customFormat="1" x14ac:dyDescent="0.25">
      <c r="A4069" s="6">
        <v>2047</v>
      </c>
      <c r="B4069" s="5" t="s">
        <v>559</v>
      </c>
      <c r="C4069" s="5" t="s">
        <v>13</v>
      </c>
      <c r="D4069" s="5" t="s">
        <v>511</v>
      </c>
      <c r="E4069" s="5" t="s">
        <v>512</v>
      </c>
      <c r="F4069" s="5" t="s">
        <v>560</v>
      </c>
      <c r="G4069" s="22">
        <v>0</v>
      </c>
      <c r="H4069" s="22">
        <v>0</v>
      </c>
      <c r="I4069" s="22">
        <v>0</v>
      </c>
      <c r="J4069" s="22">
        <v>0</v>
      </c>
      <c r="K4069" s="22">
        <v>0</v>
      </c>
      <c r="L4069" s="22">
        <v>0</v>
      </c>
      <c r="M4069" s="10"/>
      <c r="N4069" s="67"/>
      <c r="O4069" s="11"/>
    </row>
    <row r="4070" spans="1:15" x14ac:dyDescent="0.25">
      <c r="A4070" s="6">
        <v>2048</v>
      </c>
      <c r="B4070" s="5" t="s">
        <v>559</v>
      </c>
      <c r="C4070" s="5" t="s">
        <v>13</v>
      </c>
      <c r="D4070" s="5" t="s">
        <v>511</v>
      </c>
      <c r="E4070" s="5" t="s">
        <v>512</v>
      </c>
      <c r="F4070" s="5" t="s">
        <v>560</v>
      </c>
      <c r="G4070" s="22">
        <v>0</v>
      </c>
      <c r="H4070" s="22">
        <v>0</v>
      </c>
      <c r="I4070" s="22">
        <v>0</v>
      </c>
      <c r="J4070" s="22">
        <v>0.12</v>
      </c>
      <c r="K4070" s="22">
        <v>0</v>
      </c>
      <c r="L4070" s="22">
        <v>0.12</v>
      </c>
      <c r="M4070" s="10"/>
      <c r="O4070" s="11"/>
    </row>
    <row r="4071" spans="1:15" x14ac:dyDescent="0.25">
      <c r="A4071" s="6">
        <v>2049</v>
      </c>
      <c r="B4071" s="5" t="s">
        <v>559</v>
      </c>
      <c r="C4071" s="5" t="s">
        <v>13</v>
      </c>
      <c r="D4071" s="5" t="s">
        <v>511</v>
      </c>
      <c r="E4071" s="5" t="s">
        <v>512</v>
      </c>
      <c r="F4071" s="5" t="s">
        <v>560</v>
      </c>
      <c r="G4071" s="22">
        <v>0</v>
      </c>
      <c r="H4071" s="22">
        <v>0</v>
      </c>
      <c r="I4071" s="22">
        <v>0</v>
      </c>
      <c r="J4071" s="22">
        <v>0.04</v>
      </c>
      <c r="K4071" s="22">
        <v>0</v>
      </c>
      <c r="L4071" s="22">
        <v>0.04</v>
      </c>
      <c r="M4071" s="10"/>
      <c r="O4071" s="11"/>
    </row>
    <row r="4072" spans="1:15" s="4" customFormat="1" x14ac:dyDescent="0.25">
      <c r="A4072" s="6"/>
      <c r="B4072" s="5"/>
      <c r="C4072" s="5"/>
      <c r="D4072" s="5" t="s">
        <v>511</v>
      </c>
      <c r="E4072" s="5" t="s">
        <v>512</v>
      </c>
      <c r="F4072" s="5" t="s">
        <v>560</v>
      </c>
      <c r="G4072" s="14">
        <f t="shared" ref="G4072:L4072" si="1008">SUBTOTAL(9,G4066:G4071)</f>
        <v>1.4</v>
      </c>
      <c r="H4072" s="14">
        <f t="shared" si="1008"/>
        <v>0</v>
      </c>
      <c r="I4072" s="14">
        <f t="shared" si="1008"/>
        <v>0</v>
      </c>
      <c r="J4072" s="14">
        <f t="shared" si="1008"/>
        <v>0.16</v>
      </c>
      <c r="K4072" s="14">
        <f t="shared" si="1008"/>
        <v>-0.03</v>
      </c>
      <c r="L4072" s="14">
        <f t="shared" si="1008"/>
        <v>1.5300000000000002</v>
      </c>
      <c r="M4072" s="10">
        <v>3084</v>
      </c>
      <c r="N4072" s="67"/>
      <c r="O4072" s="11">
        <f>O4064+1</f>
        <v>965</v>
      </c>
    </row>
    <row r="4073" spans="1:15" x14ac:dyDescent="0.25">
      <c r="A4073" s="10"/>
      <c r="G4073" s="21"/>
      <c r="H4073" s="21"/>
      <c r="I4073" s="21"/>
      <c r="J4073" s="21"/>
      <c r="K4073" s="21"/>
      <c r="L4073" s="21"/>
      <c r="M4073" s="10"/>
      <c r="O4073" s="11"/>
    </row>
    <row r="4074" spans="1:15" x14ac:dyDescent="0.25">
      <c r="A4074" s="6">
        <v>2050</v>
      </c>
      <c r="B4074" s="5" t="s">
        <v>18</v>
      </c>
      <c r="C4074" s="5" t="s">
        <v>17</v>
      </c>
      <c r="D4074" s="5" t="s">
        <v>511</v>
      </c>
      <c r="E4074" s="5" t="s">
        <v>512</v>
      </c>
      <c r="F4074" s="5" t="s">
        <v>19</v>
      </c>
      <c r="G4074" s="22">
        <v>0.04</v>
      </c>
      <c r="H4074" s="22">
        <v>0</v>
      </c>
      <c r="I4074" s="22">
        <v>0</v>
      </c>
      <c r="J4074" s="22">
        <v>0</v>
      </c>
      <c r="K4074" s="22">
        <v>-0.03</v>
      </c>
      <c r="L4074" s="22">
        <v>0.01</v>
      </c>
      <c r="M4074" s="10"/>
      <c r="O4074" s="11"/>
    </row>
    <row r="4075" spans="1:15" s="4" customFormat="1" x14ac:dyDescent="0.25">
      <c r="A4075" s="6">
        <v>2051</v>
      </c>
      <c r="B4075" s="5" t="s">
        <v>18</v>
      </c>
      <c r="C4075" s="5" t="s">
        <v>17</v>
      </c>
      <c r="D4075" s="5" t="s">
        <v>511</v>
      </c>
      <c r="E4075" s="5" t="s">
        <v>512</v>
      </c>
      <c r="F4075" s="5" t="s">
        <v>19</v>
      </c>
      <c r="G4075" s="22">
        <v>0.02</v>
      </c>
      <c r="H4075" s="22">
        <v>0</v>
      </c>
      <c r="I4075" s="22">
        <v>0</v>
      </c>
      <c r="J4075" s="22">
        <v>0</v>
      </c>
      <c r="K4075" s="22">
        <v>-0.02</v>
      </c>
      <c r="L4075" s="22">
        <v>0</v>
      </c>
      <c r="M4075" s="10"/>
      <c r="N4075" s="67"/>
      <c r="O4075" s="11"/>
    </row>
    <row r="4076" spans="1:15" x14ac:dyDescent="0.25">
      <c r="A4076" s="6">
        <v>2052</v>
      </c>
      <c r="B4076" s="5" t="s">
        <v>18</v>
      </c>
      <c r="C4076" s="5" t="s">
        <v>17</v>
      </c>
      <c r="D4076" s="5" t="s">
        <v>511</v>
      </c>
      <c r="E4076" s="5" t="s">
        <v>512</v>
      </c>
      <c r="F4076" s="5" t="s">
        <v>19</v>
      </c>
      <c r="G4076" s="22">
        <v>0.78</v>
      </c>
      <c r="H4076" s="22">
        <v>0</v>
      </c>
      <c r="I4076" s="22">
        <v>0</v>
      </c>
      <c r="J4076" s="22">
        <v>0</v>
      </c>
      <c r="K4076" s="22">
        <v>-0.69</v>
      </c>
      <c r="L4076" s="22">
        <v>0.09</v>
      </c>
      <c r="M4076" s="10"/>
      <c r="O4076" s="11"/>
    </row>
    <row r="4077" spans="1:15" x14ac:dyDescent="0.25">
      <c r="A4077" s="6">
        <v>2053</v>
      </c>
      <c r="B4077" s="5" t="s">
        <v>18</v>
      </c>
      <c r="C4077" s="5" t="s">
        <v>17</v>
      </c>
      <c r="D4077" s="5" t="s">
        <v>511</v>
      </c>
      <c r="E4077" s="5" t="s">
        <v>512</v>
      </c>
      <c r="F4077" s="5" t="s">
        <v>19</v>
      </c>
      <c r="G4077" s="22">
        <v>0.09</v>
      </c>
      <c r="H4077" s="22">
        <v>0</v>
      </c>
      <c r="I4077" s="22">
        <v>0</v>
      </c>
      <c r="J4077" s="22">
        <v>0</v>
      </c>
      <c r="K4077" s="22">
        <v>-0.08</v>
      </c>
      <c r="L4077" s="22">
        <v>0.01</v>
      </c>
      <c r="M4077" s="10"/>
      <c r="O4077" s="11"/>
    </row>
    <row r="4078" spans="1:15" s="4" customFormat="1" x14ac:dyDescent="0.25">
      <c r="A4078" s="6">
        <v>2054</v>
      </c>
      <c r="B4078" s="5" t="s">
        <v>18</v>
      </c>
      <c r="C4078" s="5" t="s">
        <v>17</v>
      </c>
      <c r="D4078" s="5" t="s">
        <v>511</v>
      </c>
      <c r="E4078" s="5" t="s">
        <v>512</v>
      </c>
      <c r="F4078" s="5" t="s">
        <v>19</v>
      </c>
      <c r="G4078" s="22">
        <v>0.02</v>
      </c>
      <c r="H4078" s="22">
        <v>0</v>
      </c>
      <c r="I4078" s="22">
        <v>0</v>
      </c>
      <c r="J4078" s="22">
        <v>0</v>
      </c>
      <c r="K4078" s="22">
        <v>-0.02</v>
      </c>
      <c r="L4078" s="22">
        <v>0</v>
      </c>
      <c r="M4078" s="10"/>
      <c r="N4078" s="67"/>
      <c r="O4078" s="11"/>
    </row>
    <row r="4079" spans="1:15" x14ac:dyDescent="0.25">
      <c r="A4079" s="6">
        <v>2055</v>
      </c>
      <c r="B4079" s="5" t="s">
        <v>18</v>
      </c>
      <c r="C4079" s="5" t="s">
        <v>17</v>
      </c>
      <c r="D4079" s="5" t="s">
        <v>511</v>
      </c>
      <c r="E4079" s="5" t="s">
        <v>512</v>
      </c>
      <c r="F4079" s="5" t="s">
        <v>19</v>
      </c>
      <c r="G4079" s="22">
        <v>0</v>
      </c>
      <c r="H4079" s="22">
        <v>0</v>
      </c>
      <c r="I4079" s="22">
        <v>0</v>
      </c>
      <c r="J4079" s="22">
        <v>0</v>
      </c>
      <c r="K4079" s="22">
        <v>0</v>
      </c>
      <c r="L4079" s="22">
        <v>0</v>
      </c>
      <c r="M4079" s="10"/>
      <c r="O4079" s="11"/>
    </row>
    <row r="4080" spans="1:15" x14ac:dyDescent="0.25">
      <c r="A4080" s="6">
        <v>2056</v>
      </c>
      <c r="B4080" s="5" t="s">
        <v>18</v>
      </c>
      <c r="C4080" s="5" t="s">
        <v>17</v>
      </c>
      <c r="D4080" s="5" t="s">
        <v>511</v>
      </c>
      <c r="E4080" s="5" t="s">
        <v>512</v>
      </c>
      <c r="F4080" s="5" t="s">
        <v>19</v>
      </c>
      <c r="G4080" s="22">
        <v>0.01</v>
      </c>
      <c r="H4080" s="22">
        <v>0</v>
      </c>
      <c r="I4080" s="22">
        <v>0</v>
      </c>
      <c r="J4080" s="22">
        <v>0</v>
      </c>
      <c r="K4080" s="22">
        <v>-0.01</v>
      </c>
      <c r="L4080" s="22">
        <v>0</v>
      </c>
      <c r="M4080" s="10"/>
      <c r="O4080" s="11"/>
    </row>
    <row r="4081" spans="1:15" s="4" customFormat="1" x14ac:dyDescent="0.25">
      <c r="A4081" s="6">
        <v>2057</v>
      </c>
      <c r="B4081" s="5" t="s">
        <v>18</v>
      </c>
      <c r="C4081" s="5" t="s">
        <v>17</v>
      </c>
      <c r="D4081" s="5" t="s">
        <v>511</v>
      </c>
      <c r="E4081" s="5" t="s">
        <v>512</v>
      </c>
      <c r="F4081" s="5" t="s">
        <v>19</v>
      </c>
      <c r="G4081" s="22">
        <v>0</v>
      </c>
      <c r="H4081" s="22">
        <v>0</v>
      </c>
      <c r="I4081" s="22">
        <v>0</v>
      </c>
      <c r="J4081" s="22">
        <v>0</v>
      </c>
      <c r="K4081" s="22">
        <v>0</v>
      </c>
      <c r="L4081" s="22">
        <v>0</v>
      </c>
      <c r="M4081" s="10"/>
      <c r="N4081" s="67"/>
      <c r="O4081" s="11"/>
    </row>
    <row r="4082" spans="1:15" s="4" customFormat="1" x14ac:dyDescent="0.25">
      <c r="A4082" s="6">
        <v>2058</v>
      </c>
      <c r="B4082" s="5" t="s">
        <v>18</v>
      </c>
      <c r="C4082" s="5" t="s">
        <v>17</v>
      </c>
      <c r="D4082" s="5" t="s">
        <v>511</v>
      </c>
      <c r="E4082" s="5" t="s">
        <v>512</v>
      </c>
      <c r="F4082" s="5" t="s">
        <v>19</v>
      </c>
      <c r="G4082" s="22">
        <v>0</v>
      </c>
      <c r="H4082" s="22">
        <v>0</v>
      </c>
      <c r="I4082" s="22">
        <v>0</v>
      </c>
      <c r="J4082" s="22">
        <v>0</v>
      </c>
      <c r="K4082" s="22">
        <v>0</v>
      </c>
      <c r="L4082" s="22">
        <v>0</v>
      </c>
      <c r="M4082" s="10"/>
      <c r="N4082" s="67"/>
      <c r="O4082" s="11"/>
    </row>
    <row r="4083" spans="1:15" x14ac:dyDescent="0.25">
      <c r="A4083" s="6">
        <v>2059</v>
      </c>
      <c r="B4083" s="5" t="s">
        <v>18</v>
      </c>
      <c r="C4083" s="5" t="s">
        <v>17</v>
      </c>
      <c r="D4083" s="5" t="s">
        <v>511</v>
      </c>
      <c r="E4083" s="5" t="s">
        <v>512</v>
      </c>
      <c r="F4083" s="5" t="s">
        <v>19</v>
      </c>
      <c r="G4083" s="22">
        <v>0.02</v>
      </c>
      <c r="H4083" s="22">
        <v>0</v>
      </c>
      <c r="I4083" s="22">
        <v>0</v>
      </c>
      <c r="J4083" s="22">
        <v>0</v>
      </c>
      <c r="K4083" s="22">
        <v>-0.02</v>
      </c>
      <c r="L4083" s="22">
        <v>0</v>
      </c>
      <c r="M4083" s="10"/>
      <c r="O4083" s="11"/>
    </row>
    <row r="4084" spans="1:15" x14ac:dyDescent="0.25">
      <c r="A4084" s="6"/>
      <c r="B4084" s="5"/>
      <c r="C4084" s="5"/>
      <c r="D4084" s="5" t="s">
        <v>511</v>
      </c>
      <c r="E4084" s="5" t="s">
        <v>512</v>
      </c>
      <c r="F4084" s="5" t="s">
        <v>19</v>
      </c>
      <c r="G4084" s="14">
        <f t="shared" ref="G4084:L4084" si="1009">SUBTOTAL(9,G4074:G4083)</f>
        <v>0.98000000000000009</v>
      </c>
      <c r="H4084" s="14">
        <f t="shared" si="1009"/>
        <v>0</v>
      </c>
      <c r="I4084" s="14">
        <f t="shared" si="1009"/>
        <v>0</v>
      </c>
      <c r="J4084" s="14">
        <f t="shared" si="1009"/>
        <v>0</v>
      </c>
      <c r="K4084" s="14">
        <f t="shared" si="1009"/>
        <v>-0.87</v>
      </c>
      <c r="L4084" s="14">
        <f t="shared" si="1009"/>
        <v>0.10999999999999999</v>
      </c>
      <c r="M4084" s="10">
        <v>3085</v>
      </c>
      <c r="O4084" s="11">
        <f>O4072+1</f>
        <v>966</v>
      </c>
    </row>
    <row r="4085" spans="1:15" s="4" customFormat="1" x14ac:dyDescent="0.25">
      <c r="A4085" s="10"/>
      <c r="B4085"/>
      <c r="C4085"/>
      <c r="D4085"/>
      <c r="E4085"/>
      <c r="F4085"/>
      <c r="G4085" s="21"/>
      <c r="H4085" s="21"/>
      <c r="I4085" s="21"/>
      <c r="J4085" s="21"/>
      <c r="K4085" s="21"/>
      <c r="L4085" s="21"/>
      <c r="M4085" s="10"/>
      <c r="N4085" s="67"/>
      <c r="O4085" s="11"/>
    </row>
    <row r="4086" spans="1:15" s="4" customFormat="1" x14ac:dyDescent="0.25">
      <c r="A4086" s="6">
        <v>2060</v>
      </c>
      <c r="B4086" s="5" t="s">
        <v>550</v>
      </c>
      <c r="C4086" s="5" t="s">
        <v>17</v>
      </c>
      <c r="D4086" s="5" t="s">
        <v>511</v>
      </c>
      <c r="E4086" s="5" t="s">
        <v>512</v>
      </c>
      <c r="F4086" s="5" t="s">
        <v>551</v>
      </c>
      <c r="G4086" s="22">
        <v>2.74</v>
      </c>
      <c r="H4086" s="22">
        <v>0</v>
      </c>
      <c r="I4086" s="22">
        <v>0</v>
      </c>
      <c r="J4086" s="22">
        <v>0</v>
      </c>
      <c r="K4086" s="22">
        <v>-0.05</v>
      </c>
      <c r="L4086" s="22">
        <v>2.69</v>
      </c>
      <c r="M4086" s="10"/>
      <c r="N4086" s="67"/>
      <c r="O4086" s="11"/>
    </row>
    <row r="4087" spans="1:15" x14ac:dyDescent="0.25">
      <c r="A4087" s="6">
        <v>2061</v>
      </c>
      <c r="B4087" s="5" t="s">
        <v>550</v>
      </c>
      <c r="C4087" s="5" t="s">
        <v>17</v>
      </c>
      <c r="D4087" s="5" t="s">
        <v>511</v>
      </c>
      <c r="E4087" s="5" t="s">
        <v>512</v>
      </c>
      <c r="F4087" s="5" t="s">
        <v>551</v>
      </c>
      <c r="G4087" s="22">
        <v>102.81</v>
      </c>
      <c r="H4087" s="22">
        <v>0</v>
      </c>
      <c r="I4087" s="22">
        <v>0</v>
      </c>
      <c r="J4087" s="22">
        <v>0</v>
      </c>
      <c r="K4087" s="22">
        <v>-2.06</v>
      </c>
      <c r="L4087" s="22">
        <v>100.75</v>
      </c>
      <c r="M4087" s="10"/>
      <c r="O4087" s="11"/>
    </row>
    <row r="4088" spans="1:15" x14ac:dyDescent="0.25">
      <c r="A4088" s="6">
        <v>2062</v>
      </c>
      <c r="B4088" s="5" t="s">
        <v>550</v>
      </c>
      <c r="C4088" s="5" t="s">
        <v>17</v>
      </c>
      <c r="D4088" s="5" t="s">
        <v>511</v>
      </c>
      <c r="E4088" s="5" t="s">
        <v>512</v>
      </c>
      <c r="F4088" s="5" t="s">
        <v>551</v>
      </c>
      <c r="G4088" s="22">
        <v>19.350000000000001</v>
      </c>
      <c r="H4088" s="22">
        <v>0</v>
      </c>
      <c r="I4088" s="22">
        <v>0</v>
      </c>
      <c r="J4088" s="22">
        <v>0</v>
      </c>
      <c r="K4088" s="22">
        <v>-0.39</v>
      </c>
      <c r="L4088" s="22">
        <v>18.96</v>
      </c>
      <c r="M4088" s="10"/>
      <c r="O4088" s="11"/>
    </row>
    <row r="4089" spans="1:15" s="4" customFormat="1" x14ac:dyDescent="0.25">
      <c r="A4089" s="6">
        <v>2063</v>
      </c>
      <c r="B4089" s="5" t="s">
        <v>550</v>
      </c>
      <c r="C4089" s="5" t="s">
        <v>17</v>
      </c>
      <c r="D4089" s="5" t="s">
        <v>511</v>
      </c>
      <c r="E4089" s="5" t="s">
        <v>512</v>
      </c>
      <c r="F4089" s="5" t="s">
        <v>551</v>
      </c>
      <c r="G4089" s="22">
        <v>5.35</v>
      </c>
      <c r="H4089" s="22">
        <v>0</v>
      </c>
      <c r="I4089" s="22">
        <v>0</v>
      </c>
      <c r="J4089" s="22">
        <v>0</v>
      </c>
      <c r="K4089" s="22">
        <v>-0.11</v>
      </c>
      <c r="L4089" s="22">
        <v>5.24</v>
      </c>
      <c r="M4089" s="10"/>
      <c r="N4089" s="67"/>
      <c r="O4089" s="11"/>
    </row>
    <row r="4090" spans="1:15" s="4" customFormat="1" x14ac:dyDescent="0.25">
      <c r="A4090" s="6">
        <v>2064</v>
      </c>
      <c r="B4090" s="5" t="s">
        <v>550</v>
      </c>
      <c r="C4090" s="5" t="s">
        <v>17</v>
      </c>
      <c r="D4090" s="5" t="s">
        <v>511</v>
      </c>
      <c r="E4090" s="5" t="s">
        <v>512</v>
      </c>
      <c r="F4090" s="5" t="s">
        <v>551</v>
      </c>
      <c r="G4090" s="22">
        <v>1171.18</v>
      </c>
      <c r="H4090" s="22">
        <v>0</v>
      </c>
      <c r="I4090" s="22">
        <v>0</v>
      </c>
      <c r="J4090" s="22">
        <v>0</v>
      </c>
      <c r="K4090" s="22">
        <v>-23.42</v>
      </c>
      <c r="L4090" s="22">
        <v>1147.76</v>
      </c>
      <c r="M4090" s="10"/>
      <c r="N4090" s="67"/>
      <c r="O4090" s="11"/>
    </row>
    <row r="4091" spans="1:15" x14ac:dyDescent="0.25">
      <c r="A4091" s="6">
        <v>2065</v>
      </c>
      <c r="B4091" s="5" t="s">
        <v>550</v>
      </c>
      <c r="C4091" s="5" t="s">
        <v>13</v>
      </c>
      <c r="D4091" s="5" t="s">
        <v>511</v>
      </c>
      <c r="E4091" s="5" t="s">
        <v>512</v>
      </c>
      <c r="F4091" s="5" t="s">
        <v>551</v>
      </c>
      <c r="G4091" s="22">
        <v>0</v>
      </c>
      <c r="H4091" s="22">
        <v>0</v>
      </c>
      <c r="I4091" s="22">
        <v>0</v>
      </c>
      <c r="J4091" s="22">
        <v>113695.92</v>
      </c>
      <c r="K4091" s="22">
        <v>0</v>
      </c>
      <c r="L4091" s="22">
        <v>113695.92</v>
      </c>
      <c r="M4091" s="10"/>
      <c r="O4091" s="11"/>
    </row>
    <row r="4092" spans="1:15" x14ac:dyDescent="0.25">
      <c r="A4092" s="6">
        <v>2066</v>
      </c>
      <c r="B4092" s="5" t="s">
        <v>550</v>
      </c>
      <c r="C4092" s="5" t="s">
        <v>13</v>
      </c>
      <c r="D4092" s="5" t="s">
        <v>511</v>
      </c>
      <c r="E4092" s="5" t="s">
        <v>512</v>
      </c>
      <c r="F4092" s="5" t="s">
        <v>551</v>
      </c>
      <c r="G4092" s="22">
        <v>0</v>
      </c>
      <c r="H4092" s="22">
        <v>0</v>
      </c>
      <c r="I4092" s="22">
        <v>0</v>
      </c>
      <c r="J4092" s="22">
        <v>423.51</v>
      </c>
      <c r="K4092" s="22">
        <v>0</v>
      </c>
      <c r="L4092" s="22">
        <v>423.51</v>
      </c>
      <c r="M4092" s="10"/>
      <c r="O4092" s="11"/>
    </row>
    <row r="4093" spans="1:15" s="4" customFormat="1" x14ac:dyDescent="0.25">
      <c r="A4093" s="6">
        <v>2067</v>
      </c>
      <c r="B4093" s="5" t="s">
        <v>550</v>
      </c>
      <c r="C4093" s="5" t="s">
        <v>17</v>
      </c>
      <c r="D4093" s="5" t="s">
        <v>511</v>
      </c>
      <c r="E4093" s="5" t="s">
        <v>512</v>
      </c>
      <c r="F4093" s="5" t="s">
        <v>551</v>
      </c>
      <c r="G4093" s="22">
        <v>525.64</v>
      </c>
      <c r="H4093" s="22">
        <v>0</v>
      </c>
      <c r="I4093" s="22">
        <v>0</v>
      </c>
      <c r="J4093" s="22">
        <v>0</v>
      </c>
      <c r="K4093" s="22">
        <v>-10.51</v>
      </c>
      <c r="L4093" s="22">
        <v>515.13</v>
      </c>
      <c r="M4093" s="10"/>
      <c r="N4093" s="67"/>
      <c r="O4093" s="11"/>
    </row>
    <row r="4094" spans="1:15" s="4" customFormat="1" x14ac:dyDescent="0.25">
      <c r="A4094" s="6">
        <v>2068</v>
      </c>
      <c r="B4094" s="5" t="s">
        <v>550</v>
      </c>
      <c r="C4094" s="5" t="s">
        <v>17</v>
      </c>
      <c r="D4094" s="5" t="s">
        <v>511</v>
      </c>
      <c r="E4094" s="5" t="s">
        <v>512</v>
      </c>
      <c r="F4094" s="5" t="s">
        <v>551</v>
      </c>
      <c r="G4094" s="22">
        <v>4390.33</v>
      </c>
      <c r="H4094" s="22">
        <v>0</v>
      </c>
      <c r="I4094" s="22">
        <v>0</v>
      </c>
      <c r="J4094" s="22">
        <v>0</v>
      </c>
      <c r="K4094" s="22">
        <v>-87.81</v>
      </c>
      <c r="L4094" s="22">
        <v>4302.5200000000004</v>
      </c>
      <c r="M4094" s="10"/>
      <c r="N4094" s="67"/>
      <c r="O4094" s="11"/>
    </row>
    <row r="4095" spans="1:15" x14ac:dyDescent="0.25">
      <c r="A4095" s="6">
        <v>2069</v>
      </c>
      <c r="B4095" s="5" t="s">
        <v>550</v>
      </c>
      <c r="C4095" s="5" t="s">
        <v>17</v>
      </c>
      <c r="D4095" s="5" t="s">
        <v>511</v>
      </c>
      <c r="E4095" s="5" t="s">
        <v>512</v>
      </c>
      <c r="F4095" s="5" t="s">
        <v>551</v>
      </c>
      <c r="G4095" s="22">
        <v>947465.97</v>
      </c>
      <c r="H4095" s="22">
        <v>0</v>
      </c>
      <c r="I4095" s="22">
        <v>0</v>
      </c>
      <c r="J4095" s="22">
        <v>0</v>
      </c>
      <c r="K4095" s="22">
        <v>-18949.32</v>
      </c>
      <c r="L4095" s="22">
        <v>928516.65</v>
      </c>
      <c r="M4095" s="10"/>
      <c r="O4095" s="11"/>
    </row>
    <row r="4096" spans="1:15" x14ac:dyDescent="0.25">
      <c r="A4096" s="6">
        <v>2070</v>
      </c>
      <c r="B4096" s="5" t="s">
        <v>550</v>
      </c>
      <c r="C4096" s="5" t="s">
        <v>17</v>
      </c>
      <c r="D4096" s="5" t="s">
        <v>511</v>
      </c>
      <c r="E4096" s="5" t="s">
        <v>512</v>
      </c>
      <c r="F4096" s="5" t="s">
        <v>551</v>
      </c>
      <c r="G4096" s="22">
        <v>3529.22</v>
      </c>
      <c r="H4096" s="22">
        <v>0</v>
      </c>
      <c r="I4096" s="22">
        <v>0</v>
      </c>
      <c r="J4096" s="22">
        <v>0</v>
      </c>
      <c r="K4096" s="22">
        <v>-70.58</v>
      </c>
      <c r="L4096" s="22">
        <v>3458.64</v>
      </c>
      <c r="M4096" s="10"/>
      <c r="O4096" s="11"/>
    </row>
    <row r="4097" spans="1:15" s="4" customFormat="1" x14ac:dyDescent="0.25">
      <c r="A4097" s="6">
        <v>2071</v>
      </c>
      <c r="B4097" s="5" t="s">
        <v>550</v>
      </c>
      <c r="C4097" s="5" t="s">
        <v>13</v>
      </c>
      <c r="D4097" s="5" t="s">
        <v>511</v>
      </c>
      <c r="E4097" s="5" t="s">
        <v>512</v>
      </c>
      <c r="F4097" s="5" t="s">
        <v>551</v>
      </c>
      <c r="G4097" s="22">
        <v>0</v>
      </c>
      <c r="H4097" s="22">
        <v>0</v>
      </c>
      <c r="I4097" s="22">
        <v>0</v>
      </c>
      <c r="J4097" s="22">
        <v>0.33</v>
      </c>
      <c r="K4097" s="22">
        <v>0</v>
      </c>
      <c r="L4097" s="22">
        <v>0.33</v>
      </c>
      <c r="M4097" s="10"/>
      <c r="N4097" s="67"/>
      <c r="O4097" s="11"/>
    </row>
    <row r="4098" spans="1:15" x14ac:dyDescent="0.25">
      <c r="A4098" s="6">
        <v>2072</v>
      </c>
      <c r="B4098" s="5" t="s">
        <v>550</v>
      </c>
      <c r="C4098" s="5" t="s">
        <v>13</v>
      </c>
      <c r="D4098" s="5" t="s">
        <v>511</v>
      </c>
      <c r="E4098" s="5" t="s">
        <v>512</v>
      </c>
      <c r="F4098" s="5" t="s">
        <v>551</v>
      </c>
      <c r="G4098" s="22">
        <v>0</v>
      </c>
      <c r="H4098" s="22">
        <v>0</v>
      </c>
      <c r="I4098" s="22">
        <v>0</v>
      </c>
      <c r="J4098" s="22">
        <v>12.34</v>
      </c>
      <c r="K4098" s="22">
        <v>0</v>
      </c>
      <c r="L4098" s="22">
        <v>12.34</v>
      </c>
      <c r="M4098" s="10"/>
      <c r="O4098" s="11"/>
    </row>
    <row r="4099" spans="1:15" x14ac:dyDescent="0.25">
      <c r="A4099" s="6">
        <v>2073</v>
      </c>
      <c r="B4099" s="5" t="s">
        <v>550</v>
      </c>
      <c r="C4099" s="5" t="s">
        <v>13</v>
      </c>
      <c r="D4099" s="5" t="s">
        <v>511</v>
      </c>
      <c r="E4099" s="5" t="s">
        <v>512</v>
      </c>
      <c r="F4099" s="5" t="s">
        <v>551</v>
      </c>
      <c r="G4099" s="22">
        <v>0</v>
      </c>
      <c r="H4099" s="22">
        <v>0</v>
      </c>
      <c r="I4099" s="22">
        <v>0</v>
      </c>
      <c r="J4099" s="22">
        <v>2.3199999999999998</v>
      </c>
      <c r="K4099" s="22">
        <v>0</v>
      </c>
      <c r="L4099" s="22">
        <v>2.3199999999999998</v>
      </c>
      <c r="M4099" s="10"/>
      <c r="O4099" s="11"/>
    </row>
    <row r="4100" spans="1:15" s="4" customFormat="1" x14ac:dyDescent="0.25">
      <c r="A4100" s="6">
        <v>2074</v>
      </c>
      <c r="B4100" s="5" t="s">
        <v>550</v>
      </c>
      <c r="C4100" s="5" t="s">
        <v>13</v>
      </c>
      <c r="D4100" s="5" t="s">
        <v>511</v>
      </c>
      <c r="E4100" s="5" t="s">
        <v>512</v>
      </c>
      <c r="F4100" s="5" t="s">
        <v>551</v>
      </c>
      <c r="G4100" s="22">
        <v>0</v>
      </c>
      <c r="H4100" s="22">
        <v>0</v>
      </c>
      <c r="I4100" s="22">
        <v>0</v>
      </c>
      <c r="J4100" s="22">
        <v>0.64</v>
      </c>
      <c r="K4100" s="22">
        <v>0</v>
      </c>
      <c r="L4100" s="22">
        <v>0.64</v>
      </c>
      <c r="M4100" s="10"/>
      <c r="N4100" s="67"/>
      <c r="O4100" s="11"/>
    </row>
    <row r="4101" spans="1:15" x14ac:dyDescent="0.25">
      <c r="A4101" s="6">
        <v>2075</v>
      </c>
      <c r="B4101" s="5" t="s">
        <v>550</v>
      </c>
      <c r="C4101" s="5" t="s">
        <v>13</v>
      </c>
      <c r="D4101" s="5" t="s">
        <v>511</v>
      </c>
      <c r="E4101" s="5" t="s">
        <v>512</v>
      </c>
      <c r="F4101" s="5" t="s">
        <v>551</v>
      </c>
      <c r="G4101" s="22">
        <v>0</v>
      </c>
      <c r="H4101" s="22">
        <v>0</v>
      </c>
      <c r="I4101" s="22">
        <v>0</v>
      </c>
      <c r="J4101" s="22">
        <v>140.54</v>
      </c>
      <c r="K4101" s="22">
        <v>0</v>
      </c>
      <c r="L4101" s="22">
        <v>140.54</v>
      </c>
      <c r="M4101" s="10"/>
      <c r="O4101" s="11"/>
    </row>
    <row r="4102" spans="1:15" x14ac:dyDescent="0.25">
      <c r="A4102" s="6">
        <v>2076</v>
      </c>
      <c r="B4102" s="5" t="s">
        <v>550</v>
      </c>
      <c r="C4102" s="5" t="s">
        <v>13</v>
      </c>
      <c r="D4102" s="5" t="s">
        <v>511</v>
      </c>
      <c r="E4102" s="5" t="s">
        <v>512</v>
      </c>
      <c r="F4102" s="5" t="s">
        <v>551</v>
      </c>
      <c r="G4102" s="22">
        <v>0</v>
      </c>
      <c r="H4102" s="22">
        <v>0</v>
      </c>
      <c r="I4102" s="22">
        <v>0</v>
      </c>
      <c r="J4102" s="22">
        <v>63.08</v>
      </c>
      <c r="K4102" s="22">
        <v>0</v>
      </c>
      <c r="L4102" s="22">
        <v>63.08</v>
      </c>
      <c r="M4102" s="10"/>
      <c r="O4102" s="11"/>
    </row>
    <row r="4103" spans="1:15" s="4" customFormat="1" x14ac:dyDescent="0.25">
      <c r="A4103" s="6">
        <v>2077</v>
      </c>
      <c r="B4103" s="5" t="s">
        <v>550</v>
      </c>
      <c r="C4103" s="5" t="s">
        <v>13</v>
      </c>
      <c r="D4103" s="5" t="s">
        <v>511</v>
      </c>
      <c r="E4103" s="5" t="s">
        <v>512</v>
      </c>
      <c r="F4103" s="5" t="s">
        <v>551</v>
      </c>
      <c r="G4103" s="22">
        <v>0</v>
      </c>
      <c r="H4103" s="22">
        <v>0</v>
      </c>
      <c r="I4103" s="22">
        <v>0</v>
      </c>
      <c r="J4103" s="22">
        <v>526.84</v>
      </c>
      <c r="K4103" s="22">
        <v>0</v>
      </c>
      <c r="L4103" s="22">
        <v>526.84</v>
      </c>
      <c r="M4103" s="10"/>
      <c r="N4103" s="67"/>
      <c r="O4103" s="11"/>
    </row>
    <row r="4104" spans="1:15" x14ac:dyDescent="0.25">
      <c r="A4104" s="6"/>
      <c r="B4104" s="5"/>
      <c r="C4104" s="5"/>
      <c r="D4104" s="5" t="s">
        <v>511</v>
      </c>
      <c r="E4104" s="5" t="s">
        <v>512</v>
      </c>
      <c r="F4104" s="5" t="s">
        <v>551</v>
      </c>
      <c r="G4104" s="14">
        <f t="shared" ref="G4104:L4104" si="1010">SUBTOTAL(9,G4086:G4103)</f>
        <v>957212.59</v>
      </c>
      <c r="H4104" s="14">
        <f t="shared" si="1010"/>
        <v>0</v>
      </c>
      <c r="I4104" s="14">
        <f t="shared" si="1010"/>
        <v>0</v>
      </c>
      <c r="J4104" s="14">
        <f t="shared" si="1010"/>
        <v>114865.51999999999</v>
      </c>
      <c r="K4104" s="14">
        <f t="shared" si="1010"/>
        <v>-19144.25</v>
      </c>
      <c r="L4104" s="14">
        <f t="shared" si="1010"/>
        <v>1052933.8600000003</v>
      </c>
      <c r="M4104" s="10">
        <v>3086</v>
      </c>
      <c r="O4104" s="11">
        <f>O4084+1</f>
        <v>967</v>
      </c>
    </row>
    <row r="4105" spans="1:15" x14ac:dyDescent="0.25">
      <c r="A4105" s="10"/>
      <c r="G4105" s="21"/>
      <c r="H4105" s="21"/>
      <c r="I4105" s="21"/>
      <c r="J4105" s="21"/>
      <c r="K4105" s="21"/>
      <c r="L4105" s="21"/>
      <c r="M4105" s="10"/>
      <c r="O4105" s="11"/>
    </row>
    <row r="4106" spans="1:15" s="4" customFormat="1" x14ac:dyDescent="0.25">
      <c r="A4106" s="6">
        <v>2078</v>
      </c>
      <c r="B4106" s="5" t="s">
        <v>550</v>
      </c>
      <c r="C4106" s="5" t="s">
        <v>17</v>
      </c>
      <c r="D4106" s="5" t="s">
        <v>511</v>
      </c>
      <c r="E4106" s="5" t="s">
        <v>512</v>
      </c>
      <c r="F4106" s="5" t="s">
        <v>552</v>
      </c>
      <c r="G4106" s="22">
        <v>0.01</v>
      </c>
      <c r="H4106" s="22">
        <v>0</v>
      </c>
      <c r="I4106" s="22">
        <v>0</v>
      </c>
      <c r="J4106" s="22">
        <v>0</v>
      </c>
      <c r="K4106" s="22">
        <v>0</v>
      </c>
      <c r="L4106" s="22">
        <v>0.01</v>
      </c>
      <c r="M4106" s="10"/>
      <c r="N4106" s="67"/>
      <c r="O4106" s="11"/>
    </row>
    <row r="4107" spans="1:15" x14ac:dyDescent="0.25">
      <c r="A4107" s="6">
        <v>2079</v>
      </c>
      <c r="B4107" s="5" t="s">
        <v>550</v>
      </c>
      <c r="C4107" s="5" t="s">
        <v>17</v>
      </c>
      <c r="D4107" s="5" t="s">
        <v>511</v>
      </c>
      <c r="E4107" s="5" t="s">
        <v>512</v>
      </c>
      <c r="F4107" s="5" t="s">
        <v>552</v>
      </c>
      <c r="G4107" s="22">
        <v>0.08</v>
      </c>
      <c r="H4107" s="22">
        <v>0</v>
      </c>
      <c r="I4107" s="22">
        <v>0</v>
      </c>
      <c r="J4107" s="22">
        <v>0</v>
      </c>
      <c r="K4107" s="22">
        <v>0</v>
      </c>
      <c r="L4107" s="22">
        <v>0.08</v>
      </c>
      <c r="M4107" s="10"/>
      <c r="O4107" s="11"/>
    </row>
    <row r="4108" spans="1:15" x14ac:dyDescent="0.25">
      <c r="A4108" s="6">
        <v>2080</v>
      </c>
      <c r="B4108" s="5" t="s">
        <v>550</v>
      </c>
      <c r="C4108" s="5" t="s">
        <v>13</v>
      </c>
      <c r="D4108" s="5" t="s">
        <v>511</v>
      </c>
      <c r="E4108" s="5" t="s">
        <v>512</v>
      </c>
      <c r="F4108" s="5" t="s">
        <v>552</v>
      </c>
      <c r="G4108" s="22">
        <v>0</v>
      </c>
      <c r="H4108" s="22">
        <v>0</v>
      </c>
      <c r="I4108" s="22">
        <v>0</v>
      </c>
      <c r="J4108" s="22">
        <v>8.18</v>
      </c>
      <c r="K4108" s="22">
        <v>0</v>
      </c>
      <c r="L4108" s="22">
        <v>8.18</v>
      </c>
      <c r="M4108" s="10"/>
      <c r="O4108" s="11"/>
    </row>
    <row r="4109" spans="1:15" s="4" customFormat="1" x14ac:dyDescent="0.25">
      <c r="A4109" s="6">
        <v>2081</v>
      </c>
      <c r="B4109" s="5" t="s">
        <v>550</v>
      </c>
      <c r="C4109" s="5" t="s">
        <v>13</v>
      </c>
      <c r="D4109" s="5" t="s">
        <v>511</v>
      </c>
      <c r="E4109" s="5" t="s">
        <v>512</v>
      </c>
      <c r="F4109" s="5" t="s">
        <v>552</v>
      </c>
      <c r="G4109" s="22">
        <v>0</v>
      </c>
      <c r="H4109" s="22">
        <v>0</v>
      </c>
      <c r="I4109" s="22">
        <v>0</v>
      </c>
      <c r="J4109" s="22">
        <v>0.03</v>
      </c>
      <c r="K4109" s="22">
        <v>0</v>
      </c>
      <c r="L4109" s="22">
        <v>0.03</v>
      </c>
      <c r="M4109" s="10"/>
      <c r="N4109" s="67"/>
      <c r="O4109" s="11"/>
    </row>
    <row r="4110" spans="1:15" x14ac:dyDescent="0.25">
      <c r="A4110" s="6">
        <v>2082</v>
      </c>
      <c r="B4110" s="5" t="s">
        <v>550</v>
      </c>
      <c r="C4110" s="5" t="s">
        <v>17</v>
      </c>
      <c r="D4110" s="5" t="s">
        <v>511</v>
      </c>
      <c r="E4110" s="5" t="s">
        <v>512</v>
      </c>
      <c r="F4110" s="5" t="s">
        <v>552</v>
      </c>
      <c r="G4110" s="22">
        <v>0.04</v>
      </c>
      <c r="H4110" s="22">
        <v>0</v>
      </c>
      <c r="I4110" s="22">
        <v>0</v>
      </c>
      <c r="J4110" s="22">
        <v>0</v>
      </c>
      <c r="K4110" s="22">
        <v>0</v>
      </c>
      <c r="L4110" s="22">
        <v>0.04</v>
      </c>
      <c r="M4110" s="10"/>
      <c r="O4110" s="11"/>
    </row>
    <row r="4111" spans="1:15" x14ac:dyDescent="0.25">
      <c r="A4111" s="6">
        <v>2083</v>
      </c>
      <c r="B4111" s="5" t="s">
        <v>550</v>
      </c>
      <c r="C4111" s="5" t="s">
        <v>17</v>
      </c>
      <c r="D4111" s="5" t="s">
        <v>511</v>
      </c>
      <c r="E4111" s="5" t="s">
        <v>512</v>
      </c>
      <c r="F4111" s="5" t="s">
        <v>552</v>
      </c>
      <c r="G4111" s="22">
        <v>0.32</v>
      </c>
      <c r="H4111" s="22">
        <v>0</v>
      </c>
      <c r="I4111" s="22">
        <v>0</v>
      </c>
      <c r="J4111" s="22">
        <v>0</v>
      </c>
      <c r="K4111" s="22">
        <v>-0.01</v>
      </c>
      <c r="L4111" s="22">
        <v>0.31</v>
      </c>
      <c r="M4111" s="10"/>
      <c r="O4111" s="11"/>
    </row>
    <row r="4112" spans="1:15" s="4" customFormat="1" x14ac:dyDescent="0.25">
      <c r="A4112" s="6">
        <v>2084</v>
      </c>
      <c r="B4112" s="5" t="s">
        <v>550</v>
      </c>
      <c r="C4112" s="5" t="s">
        <v>17</v>
      </c>
      <c r="D4112" s="5" t="s">
        <v>511</v>
      </c>
      <c r="E4112" s="5" t="s">
        <v>512</v>
      </c>
      <c r="F4112" s="5" t="s">
        <v>552</v>
      </c>
      <c r="G4112" s="22">
        <v>68.150000000000006</v>
      </c>
      <c r="H4112" s="22">
        <v>0</v>
      </c>
      <c r="I4112" s="22">
        <v>0</v>
      </c>
      <c r="J4112" s="22">
        <v>0</v>
      </c>
      <c r="K4112" s="22">
        <v>-1.36</v>
      </c>
      <c r="L4112" s="22">
        <v>66.790000000000006</v>
      </c>
      <c r="M4112" s="10"/>
      <c r="N4112" s="67"/>
      <c r="O4112" s="11"/>
    </row>
    <row r="4113" spans="1:15" x14ac:dyDescent="0.25">
      <c r="A4113" s="6">
        <v>2085</v>
      </c>
      <c r="B4113" s="5" t="s">
        <v>550</v>
      </c>
      <c r="C4113" s="5" t="s">
        <v>17</v>
      </c>
      <c r="D4113" s="5" t="s">
        <v>511</v>
      </c>
      <c r="E4113" s="5" t="s">
        <v>512</v>
      </c>
      <c r="F4113" s="5" t="s">
        <v>552</v>
      </c>
      <c r="G4113" s="22">
        <v>0.25</v>
      </c>
      <c r="H4113" s="22">
        <v>0</v>
      </c>
      <c r="I4113" s="22">
        <v>0</v>
      </c>
      <c r="J4113" s="22">
        <v>0</v>
      </c>
      <c r="K4113" s="22">
        <v>0</v>
      </c>
      <c r="L4113" s="22">
        <v>0.25</v>
      </c>
      <c r="M4113" s="10"/>
      <c r="O4113" s="11"/>
    </row>
    <row r="4114" spans="1:15" x14ac:dyDescent="0.25">
      <c r="A4114" s="6">
        <v>2086</v>
      </c>
      <c r="B4114" s="5" t="s">
        <v>550</v>
      </c>
      <c r="C4114" s="5" t="s">
        <v>13</v>
      </c>
      <c r="D4114" s="5" t="s">
        <v>511</v>
      </c>
      <c r="E4114" s="5" t="s">
        <v>512</v>
      </c>
      <c r="F4114" s="5" t="s">
        <v>552</v>
      </c>
      <c r="G4114" s="22">
        <v>0</v>
      </c>
      <c r="H4114" s="22">
        <v>0</v>
      </c>
      <c r="I4114" s="22">
        <v>0</v>
      </c>
      <c r="J4114" s="22">
        <v>0</v>
      </c>
      <c r="K4114" s="22">
        <v>0</v>
      </c>
      <c r="L4114" s="22">
        <v>0</v>
      </c>
      <c r="M4114" s="10"/>
      <c r="O4114" s="11"/>
    </row>
    <row r="4115" spans="1:15" s="4" customFormat="1" x14ac:dyDescent="0.25">
      <c r="A4115" s="6">
        <v>2087</v>
      </c>
      <c r="B4115" s="5" t="s">
        <v>550</v>
      </c>
      <c r="C4115" s="5" t="s">
        <v>13</v>
      </c>
      <c r="D4115" s="5" t="s">
        <v>511</v>
      </c>
      <c r="E4115" s="5" t="s">
        <v>512</v>
      </c>
      <c r="F4115" s="5" t="s">
        <v>552</v>
      </c>
      <c r="G4115" s="22">
        <v>0</v>
      </c>
      <c r="H4115" s="22">
        <v>0</v>
      </c>
      <c r="I4115" s="22">
        <v>0</v>
      </c>
      <c r="J4115" s="22">
        <v>0.01</v>
      </c>
      <c r="K4115" s="22">
        <v>0</v>
      </c>
      <c r="L4115" s="22">
        <v>0.01</v>
      </c>
      <c r="M4115" s="10"/>
      <c r="N4115" s="67"/>
      <c r="O4115" s="11"/>
    </row>
    <row r="4116" spans="1:15" x14ac:dyDescent="0.25">
      <c r="A4116" s="6">
        <v>2088</v>
      </c>
      <c r="B4116" s="5" t="s">
        <v>550</v>
      </c>
      <c r="C4116" s="5" t="s">
        <v>13</v>
      </c>
      <c r="D4116" s="5" t="s">
        <v>511</v>
      </c>
      <c r="E4116" s="5" t="s">
        <v>512</v>
      </c>
      <c r="F4116" s="5" t="s">
        <v>552</v>
      </c>
      <c r="G4116" s="22">
        <v>0</v>
      </c>
      <c r="H4116" s="22">
        <v>0</v>
      </c>
      <c r="I4116" s="22">
        <v>0</v>
      </c>
      <c r="J4116" s="22">
        <v>0</v>
      </c>
      <c r="K4116" s="22">
        <v>0</v>
      </c>
      <c r="L4116" s="22">
        <v>0</v>
      </c>
      <c r="M4116" s="10"/>
      <c r="O4116" s="11"/>
    </row>
    <row r="4117" spans="1:15" x14ac:dyDescent="0.25">
      <c r="A4117" s="6">
        <v>2089</v>
      </c>
      <c r="B4117" s="5" t="s">
        <v>550</v>
      </c>
      <c r="C4117" s="5" t="s">
        <v>13</v>
      </c>
      <c r="D4117" s="5" t="s">
        <v>511</v>
      </c>
      <c r="E4117" s="5" t="s">
        <v>512</v>
      </c>
      <c r="F4117" s="5" t="s">
        <v>552</v>
      </c>
      <c r="G4117" s="22">
        <v>0</v>
      </c>
      <c r="H4117" s="22">
        <v>0</v>
      </c>
      <c r="I4117" s="22">
        <v>0</v>
      </c>
      <c r="J4117" s="22">
        <v>0.04</v>
      </c>
      <c r="K4117" s="22">
        <v>0</v>
      </c>
      <c r="L4117" s="22">
        <v>0.04</v>
      </c>
      <c r="M4117" s="10"/>
      <c r="O4117" s="11"/>
    </row>
    <row r="4118" spans="1:15" s="4" customFormat="1" x14ac:dyDescent="0.25">
      <c r="A4118" s="6"/>
      <c r="B4118" s="5"/>
      <c r="C4118" s="5"/>
      <c r="D4118" s="5" t="s">
        <v>511</v>
      </c>
      <c r="E4118" s="5" t="s">
        <v>512</v>
      </c>
      <c r="F4118" s="5" t="s">
        <v>552</v>
      </c>
      <c r="G4118" s="14">
        <f t="shared" ref="G4118:L4118" si="1011">SUBTOTAL(9,G4106:G4117)</f>
        <v>68.850000000000009</v>
      </c>
      <c r="H4118" s="14">
        <f t="shared" si="1011"/>
        <v>0</v>
      </c>
      <c r="I4118" s="14">
        <f t="shared" si="1011"/>
        <v>0</v>
      </c>
      <c r="J4118" s="14">
        <f t="shared" si="1011"/>
        <v>8.259999999999998</v>
      </c>
      <c r="K4118" s="14">
        <f t="shared" si="1011"/>
        <v>-1.37</v>
      </c>
      <c r="L4118" s="14">
        <f t="shared" si="1011"/>
        <v>75.740000000000009</v>
      </c>
      <c r="M4118" s="10">
        <v>3087</v>
      </c>
      <c r="N4118" s="69"/>
      <c r="O4118" s="11">
        <f>O4104+1</f>
        <v>968</v>
      </c>
    </row>
    <row r="4119" spans="1:15" x14ac:dyDescent="0.25">
      <c r="A4119" s="10"/>
      <c r="G4119" s="21"/>
      <c r="H4119" s="21"/>
      <c r="I4119" s="21"/>
      <c r="J4119" s="21"/>
      <c r="K4119" s="21"/>
      <c r="L4119" s="21"/>
      <c r="M4119" s="10"/>
      <c r="O4119" s="11"/>
    </row>
    <row r="4120" spans="1:15" x14ac:dyDescent="0.25">
      <c r="A4120" s="6">
        <v>2090</v>
      </c>
      <c r="B4120" s="5" t="s">
        <v>550</v>
      </c>
      <c r="C4120" s="5" t="s">
        <v>13</v>
      </c>
      <c r="D4120" s="5" t="s">
        <v>645</v>
      </c>
      <c r="E4120" s="5" t="s">
        <v>646</v>
      </c>
      <c r="F4120" s="5" t="s">
        <v>551</v>
      </c>
      <c r="G4120" s="22">
        <v>0</v>
      </c>
      <c r="H4120" s="22">
        <v>0</v>
      </c>
      <c r="I4120" s="22">
        <v>0</v>
      </c>
      <c r="J4120" s="22">
        <v>0</v>
      </c>
      <c r="K4120" s="22">
        <v>0</v>
      </c>
      <c r="L4120" s="22">
        <v>0</v>
      </c>
      <c r="M4120" s="10"/>
      <c r="O4120" s="11"/>
    </row>
    <row r="4121" spans="1:15" s="4" customFormat="1" x14ac:dyDescent="0.25">
      <c r="A4121" s="6">
        <v>2091</v>
      </c>
      <c r="B4121" s="5" t="s">
        <v>550</v>
      </c>
      <c r="C4121" s="5" t="s">
        <v>17</v>
      </c>
      <c r="D4121" s="5" t="s">
        <v>645</v>
      </c>
      <c r="E4121" s="5" t="s">
        <v>646</v>
      </c>
      <c r="F4121" s="5" t="s">
        <v>551</v>
      </c>
      <c r="G4121" s="22">
        <v>0.01</v>
      </c>
      <c r="H4121" s="22">
        <v>0</v>
      </c>
      <c r="I4121" s="22">
        <v>0</v>
      </c>
      <c r="J4121" s="22">
        <v>0</v>
      </c>
      <c r="K4121" s="22">
        <v>0</v>
      </c>
      <c r="L4121" s="22">
        <v>0.01</v>
      </c>
      <c r="M4121" s="10"/>
      <c r="N4121" s="67"/>
      <c r="O4121" s="11"/>
    </row>
    <row r="4122" spans="1:15" x14ac:dyDescent="0.25">
      <c r="A4122" s="6"/>
      <c r="B4122" s="5"/>
      <c r="C4122" s="5"/>
      <c r="D4122" s="5" t="s">
        <v>645</v>
      </c>
      <c r="E4122" s="5" t="s">
        <v>646</v>
      </c>
      <c r="F4122" s="5" t="s">
        <v>551</v>
      </c>
      <c r="G4122" s="14">
        <f t="shared" ref="G4122:L4122" si="1012">SUBTOTAL(9,G4120:G4121)</f>
        <v>0.01</v>
      </c>
      <c r="H4122" s="14">
        <f t="shared" si="1012"/>
        <v>0</v>
      </c>
      <c r="I4122" s="14">
        <f t="shared" si="1012"/>
        <v>0</v>
      </c>
      <c r="J4122" s="14">
        <f t="shared" si="1012"/>
        <v>0</v>
      </c>
      <c r="K4122" s="14">
        <f t="shared" si="1012"/>
        <v>0</v>
      </c>
      <c r="L4122" s="14">
        <f t="shared" si="1012"/>
        <v>0.01</v>
      </c>
      <c r="M4122" s="10">
        <v>3088</v>
      </c>
      <c r="N4122" s="69"/>
      <c r="O4122" s="11">
        <f>O4118+1</f>
        <v>969</v>
      </c>
    </row>
    <row r="4123" spans="1:15" x14ac:dyDescent="0.25">
      <c r="A4123" s="10"/>
      <c r="G4123" s="21"/>
      <c r="H4123" s="21"/>
      <c r="I4123" s="21"/>
      <c r="J4123" s="21"/>
      <c r="K4123" s="21"/>
      <c r="L4123" s="21"/>
      <c r="M4123" s="10"/>
      <c r="O4123" s="11"/>
    </row>
    <row r="4124" spans="1:15" s="4" customFormat="1" x14ac:dyDescent="0.25">
      <c r="A4124" s="6">
        <v>2092</v>
      </c>
      <c r="B4124" s="5" t="s">
        <v>555</v>
      </c>
      <c r="C4124" s="5" t="s">
        <v>17</v>
      </c>
      <c r="D4124" s="5" t="s">
        <v>513</v>
      </c>
      <c r="E4124" s="5" t="s">
        <v>514</v>
      </c>
      <c r="F4124" s="5" t="s">
        <v>556</v>
      </c>
      <c r="G4124" s="22">
        <v>0</v>
      </c>
      <c r="H4124" s="22">
        <v>0</v>
      </c>
      <c r="I4124" s="22">
        <v>1831.49</v>
      </c>
      <c r="J4124" s="22">
        <v>0</v>
      </c>
      <c r="K4124" s="22">
        <v>-36.630000000000003</v>
      </c>
      <c r="L4124" s="22">
        <v>1794.86</v>
      </c>
      <c r="M4124" s="10"/>
      <c r="N4124" s="67"/>
      <c r="O4124" s="11"/>
    </row>
    <row r="4125" spans="1:15" x14ac:dyDescent="0.25">
      <c r="A4125" s="6">
        <v>2093</v>
      </c>
      <c r="B4125" s="5" t="s">
        <v>555</v>
      </c>
      <c r="C4125" s="5" t="s">
        <v>17</v>
      </c>
      <c r="D4125" s="5" t="s">
        <v>513</v>
      </c>
      <c r="E4125" s="5" t="s">
        <v>514</v>
      </c>
      <c r="F4125" s="5" t="s">
        <v>556</v>
      </c>
      <c r="G4125" s="22">
        <v>24.93</v>
      </c>
      <c r="H4125" s="22">
        <v>0</v>
      </c>
      <c r="I4125" s="22">
        <v>0</v>
      </c>
      <c r="J4125" s="22">
        <v>0</v>
      </c>
      <c r="K4125" s="22">
        <v>-0.5</v>
      </c>
      <c r="L4125" s="22">
        <v>24.43</v>
      </c>
      <c r="M4125" s="10"/>
      <c r="O4125" s="11"/>
    </row>
    <row r="4126" spans="1:15" x14ac:dyDescent="0.25">
      <c r="A4126" s="6">
        <v>2094</v>
      </c>
      <c r="B4126" s="5" t="s">
        <v>555</v>
      </c>
      <c r="C4126" s="5" t="s">
        <v>17</v>
      </c>
      <c r="D4126" s="5" t="s">
        <v>513</v>
      </c>
      <c r="E4126" s="5" t="s">
        <v>514</v>
      </c>
      <c r="F4126" s="5" t="s">
        <v>556</v>
      </c>
      <c r="G4126" s="22">
        <v>23.37</v>
      </c>
      <c r="H4126" s="22">
        <v>0</v>
      </c>
      <c r="I4126" s="22">
        <v>0</v>
      </c>
      <c r="J4126" s="22">
        <v>0</v>
      </c>
      <c r="K4126" s="22">
        <v>-0.47</v>
      </c>
      <c r="L4126" s="22">
        <v>22.9</v>
      </c>
      <c r="M4126" s="10"/>
      <c r="O4126" s="11"/>
    </row>
    <row r="4127" spans="1:15" s="4" customFormat="1" x14ac:dyDescent="0.25">
      <c r="A4127" s="6">
        <v>2095</v>
      </c>
      <c r="B4127" s="5" t="s">
        <v>555</v>
      </c>
      <c r="C4127" s="5" t="s">
        <v>13</v>
      </c>
      <c r="D4127" s="5" t="s">
        <v>513</v>
      </c>
      <c r="E4127" s="5" t="s">
        <v>514</v>
      </c>
      <c r="F4127" s="5" t="s">
        <v>556</v>
      </c>
      <c r="G4127" s="22">
        <v>0</v>
      </c>
      <c r="H4127" s="22">
        <v>0</v>
      </c>
      <c r="I4127" s="22">
        <v>0</v>
      </c>
      <c r="J4127" s="22">
        <v>2.99</v>
      </c>
      <c r="K4127" s="22">
        <v>0</v>
      </c>
      <c r="L4127" s="22">
        <v>2.99</v>
      </c>
      <c r="M4127" s="10"/>
      <c r="N4127" s="67"/>
      <c r="O4127" s="11"/>
    </row>
    <row r="4128" spans="1:15" x14ac:dyDescent="0.25">
      <c r="A4128" s="6">
        <v>2096</v>
      </c>
      <c r="B4128" s="5" t="s">
        <v>555</v>
      </c>
      <c r="C4128" s="5" t="s">
        <v>13</v>
      </c>
      <c r="D4128" s="5" t="s">
        <v>513</v>
      </c>
      <c r="E4128" s="5" t="s">
        <v>514</v>
      </c>
      <c r="F4128" s="5" t="s">
        <v>556</v>
      </c>
      <c r="G4128" s="22">
        <v>0</v>
      </c>
      <c r="H4128" s="22">
        <v>0</v>
      </c>
      <c r="I4128" s="22">
        <v>0</v>
      </c>
      <c r="J4128" s="22">
        <v>2.8</v>
      </c>
      <c r="K4128" s="22">
        <v>0</v>
      </c>
      <c r="L4128" s="22">
        <v>2.8</v>
      </c>
      <c r="M4128" s="10"/>
      <c r="O4128" s="11"/>
    </row>
    <row r="4129" spans="1:15" x14ac:dyDescent="0.25">
      <c r="A4129" s="6"/>
      <c r="B4129" s="5"/>
      <c r="C4129" s="5"/>
      <c r="D4129" s="5" t="s">
        <v>513</v>
      </c>
      <c r="E4129" s="5" t="s">
        <v>514</v>
      </c>
      <c r="F4129" s="5" t="s">
        <v>556</v>
      </c>
      <c r="G4129" s="14">
        <f t="shared" ref="G4129:L4129" si="1013">SUBTOTAL(9,G4124:G4128)</f>
        <v>48.3</v>
      </c>
      <c r="H4129" s="14">
        <f t="shared" si="1013"/>
        <v>0</v>
      </c>
      <c r="I4129" s="14">
        <f t="shared" si="1013"/>
        <v>1831.49</v>
      </c>
      <c r="J4129" s="14">
        <f t="shared" si="1013"/>
        <v>5.79</v>
      </c>
      <c r="K4129" s="14">
        <f t="shared" si="1013"/>
        <v>-37.6</v>
      </c>
      <c r="L4129" s="14">
        <f t="shared" si="1013"/>
        <v>1847.98</v>
      </c>
      <c r="M4129" s="10">
        <v>3089</v>
      </c>
      <c r="N4129" s="69"/>
      <c r="O4129" s="11">
        <f>O4122+1</f>
        <v>970</v>
      </c>
    </row>
    <row r="4130" spans="1:15" s="4" customFormat="1" x14ac:dyDescent="0.25">
      <c r="A4130" s="10"/>
      <c r="B4130"/>
      <c r="C4130"/>
      <c r="D4130"/>
      <c r="E4130"/>
      <c r="F4130"/>
      <c r="G4130" s="21"/>
      <c r="H4130" s="21"/>
      <c r="I4130" s="21"/>
      <c r="J4130" s="21"/>
      <c r="K4130" s="21"/>
      <c r="L4130" s="21"/>
      <c r="M4130" s="10"/>
      <c r="N4130" s="67"/>
      <c r="O4130" s="11"/>
    </row>
    <row r="4131" spans="1:15" x14ac:dyDescent="0.25">
      <c r="A4131" s="6">
        <v>2097</v>
      </c>
      <c r="B4131" s="5" t="s">
        <v>557</v>
      </c>
      <c r="C4131" s="5" t="s">
        <v>17</v>
      </c>
      <c r="D4131" s="5" t="s">
        <v>513</v>
      </c>
      <c r="E4131" s="5" t="s">
        <v>514</v>
      </c>
      <c r="F4131" s="5" t="s">
        <v>558</v>
      </c>
      <c r="G4131" s="22">
        <v>0</v>
      </c>
      <c r="H4131" s="22">
        <v>0</v>
      </c>
      <c r="I4131" s="22">
        <v>1282.5999999999999</v>
      </c>
      <c r="J4131" s="22">
        <v>0</v>
      </c>
      <c r="K4131" s="22">
        <v>-25.65</v>
      </c>
      <c r="L4131" s="22">
        <v>1256.95</v>
      </c>
      <c r="M4131" s="10"/>
      <c r="O4131" s="11"/>
    </row>
    <row r="4132" spans="1:15" x14ac:dyDescent="0.25">
      <c r="A4132" s="6">
        <v>2098</v>
      </c>
      <c r="B4132" s="5" t="s">
        <v>557</v>
      </c>
      <c r="C4132" s="5" t="s">
        <v>17</v>
      </c>
      <c r="D4132" s="5" t="s">
        <v>513</v>
      </c>
      <c r="E4132" s="5" t="s">
        <v>514</v>
      </c>
      <c r="F4132" s="5" t="s">
        <v>558</v>
      </c>
      <c r="G4132" s="22">
        <v>20.25</v>
      </c>
      <c r="H4132" s="22">
        <v>0</v>
      </c>
      <c r="I4132" s="22">
        <v>0</v>
      </c>
      <c r="J4132" s="22">
        <v>0</v>
      </c>
      <c r="K4132" s="22">
        <v>-0.4</v>
      </c>
      <c r="L4132" s="22">
        <v>19.850000000000001</v>
      </c>
      <c r="M4132" s="10"/>
      <c r="O4132" s="11"/>
    </row>
    <row r="4133" spans="1:15" s="4" customFormat="1" x14ac:dyDescent="0.25">
      <c r="A4133" s="6">
        <v>2099</v>
      </c>
      <c r="B4133" s="5" t="s">
        <v>557</v>
      </c>
      <c r="C4133" s="5" t="s">
        <v>13</v>
      </c>
      <c r="D4133" s="5" t="s">
        <v>513</v>
      </c>
      <c r="E4133" s="5" t="s">
        <v>514</v>
      </c>
      <c r="F4133" s="5" t="s">
        <v>558</v>
      </c>
      <c r="G4133" s="22">
        <v>0</v>
      </c>
      <c r="H4133" s="22">
        <v>0</v>
      </c>
      <c r="I4133" s="22">
        <v>0</v>
      </c>
      <c r="J4133" s="22">
        <v>2.4300000000000002</v>
      </c>
      <c r="K4133" s="22">
        <v>0</v>
      </c>
      <c r="L4133" s="22">
        <v>2.4300000000000002</v>
      </c>
      <c r="M4133" s="10"/>
      <c r="N4133" s="67"/>
      <c r="O4133" s="11"/>
    </row>
    <row r="4134" spans="1:15" x14ac:dyDescent="0.25">
      <c r="A4134" s="6"/>
      <c r="B4134" s="5"/>
      <c r="C4134" s="5"/>
      <c r="D4134" s="5" t="s">
        <v>513</v>
      </c>
      <c r="E4134" s="5" t="s">
        <v>514</v>
      </c>
      <c r="F4134" s="5" t="s">
        <v>558</v>
      </c>
      <c r="G4134" s="14">
        <f t="shared" ref="G4134:L4134" si="1014">SUBTOTAL(9,G4131:G4133)</f>
        <v>20.25</v>
      </c>
      <c r="H4134" s="14">
        <f t="shared" si="1014"/>
        <v>0</v>
      </c>
      <c r="I4134" s="14">
        <f t="shared" si="1014"/>
        <v>1282.5999999999999</v>
      </c>
      <c r="J4134" s="14">
        <f t="shared" si="1014"/>
        <v>2.4300000000000002</v>
      </c>
      <c r="K4134" s="14">
        <f t="shared" si="1014"/>
        <v>-26.049999999999997</v>
      </c>
      <c r="L4134" s="14">
        <f t="shared" si="1014"/>
        <v>1279.23</v>
      </c>
      <c r="M4134" s="10">
        <v>3090</v>
      </c>
      <c r="N4134" s="69"/>
      <c r="O4134" s="11">
        <f>O4129+1</f>
        <v>971</v>
      </c>
    </row>
    <row r="4135" spans="1:15" x14ac:dyDescent="0.25">
      <c r="A4135" s="10"/>
      <c r="G4135" s="21"/>
      <c r="H4135" s="21"/>
      <c r="I4135" s="21"/>
      <c r="J4135" s="21"/>
      <c r="K4135" s="21"/>
      <c r="L4135" s="21"/>
      <c r="M4135" s="10"/>
      <c r="O4135" s="11"/>
    </row>
    <row r="4136" spans="1:15" s="4" customFormat="1" x14ac:dyDescent="0.25">
      <c r="A4136" s="6">
        <v>2100</v>
      </c>
      <c r="B4136" s="5" t="s">
        <v>559</v>
      </c>
      <c r="C4136" s="5" t="s">
        <v>17</v>
      </c>
      <c r="D4136" s="5" t="s">
        <v>513</v>
      </c>
      <c r="E4136" s="5" t="s">
        <v>514</v>
      </c>
      <c r="F4136" s="5" t="s">
        <v>560</v>
      </c>
      <c r="G4136" s="22">
        <v>0.08</v>
      </c>
      <c r="H4136" s="22">
        <v>0</v>
      </c>
      <c r="I4136" s="22">
        <v>0</v>
      </c>
      <c r="J4136" s="22">
        <v>0</v>
      </c>
      <c r="K4136" s="22">
        <v>0</v>
      </c>
      <c r="L4136" s="22">
        <v>0.08</v>
      </c>
      <c r="M4136" s="10"/>
      <c r="N4136" s="67"/>
      <c r="O4136" s="11"/>
    </row>
    <row r="4137" spans="1:15" x14ac:dyDescent="0.25">
      <c r="A4137" s="6">
        <v>2101</v>
      </c>
      <c r="B4137" s="5" t="s">
        <v>559</v>
      </c>
      <c r="C4137" s="5" t="s">
        <v>13</v>
      </c>
      <c r="D4137" s="5" t="s">
        <v>513</v>
      </c>
      <c r="E4137" s="5" t="s">
        <v>514</v>
      </c>
      <c r="F4137" s="5" t="s">
        <v>560</v>
      </c>
      <c r="G4137" s="22">
        <v>0</v>
      </c>
      <c r="H4137" s="22">
        <v>0</v>
      </c>
      <c r="I4137" s="22">
        <v>0</v>
      </c>
      <c r="J4137" s="22">
        <v>0.01</v>
      </c>
      <c r="K4137" s="22">
        <v>0</v>
      </c>
      <c r="L4137" s="22">
        <v>0.01</v>
      </c>
      <c r="M4137" s="10"/>
      <c r="O4137" s="11"/>
    </row>
    <row r="4138" spans="1:15" x14ac:dyDescent="0.25">
      <c r="A4138" s="6"/>
      <c r="B4138" s="5"/>
      <c r="C4138" s="5"/>
      <c r="D4138" s="5" t="s">
        <v>513</v>
      </c>
      <c r="E4138" s="5" t="s">
        <v>514</v>
      </c>
      <c r="F4138" s="5" t="s">
        <v>560</v>
      </c>
      <c r="G4138" s="14">
        <f t="shared" ref="G4138:L4138" si="1015">SUBTOTAL(9,G4136:G4137)</f>
        <v>0.08</v>
      </c>
      <c r="H4138" s="14">
        <f t="shared" si="1015"/>
        <v>0</v>
      </c>
      <c r="I4138" s="14">
        <f t="shared" si="1015"/>
        <v>0</v>
      </c>
      <c r="J4138" s="14">
        <f t="shared" si="1015"/>
        <v>0.01</v>
      </c>
      <c r="K4138" s="14">
        <f t="shared" si="1015"/>
        <v>0</v>
      </c>
      <c r="L4138" s="14">
        <f t="shared" si="1015"/>
        <v>0.09</v>
      </c>
      <c r="M4138" s="10">
        <v>3091</v>
      </c>
      <c r="N4138" s="69"/>
      <c r="O4138" s="11">
        <f>O4134+1</f>
        <v>972</v>
      </c>
    </row>
    <row r="4139" spans="1:15" s="4" customFormat="1" x14ac:dyDescent="0.25">
      <c r="A4139" s="10"/>
      <c r="B4139"/>
      <c r="C4139"/>
      <c r="D4139"/>
      <c r="E4139"/>
      <c r="F4139"/>
      <c r="G4139" s="21"/>
      <c r="H4139" s="21"/>
      <c r="I4139" s="21"/>
      <c r="J4139" s="21"/>
      <c r="K4139" s="21"/>
      <c r="L4139" s="21"/>
      <c r="M4139" s="10"/>
      <c r="N4139" s="67"/>
      <c r="O4139" s="11"/>
    </row>
    <row r="4140" spans="1:15" s="4" customFormat="1" x14ac:dyDescent="0.25">
      <c r="A4140" s="6">
        <v>2102</v>
      </c>
      <c r="B4140" s="5" t="s">
        <v>18</v>
      </c>
      <c r="C4140" s="5" t="s">
        <v>17</v>
      </c>
      <c r="D4140" s="5" t="s">
        <v>513</v>
      </c>
      <c r="E4140" s="5" t="s">
        <v>514</v>
      </c>
      <c r="F4140" s="5" t="s">
        <v>19</v>
      </c>
      <c r="G4140" s="22">
        <v>0.68</v>
      </c>
      <c r="H4140" s="22">
        <v>0</v>
      </c>
      <c r="I4140" s="22">
        <v>0</v>
      </c>
      <c r="J4140" s="22">
        <v>0</v>
      </c>
      <c r="K4140" s="22">
        <v>-0.6</v>
      </c>
      <c r="L4140" s="22">
        <v>0.08</v>
      </c>
      <c r="M4140" s="10"/>
      <c r="N4140" s="67"/>
      <c r="O4140" s="11"/>
    </row>
    <row r="4141" spans="1:15" x14ac:dyDescent="0.25">
      <c r="A4141" s="6">
        <v>2103</v>
      </c>
      <c r="B4141" s="5" t="s">
        <v>18</v>
      </c>
      <c r="C4141" s="5" t="s">
        <v>17</v>
      </c>
      <c r="D4141" s="5" t="s">
        <v>513</v>
      </c>
      <c r="E4141" s="5" t="s">
        <v>514</v>
      </c>
      <c r="F4141" s="5" t="s">
        <v>19</v>
      </c>
      <c r="G4141" s="22">
        <v>0</v>
      </c>
      <c r="H4141" s="22">
        <v>0</v>
      </c>
      <c r="I4141" s="22">
        <v>103.96</v>
      </c>
      <c r="J4141" s="22">
        <v>0</v>
      </c>
      <c r="K4141" s="22">
        <v>-12.23</v>
      </c>
      <c r="L4141" s="22">
        <v>91.73</v>
      </c>
      <c r="M4141" s="10"/>
      <c r="O4141" s="11"/>
    </row>
    <row r="4142" spans="1:15" x14ac:dyDescent="0.25">
      <c r="A4142" s="6"/>
      <c r="B4142" s="5"/>
      <c r="C4142" s="5"/>
      <c r="D4142" s="5" t="s">
        <v>513</v>
      </c>
      <c r="E4142" s="5" t="s">
        <v>514</v>
      </c>
      <c r="F4142" s="5" t="s">
        <v>19</v>
      </c>
      <c r="G4142" s="14">
        <f t="shared" ref="G4142:L4142" si="1016">SUBTOTAL(9,G4140:G4141)</f>
        <v>0.68</v>
      </c>
      <c r="H4142" s="14">
        <f t="shared" si="1016"/>
        <v>0</v>
      </c>
      <c r="I4142" s="14">
        <f t="shared" si="1016"/>
        <v>103.96</v>
      </c>
      <c r="J4142" s="14">
        <f t="shared" si="1016"/>
        <v>0</v>
      </c>
      <c r="K4142" s="14">
        <f t="shared" si="1016"/>
        <v>-12.83</v>
      </c>
      <c r="L4142" s="14">
        <f t="shared" si="1016"/>
        <v>91.81</v>
      </c>
      <c r="M4142" s="10">
        <v>3092</v>
      </c>
      <c r="N4142" s="69"/>
      <c r="O4142" s="11">
        <f>O4138+1</f>
        <v>973</v>
      </c>
    </row>
    <row r="4143" spans="1:15" s="4" customFormat="1" x14ac:dyDescent="0.25">
      <c r="A4143" s="10"/>
      <c r="B4143"/>
      <c r="C4143"/>
      <c r="D4143"/>
      <c r="E4143"/>
      <c r="F4143"/>
      <c r="G4143" s="21"/>
      <c r="H4143" s="21"/>
      <c r="I4143" s="21"/>
      <c r="J4143" s="21"/>
      <c r="K4143" s="21"/>
      <c r="L4143" s="21"/>
      <c r="M4143" s="10"/>
      <c r="N4143" s="67"/>
      <c r="O4143" s="11"/>
    </row>
    <row r="4144" spans="1:15" x14ac:dyDescent="0.25">
      <c r="A4144" s="6">
        <v>2104</v>
      </c>
      <c r="B4144" s="5" t="s">
        <v>550</v>
      </c>
      <c r="C4144" s="5" t="s">
        <v>17</v>
      </c>
      <c r="D4144" s="5" t="s">
        <v>513</v>
      </c>
      <c r="E4144" s="5" t="s">
        <v>514</v>
      </c>
      <c r="F4144" s="5" t="s">
        <v>551</v>
      </c>
      <c r="G4144" s="22">
        <v>0</v>
      </c>
      <c r="H4144" s="22">
        <v>0</v>
      </c>
      <c r="I4144" s="22">
        <v>8494.49</v>
      </c>
      <c r="J4144" s="22">
        <v>0</v>
      </c>
      <c r="K4144" s="22">
        <v>-169.89</v>
      </c>
      <c r="L4144" s="22">
        <v>8324.6</v>
      </c>
      <c r="M4144" s="10"/>
      <c r="O4144" s="11"/>
    </row>
    <row r="4145" spans="1:15" x14ac:dyDescent="0.25">
      <c r="A4145" s="6">
        <v>2105</v>
      </c>
      <c r="B4145" s="5" t="s">
        <v>550</v>
      </c>
      <c r="C4145" s="5" t="s">
        <v>13</v>
      </c>
      <c r="D4145" s="5" t="s">
        <v>513</v>
      </c>
      <c r="E4145" s="5" t="s">
        <v>514</v>
      </c>
      <c r="F4145" s="5" t="s">
        <v>551</v>
      </c>
      <c r="G4145" s="22">
        <v>0</v>
      </c>
      <c r="H4145" s="22">
        <v>0</v>
      </c>
      <c r="I4145" s="22">
        <v>0</v>
      </c>
      <c r="J4145" s="22">
        <v>3515.39</v>
      </c>
      <c r="K4145" s="22">
        <v>0</v>
      </c>
      <c r="L4145" s="22">
        <v>3515.39</v>
      </c>
      <c r="M4145" s="10"/>
      <c r="O4145" s="11"/>
    </row>
    <row r="4146" spans="1:15" s="4" customFormat="1" x14ac:dyDescent="0.25">
      <c r="A4146" s="6">
        <v>2106</v>
      </c>
      <c r="B4146" s="5" t="s">
        <v>550</v>
      </c>
      <c r="C4146" s="5" t="s">
        <v>13</v>
      </c>
      <c r="D4146" s="5" t="s">
        <v>513</v>
      </c>
      <c r="E4146" s="5" t="s">
        <v>514</v>
      </c>
      <c r="F4146" s="5" t="s">
        <v>551</v>
      </c>
      <c r="G4146" s="22">
        <v>0</v>
      </c>
      <c r="H4146" s="22">
        <v>0</v>
      </c>
      <c r="I4146" s="22">
        <v>0</v>
      </c>
      <c r="J4146" s="22">
        <v>201.12</v>
      </c>
      <c r="K4146" s="22">
        <v>0</v>
      </c>
      <c r="L4146" s="22">
        <v>201.12</v>
      </c>
      <c r="M4146" s="10"/>
      <c r="N4146" s="67"/>
      <c r="O4146" s="11"/>
    </row>
    <row r="4147" spans="1:15" x14ac:dyDescent="0.25">
      <c r="A4147" s="6">
        <v>2107</v>
      </c>
      <c r="B4147" s="5" t="s">
        <v>550</v>
      </c>
      <c r="C4147" s="5" t="s">
        <v>17</v>
      </c>
      <c r="D4147" s="5" t="s">
        <v>513</v>
      </c>
      <c r="E4147" s="5" t="s">
        <v>514</v>
      </c>
      <c r="F4147" s="5" t="s">
        <v>551</v>
      </c>
      <c r="G4147" s="22">
        <v>29294.94</v>
      </c>
      <c r="H4147" s="22">
        <v>0</v>
      </c>
      <c r="I4147" s="22">
        <v>0</v>
      </c>
      <c r="J4147" s="22">
        <v>0</v>
      </c>
      <c r="K4147" s="22">
        <v>-585.9</v>
      </c>
      <c r="L4147" s="22">
        <v>28709.040000000001</v>
      </c>
      <c r="M4147" s="10"/>
      <c r="O4147" s="11"/>
    </row>
    <row r="4148" spans="1:15" x14ac:dyDescent="0.25">
      <c r="A4148" s="6">
        <v>2108</v>
      </c>
      <c r="B4148" s="5" t="s">
        <v>550</v>
      </c>
      <c r="C4148" s="5" t="s">
        <v>17</v>
      </c>
      <c r="D4148" s="5" t="s">
        <v>513</v>
      </c>
      <c r="E4148" s="5" t="s">
        <v>514</v>
      </c>
      <c r="F4148" s="5" t="s">
        <v>551</v>
      </c>
      <c r="G4148" s="22">
        <v>1676.01</v>
      </c>
      <c r="H4148" s="22">
        <v>0</v>
      </c>
      <c r="I4148" s="22">
        <v>0</v>
      </c>
      <c r="J4148" s="22">
        <v>0</v>
      </c>
      <c r="K4148" s="22">
        <v>-33.520000000000003</v>
      </c>
      <c r="L4148" s="22">
        <v>1642.49</v>
      </c>
      <c r="M4148" s="10"/>
      <c r="O4148" s="11"/>
    </row>
    <row r="4149" spans="1:15" s="4" customFormat="1" x14ac:dyDescent="0.25">
      <c r="A4149" s="6"/>
      <c r="B4149" s="5"/>
      <c r="C4149" s="5"/>
      <c r="D4149" s="5" t="s">
        <v>513</v>
      </c>
      <c r="E4149" s="5" t="s">
        <v>514</v>
      </c>
      <c r="F4149" s="5" t="s">
        <v>551</v>
      </c>
      <c r="G4149" s="14">
        <f t="shared" ref="G4149:L4149" si="1017">SUBTOTAL(9,G4144:G4148)</f>
        <v>30970.949999999997</v>
      </c>
      <c r="H4149" s="14">
        <f t="shared" si="1017"/>
        <v>0</v>
      </c>
      <c r="I4149" s="14">
        <f t="shared" si="1017"/>
        <v>8494.49</v>
      </c>
      <c r="J4149" s="14">
        <f t="shared" si="1017"/>
        <v>3716.5099999999998</v>
      </c>
      <c r="K4149" s="14">
        <f t="shared" si="1017"/>
        <v>-789.31</v>
      </c>
      <c r="L4149" s="14">
        <f t="shared" si="1017"/>
        <v>42392.639999999999</v>
      </c>
      <c r="M4149" s="10">
        <v>3093</v>
      </c>
      <c r="N4149" s="69"/>
      <c r="O4149" s="11">
        <f>O4142+1</f>
        <v>974</v>
      </c>
    </row>
    <row r="4150" spans="1:15" s="4" customFormat="1" x14ac:dyDescent="0.25">
      <c r="A4150" s="10"/>
      <c r="B4150"/>
      <c r="C4150"/>
      <c r="D4150"/>
      <c r="E4150"/>
      <c r="F4150"/>
      <c r="G4150" s="21"/>
      <c r="H4150" s="21"/>
      <c r="I4150" s="21"/>
      <c r="J4150" s="21"/>
      <c r="K4150" s="21"/>
      <c r="L4150" s="21"/>
      <c r="M4150" s="10"/>
      <c r="N4150" s="67"/>
      <c r="O4150" s="11"/>
    </row>
    <row r="4151" spans="1:15" x14ac:dyDescent="0.25">
      <c r="A4151" s="6">
        <v>2109</v>
      </c>
      <c r="B4151" s="5" t="s">
        <v>550</v>
      </c>
      <c r="C4151" s="5" t="s">
        <v>17</v>
      </c>
      <c r="D4151" s="5" t="s">
        <v>513</v>
      </c>
      <c r="E4151" s="5" t="s">
        <v>514</v>
      </c>
      <c r="F4151" s="5" t="s">
        <v>552</v>
      </c>
      <c r="G4151" s="22">
        <v>0</v>
      </c>
      <c r="H4151" s="22">
        <v>0</v>
      </c>
      <c r="I4151" s="22">
        <v>0.61</v>
      </c>
      <c r="J4151" s="22">
        <v>0</v>
      </c>
      <c r="K4151" s="22">
        <v>-0.01</v>
      </c>
      <c r="L4151" s="22">
        <v>0.6</v>
      </c>
      <c r="M4151" s="10"/>
      <c r="O4151" s="11"/>
    </row>
    <row r="4152" spans="1:15" x14ac:dyDescent="0.25">
      <c r="A4152" s="6">
        <v>2110</v>
      </c>
      <c r="B4152" s="5" t="s">
        <v>550</v>
      </c>
      <c r="C4152" s="5" t="s">
        <v>13</v>
      </c>
      <c r="D4152" s="5" t="s">
        <v>513</v>
      </c>
      <c r="E4152" s="5" t="s">
        <v>514</v>
      </c>
      <c r="F4152" s="5" t="s">
        <v>552</v>
      </c>
      <c r="G4152" s="22">
        <v>0</v>
      </c>
      <c r="H4152" s="22">
        <v>0</v>
      </c>
      <c r="I4152" s="22">
        <v>0</v>
      </c>
      <c r="J4152" s="22">
        <v>0.25</v>
      </c>
      <c r="K4152" s="22">
        <v>0</v>
      </c>
      <c r="L4152" s="22">
        <v>0.25</v>
      </c>
      <c r="M4152" s="10"/>
      <c r="O4152" s="11"/>
    </row>
    <row r="4153" spans="1:15" s="4" customFormat="1" x14ac:dyDescent="0.25">
      <c r="A4153" s="6">
        <v>2111</v>
      </c>
      <c r="B4153" s="5" t="s">
        <v>550</v>
      </c>
      <c r="C4153" s="5" t="s">
        <v>13</v>
      </c>
      <c r="D4153" s="5" t="s">
        <v>513</v>
      </c>
      <c r="E4153" s="5" t="s">
        <v>514</v>
      </c>
      <c r="F4153" s="5" t="s">
        <v>552</v>
      </c>
      <c r="G4153" s="22">
        <v>0</v>
      </c>
      <c r="H4153" s="22">
        <v>0</v>
      </c>
      <c r="I4153" s="22">
        <v>0</v>
      </c>
      <c r="J4153" s="22">
        <v>0.01</v>
      </c>
      <c r="K4153" s="22">
        <v>0</v>
      </c>
      <c r="L4153" s="22">
        <v>0.01</v>
      </c>
      <c r="M4153" s="10"/>
      <c r="N4153" s="67"/>
      <c r="O4153" s="11"/>
    </row>
    <row r="4154" spans="1:15" s="4" customFormat="1" x14ac:dyDescent="0.25">
      <c r="A4154" s="6">
        <v>2112</v>
      </c>
      <c r="B4154" s="5" t="s">
        <v>550</v>
      </c>
      <c r="C4154" s="5" t="s">
        <v>17</v>
      </c>
      <c r="D4154" s="5" t="s">
        <v>513</v>
      </c>
      <c r="E4154" s="5" t="s">
        <v>514</v>
      </c>
      <c r="F4154" s="5" t="s">
        <v>552</v>
      </c>
      <c r="G4154" s="22">
        <v>2.11</v>
      </c>
      <c r="H4154" s="22">
        <v>0</v>
      </c>
      <c r="I4154" s="22">
        <v>0</v>
      </c>
      <c r="J4154" s="22">
        <v>0</v>
      </c>
      <c r="K4154" s="22">
        <v>-0.04</v>
      </c>
      <c r="L4154" s="22">
        <v>2.0699999999999998</v>
      </c>
      <c r="M4154" s="10"/>
      <c r="N4154" s="67"/>
      <c r="O4154" s="11"/>
    </row>
    <row r="4155" spans="1:15" x14ac:dyDescent="0.25">
      <c r="A4155" s="6">
        <v>2113</v>
      </c>
      <c r="B4155" s="5" t="s">
        <v>550</v>
      </c>
      <c r="C4155" s="5" t="s">
        <v>17</v>
      </c>
      <c r="D4155" s="5" t="s">
        <v>513</v>
      </c>
      <c r="E4155" s="5" t="s">
        <v>514</v>
      </c>
      <c r="F4155" s="5" t="s">
        <v>552</v>
      </c>
      <c r="G4155" s="22">
        <v>0.12</v>
      </c>
      <c r="H4155" s="22">
        <v>0</v>
      </c>
      <c r="I4155" s="22">
        <v>0</v>
      </c>
      <c r="J4155" s="22">
        <v>0</v>
      </c>
      <c r="K4155" s="22">
        <v>0</v>
      </c>
      <c r="L4155" s="22">
        <v>0.12</v>
      </c>
      <c r="M4155" s="10"/>
      <c r="O4155" s="11"/>
    </row>
    <row r="4156" spans="1:15" x14ac:dyDescent="0.25">
      <c r="A4156" s="6"/>
      <c r="B4156" s="5"/>
      <c r="C4156" s="5"/>
      <c r="D4156" s="5" t="s">
        <v>513</v>
      </c>
      <c r="E4156" s="5" t="s">
        <v>514</v>
      </c>
      <c r="F4156" s="5" t="s">
        <v>552</v>
      </c>
      <c r="G4156" s="14">
        <f t="shared" ref="G4156:L4156" si="1018">SUBTOTAL(9,G4151:G4155)</f>
        <v>2.23</v>
      </c>
      <c r="H4156" s="14">
        <f t="shared" si="1018"/>
        <v>0</v>
      </c>
      <c r="I4156" s="14">
        <f t="shared" si="1018"/>
        <v>0.61</v>
      </c>
      <c r="J4156" s="14">
        <f t="shared" si="1018"/>
        <v>0.26</v>
      </c>
      <c r="K4156" s="14">
        <f t="shared" si="1018"/>
        <v>-0.05</v>
      </c>
      <c r="L4156" s="14">
        <f t="shared" si="1018"/>
        <v>3.05</v>
      </c>
      <c r="M4156" s="10">
        <v>3094</v>
      </c>
      <c r="N4156" s="69"/>
      <c r="O4156" s="11">
        <f>O4149+1</f>
        <v>975</v>
      </c>
    </row>
    <row r="4157" spans="1:15" s="4" customFormat="1" x14ac:dyDescent="0.25">
      <c r="A4157" s="10"/>
      <c r="B4157"/>
      <c r="C4157"/>
      <c r="D4157"/>
      <c r="E4157"/>
      <c r="F4157"/>
      <c r="G4157" s="21"/>
      <c r="H4157" s="21"/>
      <c r="I4157" s="21"/>
      <c r="J4157" s="21"/>
      <c r="K4157" s="21"/>
      <c r="L4157" s="21"/>
      <c r="M4157" s="10"/>
      <c r="N4157" s="67"/>
      <c r="O4157" s="11"/>
    </row>
    <row r="4158" spans="1:15" s="4" customFormat="1" x14ac:dyDescent="0.25">
      <c r="A4158" s="6">
        <v>2114</v>
      </c>
      <c r="B4158" s="5" t="s">
        <v>555</v>
      </c>
      <c r="C4158" s="5" t="s">
        <v>17</v>
      </c>
      <c r="D4158" s="5" t="s">
        <v>515</v>
      </c>
      <c r="E4158" s="5" t="s">
        <v>516</v>
      </c>
      <c r="F4158" s="5" t="s">
        <v>556</v>
      </c>
      <c r="G4158" s="22">
        <v>1523.09</v>
      </c>
      <c r="H4158" s="22">
        <v>0</v>
      </c>
      <c r="I4158" s="22">
        <v>0</v>
      </c>
      <c r="J4158" s="22">
        <v>0</v>
      </c>
      <c r="K4158" s="22">
        <v>-30.46</v>
      </c>
      <c r="L4158" s="22">
        <v>1492.63</v>
      </c>
      <c r="M4158" s="10"/>
      <c r="N4158" s="67"/>
      <c r="O4158" s="11"/>
    </row>
    <row r="4159" spans="1:15" s="4" customFormat="1" x14ac:dyDescent="0.25">
      <c r="A4159" s="6">
        <v>2115</v>
      </c>
      <c r="B4159" s="5" t="s">
        <v>555</v>
      </c>
      <c r="C4159" s="5" t="s">
        <v>13</v>
      </c>
      <c r="D4159" s="5" t="s">
        <v>515</v>
      </c>
      <c r="E4159" s="5" t="s">
        <v>516</v>
      </c>
      <c r="F4159" s="5" t="s">
        <v>556</v>
      </c>
      <c r="G4159" s="22">
        <v>0</v>
      </c>
      <c r="H4159" s="22">
        <v>0</v>
      </c>
      <c r="I4159" s="22">
        <v>0</v>
      </c>
      <c r="J4159" s="22">
        <v>182.77</v>
      </c>
      <c r="K4159" s="22">
        <v>0</v>
      </c>
      <c r="L4159" s="22">
        <v>182.77</v>
      </c>
      <c r="M4159" s="10"/>
      <c r="N4159" s="67"/>
      <c r="O4159" s="11"/>
    </row>
    <row r="4160" spans="1:15" x14ac:dyDescent="0.25">
      <c r="A4160" s="6"/>
      <c r="B4160" s="5"/>
      <c r="C4160" s="5"/>
      <c r="D4160" s="5" t="s">
        <v>515</v>
      </c>
      <c r="E4160" s="5" t="s">
        <v>516</v>
      </c>
      <c r="F4160" s="5" t="s">
        <v>556</v>
      </c>
      <c r="G4160" s="14">
        <f t="shared" ref="G4160:L4160" si="1019">SUBTOTAL(9,G4158:G4159)</f>
        <v>1523.09</v>
      </c>
      <c r="H4160" s="14">
        <f t="shared" si="1019"/>
        <v>0</v>
      </c>
      <c r="I4160" s="14">
        <f t="shared" si="1019"/>
        <v>0</v>
      </c>
      <c r="J4160" s="14">
        <f t="shared" si="1019"/>
        <v>182.77</v>
      </c>
      <c r="K4160" s="14">
        <f t="shared" si="1019"/>
        <v>-30.46</v>
      </c>
      <c r="L4160" s="14">
        <f t="shared" si="1019"/>
        <v>1675.4</v>
      </c>
      <c r="M4160" s="10">
        <v>3095</v>
      </c>
      <c r="N4160" s="69"/>
      <c r="O4160" s="11">
        <f>O4156+1</f>
        <v>976</v>
      </c>
    </row>
    <row r="4161" spans="1:15" x14ac:dyDescent="0.25">
      <c r="A4161" s="10"/>
      <c r="G4161" s="21"/>
      <c r="H4161" s="21"/>
      <c r="I4161" s="21"/>
      <c r="J4161" s="21"/>
      <c r="K4161" s="21"/>
      <c r="L4161" s="21"/>
      <c r="M4161" s="10"/>
      <c r="O4161" s="11"/>
    </row>
    <row r="4162" spans="1:15" s="4" customFormat="1" x14ac:dyDescent="0.25">
      <c r="A4162" s="6">
        <v>2116</v>
      </c>
      <c r="B4162" s="5" t="s">
        <v>557</v>
      </c>
      <c r="C4162" s="5" t="s">
        <v>17</v>
      </c>
      <c r="D4162" s="5" t="s">
        <v>515</v>
      </c>
      <c r="E4162" s="5" t="s">
        <v>516</v>
      </c>
      <c r="F4162" s="5" t="s">
        <v>558</v>
      </c>
      <c r="G4162" s="22">
        <v>975.72</v>
      </c>
      <c r="H4162" s="22">
        <v>0</v>
      </c>
      <c r="I4162" s="22">
        <v>0</v>
      </c>
      <c r="J4162" s="22">
        <v>0</v>
      </c>
      <c r="K4162" s="22">
        <v>-19.510000000000002</v>
      </c>
      <c r="L4162" s="22">
        <v>956.21</v>
      </c>
      <c r="M4162" s="10"/>
      <c r="N4162" s="67"/>
      <c r="O4162" s="11"/>
    </row>
    <row r="4163" spans="1:15" s="4" customFormat="1" x14ac:dyDescent="0.25">
      <c r="A4163" s="6">
        <v>2117</v>
      </c>
      <c r="B4163" s="5" t="s">
        <v>557</v>
      </c>
      <c r="C4163" s="5" t="s">
        <v>13</v>
      </c>
      <c r="D4163" s="5" t="s">
        <v>515</v>
      </c>
      <c r="E4163" s="5" t="s">
        <v>516</v>
      </c>
      <c r="F4163" s="5" t="s">
        <v>558</v>
      </c>
      <c r="G4163" s="22">
        <v>0</v>
      </c>
      <c r="H4163" s="22">
        <v>0</v>
      </c>
      <c r="I4163" s="22">
        <v>0</v>
      </c>
      <c r="J4163" s="22">
        <v>117.09</v>
      </c>
      <c r="K4163" s="22">
        <v>0</v>
      </c>
      <c r="L4163" s="22">
        <v>117.09</v>
      </c>
      <c r="M4163" s="10"/>
      <c r="N4163" s="67"/>
      <c r="O4163" s="11"/>
    </row>
    <row r="4164" spans="1:15" x14ac:dyDescent="0.25">
      <c r="A4164" s="6"/>
      <c r="B4164" s="5"/>
      <c r="C4164" s="5"/>
      <c r="D4164" s="5" t="s">
        <v>515</v>
      </c>
      <c r="E4164" s="5" t="s">
        <v>516</v>
      </c>
      <c r="F4164" s="5" t="s">
        <v>558</v>
      </c>
      <c r="G4164" s="14">
        <f t="shared" ref="G4164:L4164" si="1020">SUBTOTAL(9,G4162:G4163)</f>
        <v>975.72</v>
      </c>
      <c r="H4164" s="14">
        <f t="shared" si="1020"/>
        <v>0</v>
      </c>
      <c r="I4164" s="14">
        <f t="shared" si="1020"/>
        <v>0</v>
      </c>
      <c r="J4164" s="14">
        <f t="shared" si="1020"/>
        <v>117.09</v>
      </c>
      <c r="K4164" s="14">
        <f t="shared" si="1020"/>
        <v>-19.510000000000002</v>
      </c>
      <c r="L4164" s="14">
        <f t="shared" si="1020"/>
        <v>1073.3</v>
      </c>
      <c r="M4164" s="10">
        <v>3096</v>
      </c>
      <c r="N4164" s="69"/>
      <c r="O4164" s="11">
        <f>O4160+1</f>
        <v>977</v>
      </c>
    </row>
    <row r="4165" spans="1:15" x14ac:dyDescent="0.25">
      <c r="A4165" s="10"/>
      <c r="G4165" s="21"/>
      <c r="H4165" s="21"/>
      <c r="I4165" s="21"/>
      <c r="J4165" s="21"/>
      <c r="K4165" s="21"/>
      <c r="L4165" s="21"/>
      <c r="M4165" s="10"/>
      <c r="O4165" s="11"/>
    </row>
    <row r="4166" spans="1:15" s="4" customFormat="1" x14ac:dyDescent="0.25">
      <c r="A4166" s="6">
        <v>2118</v>
      </c>
      <c r="B4166" s="5" t="s">
        <v>18</v>
      </c>
      <c r="C4166" s="5" t="s">
        <v>17</v>
      </c>
      <c r="D4166" s="5" t="s">
        <v>515</v>
      </c>
      <c r="E4166" s="5" t="s">
        <v>516</v>
      </c>
      <c r="F4166" s="5" t="s">
        <v>19</v>
      </c>
      <c r="G4166" s="22">
        <v>0.75</v>
      </c>
      <c r="H4166" s="22">
        <v>0</v>
      </c>
      <c r="I4166" s="22">
        <v>0</v>
      </c>
      <c r="J4166" s="22">
        <v>0</v>
      </c>
      <c r="K4166" s="22">
        <v>-0.67</v>
      </c>
      <c r="L4166" s="22">
        <v>0.08</v>
      </c>
      <c r="M4166" s="10"/>
      <c r="N4166" s="67"/>
      <c r="O4166" s="11"/>
    </row>
    <row r="4167" spans="1:15" s="4" customFormat="1" x14ac:dyDescent="0.25">
      <c r="A4167" s="6"/>
      <c r="B4167" s="5"/>
      <c r="C4167" s="5"/>
      <c r="D4167" s="5" t="s">
        <v>515</v>
      </c>
      <c r="E4167" s="5" t="s">
        <v>516</v>
      </c>
      <c r="F4167" s="5" t="s">
        <v>19</v>
      </c>
      <c r="G4167" s="14">
        <f t="shared" ref="G4167:L4167" si="1021">SUBTOTAL(9,G4166:G4166)</f>
        <v>0.75</v>
      </c>
      <c r="H4167" s="14">
        <f t="shared" si="1021"/>
        <v>0</v>
      </c>
      <c r="I4167" s="14">
        <f t="shared" si="1021"/>
        <v>0</v>
      </c>
      <c r="J4167" s="14">
        <f t="shared" si="1021"/>
        <v>0</v>
      </c>
      <c r="K4167" s="14">
        <f t="shared" si="1021"/>
        <v>-0.67</v>
      </c>
      <c r="L4167" s="14">
        <f t="shared" si="1021"/>
        <v>0.08</v>
      </c>
      <c r="M4167" s="10">
        <v>3097</v>
      </c>
      <c r="N4167" s="69"/>
      <c r="O4167" s="11">
        <f>O4164+1</f>
        <v>978</v>
      </c>
    </row>
    <row r="4168" spans="1:15" x14ac:dyDescent="0.25">
      <c r="A4168" s="10"/>
      <c r="G4168" s="21"/>
      <c r="H4168" s="21"/>
      <c r="I4168" s="21"/>
      <c r="J4168" s="21"/>
      <c r="K4168" s="21"/>
      <c r="L4168" s="21"/>
      <c r="M4168" s="10"/>
      <c r="O4168" s="11"/>
    </row>
    <row r="4169" spans="1:15" x14ac:dyDescent="0.25">
      <c r="A4169" s="6">
        <v>2119</v>
      </c>
      <c r="B4169" s="5" t="s">
        <v>550</v>
      </c>
      <c r="C4169" s="5" t="s">
        <v>13</v>
      </c>
      <c r="D4169" s="5" t="s">
        <v>515</v>
      </c>
      <c r="E4169" s="5" t="s">
        <v>516</v>
      </c>
      <c r="F4169" s="5" t="s">
        <v>551</v>
      </c>
      <c r="G4169" s="22">
        <v>0</v>
      </c>
      <c r="H4169" s="22">
        <v>0</v>
      </c>
      <c r="I4169" s="22">
        <v>0</v>
      </c>
      <c r="J4169" s="22">
        <v>8017.19</v>
      </c>
      <c r="K4169" s="22">
        <v>0</v>
      </c>
      <c r="L4169" s="22">
        <v>8017.19</v>
      </c>
      <c r="M4169" s="10"/>
      <c r="O4169" s="11"/>
    </row>
    <row r="4170" spans="1:15" s="4" customFormat="1" x14ac:dyDescent="0.25">
      <c r="A4170" s="6">
        <v>2120</v>
      </c>
      <c r="B4170" s="5" t="s">
        <v>550</v>
      </c>
      <c r="C4170" s="5" t="s">
        <v>13</v>
      </c>
      <c r="D4170" s="5" t="s">
        <v>515</v>
      </c>
      <c r="E4170" s="5" t="s">
        <v>516</v>
      </c>
      <c r="F4170" s="5" t="s">
        <v>551</v>
      </c>
      <c r="G4170" s="22">
        <v>0</v>
      </c>
      <c r="H4170" s="22">
        <v>0</v>
      </c>
      <c r="I4170" s="22">
        <v>0</v>
      </c>
      <c r="J4170" s="22">
        <v>2033.78</v>
      </c>
      <c r="K4170" s="22">
        <v>0</v>
      </c>
      <c r="L4170" s="22">
        <v>2033.78</v>
      </c>
      <c r="M4170" s="10"/>
      <c r="N4170" s="67"/>
      <c r="O4170" s="11"/>
    </row>
    <row r="4171" spans="1:15" x14ac:dyDescent="0.25">
      <c r="A4171" s="6">
        <v>2121</v>
      </c>
      <c r="B4171" s="5" t="s">
        <v>550</v>
      </c>
      <c r="C4171" s="5" t="s">
        <v>17</v>
      </c>
      <c r="D4171" s="5" t="s">
        <v>515</v>
      </c>
      <c r="E4171" s="5" t="s">
        <v>516</v>
      </c>
      <c r="F4171" s="5" t="s">
        <v>551</v>
      </c>
      <c r="G4171" s="22">
        <v>66809.919999999998</v>
      </c>
      <c r="H4171" s="22">
        <v>0</v>
      </c>
      <c r="I4171" s="22">
        <v>0</v>
      </c>
      <c r="J4171" s="22">
        <v>0</v>
      </c>
      <c r="K4171" s="22">
        <v>-1336.2</v>
      </c>
      <c r="L4171" s="22">
        <v>65473.72</v>
      </c>
      <c r="M4171" s="10"/>
      <c r="O4171" s="11"/>
    </row>
    <row r="4172" spans="1:15" x14ac:dyDescent="0.25">
      <c r="A4172" s="6">
        <v>2122</v>
      </c>
      <c r="B4172" s="5" t="s">
        <v>550</v>
      </c>
      <c r="C4172" s="5" t="s">
        <v>17</v>
      </c>
      <c r="D4172" s="5" t="s">
        <v>515</v>
      </c>
      <c r="E4172" s="5" t="s">
        <v>516</v>
      </c>
      <c r="F4172" s="5" t="s">
        <v>551</v>
      </c>
      <c r="G4172" s="22">
        <v>16948.18</v>
      </c>
      <c r="H4172" s="22">
        <v>0</v>
      </c>
      <c r="I4172" s="22">
        <v>0</v>
      </c>
      <c r="J4172" s="22">
        <v>0</v>
      </c>
      <c r="K4172" s="22">
        <v>-338.96</v>
      </c>
      <c r="L4172" s="22">
        <v>16609.22</v>
      </c>
      <c r="M4172" s="10"/>
      <c r="O4172" s="11"/>
    </row>
    <row r="4173" spans="1:15" s="4" customFormat="1" x14ac:dyDescent="0.25">
      <c r="A4173" s="6"/>
      <c r="B4173" s="5"/>
      <c r="C4173" s="5"/>
      <c r="D4173" s="5" t="s">
        <v>515</v>
      </c>
      <c r="E4173" s="5" t="s">
        <v>516</v>
      </c>
      <c r="F4173" s="5" t="s">
        <v>551</v>
      </c>
      <c r="G4173" s="14">
        <f t="shared" ref="G4173:L4173" si="1022">SUBTOTAL(9,G4169:G4172)</f>
        <v>83758.100000000006</v>
      </c>
      <c r="H4173" s="14">
        <f t="shared" si="1022"/>
        <v>0</v>
      </c>
      <c r="I4173" s="14">
        <f t="shared" si="1022"/>
        <v>0</v>
      </c>
      <c r="J4173" s="14">
        <f t="shared" si="1022"/>
        <v>10050.969999999999</v>
      </c>
      <c r="K4173" s="14">
        <f t="shared" si="1022"/>
        <v>-1675.16</v>
      </c>
      <c r="L4173" s="14">
        <f t="shared" si="1022"/>
        <v>92133.91</v>
      </c>
      <c r="M4173" s="10">
        <v>3098</v>
      </c>
      <c r="N4173" s="69"/>
      <c r="O4173" s="11">
        <f>O4167+1</f>
        <v>979</v>
      </c>
    </row>
    <row r="4174" spans="1:15" x14ac:dyDescent="0.25">
      <c r="A4174" s="10"/>
      <c r="G4174" s="21"/>
      <c r="H4174" s="21"/>
      <c r="I4174" s="21"/>
      <c r="J4174" s="21"/>
      <c r="K4174" s="21"/>
      <c r="L4174" s="21"/>
      <c r="M4174" s="10"/>
      <c r="O4174" s="11"/>
    </row>
    <row r="4175" spans="1:15" x14ac:dyDescent="0.25">
      <c r="A4175" s="6">
        <v>2123</v>
      </c>
      <c r="B4175" s="5" t="s">
        <v>550</v>
      </c>
      <c r="C4175" s="5" t="s">
        <v>13</v>
      </c>
      <c r="D4175" s="5" t="s">
        <v>515</v>
      </c>
      <c r="E4175" s="5" t="s">
        <v>516</v>
      </c>
      <c r="F4175" s="5" t="s">
        <v>552</v>
      </c>
      <c r="G4175" s="22">
        <v>0</v>
      </c>
      <c r="H4175" s="22">
        <v>0</v>
      </c>
      <c r="I4175" s="22">
        <v>0</v>
      </c>
      <c r="J4175" s="22">
        <v>0.57999999999999996</v>
      </c>
      <c r="K4175" s="22">
        <v>0</v>
      </c>
      <c r="L4175" s="22">
        <v>0.57999999999999996</v>
      </c>
      <c r="M4175" s="10"/>
      <c r="O4175" s="11"/>
    </row>
    <row r="4176" spans="1:15" s="4" customFormat="1" x14ac:dyDescent="0.25">
      <c r="A4176" s="6">
        <v>2124</v>
      </c>
      <c r="B4176" s="5" t="s">
        <v>550</v>
      </c>
      <c r="C4176" s="5" t="s">
        <v>13</v>
      </c>
      <c r="D4176" s="5" t="s">
        <v>515</v>
      </c>
      <c r="E4176" s="5" t="s">
        <v>516</v>
      </c>
      <c r="F4176" s="5" t="s">
        <v>552</v>
      </c>
      <c r="G4176" s="22">
        <v>0</v>
      </c>
      <c r="H4176" s="22">
        <v>0</v>
      </c>
      <c r="I4176" s="22">
        <v>0</v>
      </c>
      <c r="J4176" s="22">
        <v>0.15</v>
      </c>
      <c r="K4176" s="22">
        <v>0</v>
      </c>
      <c r="L4176" s="22">
        <v>0.15</v>
      </c>
      <c r="M4176" s="10"/>
      <c r="N4176" s="67"/>
      <c r="O4176" s="11"/>
    </row>
    <row r="4177" spans="1:15" s="4" customFormat="1" x14ac:dyDescent="0.25">
      <c r="A4177" s="6">
        <v>2125</v>
      </c>
      <c r="B4177" s="5" t="s">
        <v>550</v>
      </c>
      <c r="C4177" s="5" t="s">
        <v>17</v>
      </c>
      <c r="D4177" s="5" t="s">
        <v>515</v>
      </c>
      <c r="E4177" s="5" t="s">
        <v>516</v>
      </c>
      <c r="F4177" s="5" t="s">
        <v>552</v>
      </c>
      <c r="G4177" s="22">
        <v>4.8099999999999996</v>
      </c>
      <c r="H4177" s="22">
        <v>0</v>
      </c>
      <c r="I4177" s="22">
        <v>0</v>
      </c>
      <c r="J4177" s="22">
        <v>0</v>
      </c>
      <c r="K4177" s="22">
        <v>-0.1</v>
      </c>
      <c r="L4177" s="22">
        <v>4.71</v>
      </c>
      <c r="M4177" s="10"/>
      <c r="N4177" s="67"/>
      <c r="O4177" s="11"/>
    </row>
    <row r="4178" spans="1:15" x14ac:dyDescent="0.25">
      <c r="A4178" s="6">
        <v>2126</v>
      </c>
      <c r="B4178" s="5" t="s">
        <v>550</v>
      </c>
      <c r="C4178" s="5" t="s">
        <v>17</v>
      </c>
      <c r="D4178" s="5" t="s">
        <v>515</v>
      </c>
      <c r="E4178" s="5" t="s">
        <v>516</v>
      </c>
      <c r="F4178" s="5" t="s">
        <v>552</v>
      </c>
      <c r="G4178" s="22">
        <v>1.22</v>
      </c>
      <c r="H4178" s="22">
        <v>0</v>
      </c>
      <c r="I4178" s="22">
        <v>0</v>
      </c>
      <c r="J4178" s="22">
        <v>0</v>
      </c>
      <c r="K4178" s="22">
        <v>-0.02</v>
      </c>
      <c r="L4178" s="22">
        <v>1.2</v>
      </c>
      <c r="M4178" s="10"/>
      <c r="O4178" s="11"/>
    </row>
    <row r="4179" spans="1:15" x14ac:dyDescent="0.25">
      <c r="A4179" s="6"/>
      <c r="B4179" s="5"/>
      <c r="C4179" s="5"/>
      <c r="D4179" s="5" t="s">
        <v>515</v>
      </c>
      <c r="E4179" s="5" t="s">
        <v>516</v>
      </c>
      <c r="F4179" s="5" t="s">
        <v>552</v>
      </c>
      <c r="G4179" s="14">
        <f t="shared" ref="G4179:L4179" si="1023">SUBTOTAL(9,G4175:G4178)</f>
        <v>6.0299999999999994</v>
      </c>
      <c r="H4179" s="14">
        <f t="shared" si="1023"/>
        <v>0</v>
      </c>
      <c r="I4179" s="14">
        <f t="shared" si="1023"/>
        <v>0</v>
      </c>
      <c r="J4179" s="14">
        <f t="shared" si="1023"/>
        <v>0.73</v>
      </c>
      <c r="K4179" s="14">
        <f t="shared" si="1023"/>
        <v>-0.12000000000000001</v>
      </c>
      <c r="L4179" s="14">
        <f t="shared" si="1023"/>
        <v>6.64</v>
      </c>
      <c r="M4179" s="10">
        <v>3099</v>
      </c>
      <c r="N4179" s="69"/>
      <c r="O4179" s="11">
        <f>O4173+1</f>
        <v>980</v>
      </c>
    </row>
    <row r="4180" spans="1:15" s="4" customFormat="1" x14ac:dyDescent="0.25">
      <c r="A4180" s="10"/>
      <c r="B4180"/>
      <c r="C4180"/>
      <c r="D4180"/>
      <c r="E4180"/>
      <c r="F4180"/>
      <c r="G4180" s="21"/>
      <c r="H4180" s="21"/>
      <c r="I4180" s="21"/>
      <c r="J4180" s="21"/>
      <c r="K4180" s="21"/>
      <c r="L4180" s="21"/>
      <c r="M4180" s="10"/>
      <c r="N4180" s="67"/>
      <c r="O4180" s="11"/>
    </row>
    <row r="4181" spans="1:15" s="4" customFormat="1" x14ac:dyDescent="0.25">
      <c r="A4181" s="6">
        <v>2127</v>
      </c>
      <c r="B4181" s="5" t="s">
        <v>557</v>
      </c>
      <c r="C4181" s="5" t="s">
        <v>17</v>
      </c>
      <c r="D4181" s="5" t="s">
        <v>517</v>
      </c>
      <c r="E4181" s="5" t="s">
        <v>518</v>
      </c>
      <c r="F4181" s="5" t="s">
        <v>558</v>
      </c>
      <c r="G4181" s="22">
        <v>4.6900000000000004</v>
      </c>
      <c r="H4181" s="22">
        <v>0</v>
      </c>
      <c r="I4181" s="22">
        <v>0</v>
      </c>
      <c r="J4181" s="22">
        <v>0</v>
      </c>
      <c r="K4181" s="22">
        <v>-0.09</v>
      </c>
      <c r="L4181" s="22">
        <v>4.5999999999999996</v>
      </c>
      <c r="M4181" s="10"/>
      <c r="N4181" s="67"/>
      <c r="O4181" s="11"/>
    </row>
    <row r="4182" spans="1:15" x14ac:dyDescent="0.25">
      <c r="A4182" s="6">
        <v>2128</v>
      </c>
      <c r="B4182" s="5" t="s">
        <v>557</v>
      </c>
      <c r="C4182" s="5" t="s">
        <v>13</v>
      </c>
      <c r="D4182" s="5" t="s">
        <v>517</v>
      </c>
      <c r="E4182" s="5" t="s">
        <v>518</v>
      </c>
      <c r="F4182" s="5" t="s">
        <v>558</v>
      </c>
      <c r="G4182" s="22">
        <v>0</v>
      </c>
      <c r="H4182" s="22">
        <v>0</v>
      </c>
      <c r="I4182" s="22">
        <v>0</v>
      </c>
      <c r="J4182" s="22">
        <v>0.56000000000000005</v>
      </c>
      <c r="K4182" s="22">
        <v>0</v>
      </c>
      <c r="L4182" s="22">
        <v>0.56000000000000005</v>
      </c>
      <c r="M4182" s="10"/>
      <c r="O4182" s="11"/>
    </row>
    <row r="4183" spans="1:15" x14ac:dyDescent="0.25">
      <c r="A4183" s="6"/>
      <c r="B4183" s="5"/>
      <c r="C4183" s="5"/>
      <c r="D4183" s="5" t="s">
        <v>517</v>
      </c>
      <c r="E4183" s="5" t="s">
        <v>518</v>
      </c>
      <c r="F4183" s="5" t="s">
        <v>558</v>
      </c>
      <c r="G4183" s="14">
        <f t="shared" ref="G4183:L4183" si="1024">SUBTOTAL(9,G4181:G4182)</f>
        <v>4.6900000000000004</v>
      </c>
      <c r="H4183" s="14">
        <f t="shared" si="1024"/>
        <v>0</v>
      </c>
      <c r="I4183" s="14">
        <f t="shared" si="1024"/>
        <v>0</v>
      </c>
      <c r="J4183" s="14">
        <f t="shared" si="1024"/>
        <v>0.56000000000000005</v>
      </c>
      <c r="K4183" s="14">
        <f t="shared" si="1024"/>
        <v>-0.09</v>
      </c>
      <c r="L4183" s="14">
        <f t="shared" si="1024"/>
        <v>5.16</v>
      </c>
      <c r="M4183" s="10">
        <v>3100</v>
      </c>
      <c r="N4183" s="69"/>
      <c r="O4183" s="11">
        <f>O4179+1</f>
        <v>981</v>
      </c>
    </row>
    <row r="4184" spans="1:15" s="4" customFormat="1" x14ac:dyDescent="0.25">
      <c r="A4184" s="10"/>
      <c r="B4184"/>
      <c r="C4184"/>
      <c r="D4184"/>
      <c r="E4184"/>
      <c r="F4184"/>
      <c r="G4184" s="21"/>
      <c r="H4184" s="21"/>
      <c r="I4184" s="21"/>
      <c r="J4184" s="21"/>
      <c r="K4184" s="21"/>
      <c r="L4184" s="21"/>
      <c r="M4184" s="10"/>
      <c r="N4184" s="67"/>
      <c r="O4184" s="11"/>
    </row>
    <row r="4185" spans="1:15" s="4" customFormat="1" x14ac:dyDescent="0.25">
      <c r="A4185" s="6">
        <v>2129</v>
      </c>
      <c r="B4185" s="5" t="s">
        <v>18</v>
      </c>
      <c r="C4185" s="5" t="s">
        <v>17</v>
      </c>
      <c r="D4185" s="5" t="s">
        <v>517</v>
      </c>
      <c r="E4185" s="5" t="s">
        <v>518</v>
      </c>
      <c r="F4185" s="5" t="s">
        <v>19</v>
      </c>
      <c r="G4185" s="22">
        <v>0.06</v>
      </c>
      <c r="H4185" s="22">
        <v>0</v>
      </c>
      <c r="I4185" s="22">
        <v>0</v>
      </c>
      <c r="J4185" s="22">
        <v>0</v>
      </c>
      <c r="K4185" s="22">
        <v>-0.05</v>
      </c>
      <c r="L4185" s="22">
        <v>0.01</v>
      </c>
      <c r="M4185" s="10"/>
      <c r="N4185" s="67"/>
      <c r="O4185" s="11"/>
    </row>
    <row r="4186" spans="1:15" x14ac:dyDescent="0.25">
      <c r="A4186" s="6"/>
      <c r="B4186" s="5"/>
      <c r="C4186" s="5"/>
      <c r="D4186" s="5" t="s">
        <v>517</v>
      </c>
      <c r="E4186" s="5" t="s">
        <v>518</v>
      </c>
      <c r="F4186" s="5" t="s">
        <v>19</v>
      </c>
      <c r="G4186" s="14">
        <f t="shared" ref="G4186:L4186" si="1025">SUBTOTAL(9,G4185:G4185)</f>
        <v>0.06</v>
      </c>
      <c r="H4186" s="14">
        <f t="shared" si="1025"/>
        <v>0</v>
      </c>
      <c r="I4186" s="14">
        <f t="shared" si="1025"/>
        <v>0</v>
      </c>
      <c r="J4186" s="14">
        <f t="shared" si="1025"/>
        <v>0</v>
      </c>
      <c r="K4186" s="14">
        <f t="shared" si="1025"/>
        <v>-0.05</v>
      </c>
      <c r="L4186" s="14">
        <f t="shared" si="1025"/>
        <v>0.01</v>
      </c>
      <c r="M4186" s="10">
        <v>3101</v>
      </c>
      <c r="N4186" s="69"/>
      <c r="O4186" s="11">
        <f>O4183+1</f>
        <v>982</v>
      </c>
    </row>
    <row r="4187" spans="1:15" x14ac:dyDescent="0.25">
      <c r="A4187" s="10"/>
      <c r="G4187" s="21"/>
      <c r="H4187" s="21"/>
      <c r="I4187" s="21"/>
      <c r="J4187" s="21"/>
      <c r="K4187" s="21"/>
      <c r="L4187" s="21"/>
      <c r="M4187" s="10"/>
      <c r="O4187" s="11"/>
    </row>
    <row r="4188" spans="1:15" s="4" customFormat="1" x14ac:dyDescent="0.25">
      <c r="A4188" s="6">
        <v>2130</v>
      </c>
      <c r="B4188" s="5" t="s">
        <v>550</v>
      </c>
      <c r="C4188" s="5" t="s">
        <v>13</v>
      </c>
      <c r="D4188" s="5" t="s">
        <v>517</v>
      </c>
      <c r="E4188" s="5" t="s">
        <v>518</v>
      </c>
      <c r="F4188" s="5" t="s">
        <v>551</v>
      </c>
      <c r="G4188" s="22">
        <v>0</v>
      </c>
      <c r="H4188" s="22">
        <v>0</v>
      </c>
      <c r="I4188" s="22">
        <v>0</v>
      </c>
      <c r="J4188" s="22">
        <v>131.41</v>
      </c>
      <c r="K4188" s="22">
        <v>0</v>
      </c>
      <c r="L4188" s="22">
        <v>131.41</v>
      </c>
      <c r="M4188" s="10"/>
      <c r="N4188" s="67"/>
      <c r="O4188" s="11"/>
    </row>
    <row r="4189" spans="1:15" s="4" customFormat="1" x14ac:dyDescent="0.25">
      <c r="A4189" s="6">
        <v>2131</v>
      </c>
      <c r="B4189" s="5" t="s">
        <v>550</v>
      </c>
      <c r="C4189" s="5" t="s">
        <v>17</v>
      </c>
      <c r="D4189" s="5" t="s">
        <v>517</v>
      </c>
      <c r="E4189" s="5" t="s">
        <v>518</v>
      </c>
      <c r="F4189" s="5" t="s">
        <v>551</v>
      </c>
      <c r="G4189" s="22">
        <v>1095.08</v>
      </c>
      <c r="H4189" s="22">
        <v>0</v>
      </c>
      <c r="I4189" s="22">
        <v>0</v>
      </c>
      <c r="J4189" s="22">
        <v>0</v>
      </c>
      <c r="K4189" s="22">
        <v>-21.9</v>
      </c>
      <c r="L4189" s="22">
        <v>1073.18</v>
      </c>
      <c r="M4189" s="10"/>
      <c r="N4189" s="67"/>
      <c r="O4189" s="11"/>
    </row>
    <row r="4190" spans="1:15" x14ac:dyDescent="0.25">
      <c r="A4190" s="6"/>
      <c r="B4190" s="5"/>
      <c r="C4190" s="5"/>
      <c r="D4190" s="5" t="s">
        <v>517</v>
      </c>
      <c r="E4190" s="5" t="s">
        <v>518</v>
      </c>
      <c r="F4190" s="5" t="s">
        <v>551</v>
      </c>
      <c r="G4190" s="14">
        <f t="shared" ref="G4190:L4190" si="1026">SUBTOTAL(9,G4188:G4189)</f>
        <v>1095.08</v>
      </c>
      <c r="H4190" s="14">
        <f t="shared" si="1026"/>
        <v>0</v>
      </c>
      <c r="I4190" s="14">
        <f t="shared" si="1026"/>
        <v>0</v>
      </c>
      <c r="J4190" s="14">
        <f t="shared" si="1026"/>
        <v>131.41</v>
      </c>
      <c r="K4190" s="14">
        <f t="shared" si="1026"/>
        <v>-21.9</v>
      </c>
      <c r="L4190" s="14">
        <f t="shared" si="1026"/>
        <v>1204.5900000000001</v>
      </c>
      <c r="M4190" s="10">
        <v>3102</v>
      </c>
      <c r="N4190" s="69"/>
      <c r="O4190" s="11">
        <f>O4186+1</f>
        <v>983</v>
      </c>
    </row>
    <row r="4191" spans="1:15" x14ac:dyDescent="0.25">
      <c r="A4191" s="10"/>
      <c r="G4191" s="21"/>
      <c r="H4191" s="21"/>
      <c r="I4191" s="21"/>
      <c r="J4191" s="21"/>
      <c r="K4191" s="21"/>
      <c r="L4191" s="21"/>
      <c r="M4191" s="10"/>
      <c r="O4191" s="11"/>
    </row>
    <row r="4192" spans="1:15" s="4" customFormat="1" x14ac:dyDescent="0.25">
      <c r="A4192" s="6">
        <v>2132</v>
      </c>
      <c r="B4192" s="5" t="s">
        <v>550</v>
      </c>
      <c r="C4192" s="5" t="s">
        <v>13</v>
      </c>
      <c r="D4192" s="5" t="s">
        <v>517</v>
      </c>
      <c r="E4192" s="5" t="s">
        <v>518</v>
      </c>
      <c r="F4192" s="5" t="s">
        <v>552</v>
      </c>
      <c r="G4192" s="22">
        <v>0</v>
      </c>
      <c r="H4192" s="22">
        <v>0</v>
      </c>
      <c r="I4192" s="22">
        <v>0</v>
      </c>
      <c r="J4192" s="22">
        <v>0.01</v>
      </c>
      <c r="K4192" s="22">
        <v>0</v>
      </c>
      <c r="L4192" s="22">
        <v>0.01</v>
      </c>
      <c r="M4192" s="10"/>
      <c r="N4192" s="67"/>
      <c r="O4192" s="11"/>
    </row>
    <row r="4193" spans="1:15" s="4" customFormat="1" x14ac:dyDescent="0.25">
      <c r="A4193" s="6">
        <v>2133</v>
      </c>
      <c r="B4193" s="5" t="s">
        <v>550</v>
      </c>
      <c r="C4193" s="5" t="s">
        <v>17</v>
      </c>
      <c r="D4193" s="5" t="s">
        <v>517</v>
      </c>
      <c r="E4193" s="5" t="s">
        <v>518</v>
      </c>
      <c r="F4193" s="5" t="s">
        <v>552</v>
      </c>
      <c r="G4193" s="22">
        <v>0.08</v>
      </c>
      <c r="H4193" s="22">
        <v>0</v>
      </c>
      <c r="I4193" s="22">
        <v>0</v>
      </c>
      <c r="J4193" s="22">
        <v>0</v>
      </c>
      <c r="K4193" s="22">
        <v>0</v>
      </c>
      <c r="L4193" s="22">
        <v>0.08</v>
      </c>
      <c r="M4193" s="10"/>
      <c r="N4193" s="67"/>
      <c r="O4193" s="11"/>
    </row>
    <row r="4194" spans="1:15" x14ac:dyDescent="0.25">
      <c r="A4194" s="6"/>
      <c r="B4194" s="5"/>
      <c r="C4194" s="5"/>
      <c r="D4194" s="5" t="s">
        <v>517</v>
      </c>
      <c r="E4194" s="5" t="s">
        <v>518</v>
      </c>
      <c r="F4194" s="5" t="s">
        <v>552</v>
      </c>
      <c r="G4194" s="14">
        <f t="shared" ref="G4194:L4194" si="1027">SUBTOTAL(9,G4192:G4193)</f>
        <v>0.08</v>
      </c>
      <c r="H4194" s="14">
        <f t="shared" si="1027"/>
        <v>0</v>
      </c>
      <c r="I4194" s="14">
        <f t="shared" si="1027"/>
        <v>0</v>
      </c>
      <c r="J4194" s="14">
        <f t="shared" si="1027"/>
        <v>0.01</v>
      </c>
      <c r="K4194" s="14">
        <f t="shared" si="1027"/>
        <v>0</v>
      </c>
      <c r="L4194" s="14">
        <f t="shared" si="1027"/>
        <v>0.09</v>
      </c>
      <c r="M4194" s="10">
        <v>3103</v>
      </c>
      <c r="N4194" s="69"/>
      <c r="O4194" s="11">
        <f>O4190+1</f>
        <v>984</v>
      </c>
    </row>
    <row r="4195" spans="1:15" x14ac:dyDescent="0.25">
      <c r="A4195" s="10"/>
      <c r="G4195" s="21"/>
      <c r="H4195" s="21"/>
      <c r="I4195" s="21"/>
      <c r="J4195" s="21"/>
      <c r="K4195" s="21"/>
      <c r="L4195" s="21"/>
      <c r="M4195" s="10"/>
      <c r="O4195" s="11"/>
    </row>
    <row r="4196" spans="1:15" s="4" customFormat="1" x14ac:dyDescent="0.25">
      <c r="A4196" s="6">
        <v>2134</v>
      </c>
      <c r="B4196" s="5" t="s">
        <v>18</v>
      </c>
      <c r="C4196" s="5" t="s">
        <v>17</v>
      </c>
      <c r="D4196" s="5" t="s">
        <v>519</v>
      </c>
      <c r="E4196" s="5" t="s">
        <v>520</v>
      </c>
      <c r="F4196" s="5" t="s">
        <v>19</v>
      </c>
      <c r="G4196" s="22">
        <v>5</v>
      </c>
      <c r="H4196" s="22">
        <v>0</v>
      </c>
      <c r="I4196" s="22">
        <v>0</v>
      </c>
      <c r="J4196" s="22">
        <v>0</v>
      </c>
      <c r="K4196" s="22">
        <v>-4.4400000000000004</v>
      </c>
      <c r="L4196" s="22">
        <v>0.56000000000000005</v>
      </c>
      <c r="M4196" s="10"/>
      <c r="N4196" s="67"/>
      <c r="O4196" s="11"/>
    </row>
    <row r="4197" spans="1:15" x14ac:dyDescent="0.25">
      <c r="A4197" s="6"/>
      <c r="B4197" s="5"/>
      <c r="C4197" s="5"/>
      <c r="D4197" s="5" t="s">
        <v>519</v>
      </c>
      <c r="E4197" s="5" t="s">
        <v>520</v>
      </c>
      <c r="F4197" s="5" t="s">
        <v>19</v>
      </c>
      <c r="G4197" s="14">
        <f t="shared" ref="G4197:L4197" si="1028">SUBTOTAL(9,G4196:G4196)</f>
        <v>5</v>
      </c>
      <c r="H4197" s="14">
        <f t="shared" si="1028"/>
        <v>0</v>
      </c>
      <c r="I4197" s="14">
        <f t="shared" si="1028"/>
        <v>0</v>
      </c>
      <c r="J4197" s="14">
        <f t="shared" si="1028"/>
        <v>0</v>
      </c>
      <c r="K4197" s="14">
        <f t="shared" si="1028"/>
        <v>-4.4400000000000004</v>
      </c>
      <c r="L4197" s="14">
        <f t="shared" si="1028"/>
        <v>0.56000000000000005</v>
      </c>
      <c r="M4197" s="10">
        <v>3104</v>
      </c>
      <c r="N4197" s="69"/>
      <c r="O4197" s="11">
        <f>O4194+1</f>
        <v>985</v>
      </c>
    </row>
    <row r="4198" spans="1:15" x14ac:dyDescent="0.25">
      <c r="A4198" s="10"/>
      <c r="G4198" s="21"/>
      <c r="H4198" s="21"/>
      <c r="I4198" s="21"/>
      <c r="J4198" s="21"/>
      <c r="K4198" s="21"/>
      <c r="L4198" s="21"/>
      <c r="M4198" s="10"/>
      <c r="O4198" s="11"/>
    </row>
    <row r="4199" spans="1:15" s="4" customFormat="1" x14ac:dyDescent="0.25">
      <c r="A4199" s="6">
        <v>2135</v>
      </c>
      <c r="B4199" s="5" t="s">
        <v>550</v>
      </c>
      <c r="C4199" s="5" t="s">
        <v>13</v>
      </c>
      <c r="D4199" s="5" t="s">
        <v>519</v>
      </c>
      <c r="E4199" s="5" t="s">
        <v>520</v>
      </c>
      <c r="F4199" s="5" t="s">
        <v>551</v>
      </c>
      <c r="G4199" s="22">
        <v>0</v>
      </c>
      <c r="H4199" s="22">
        <v>0</v>
      </c>
      <c r="I4199" s="22">
        <v>0</v>
      </c>
      <c r="J4199" s="22">
        <v>50791.8</v>
      </c>
      <c r="K4199" s="22">
        <v>0</v>
      </c>
      <c r="L4199" s="22">
        <v>50791.8</v>
      </c>
      <c r="M4199" s="10"/>
      <c r="N4199" s="67"/>
      <c r="O4199" s="11"/>
    </row>
    <row r="4200" spans="1:15" x14ac:dyDescent="0.25">
      <c r="A4200" s="6">
        <v>2136</v>
      </c>
      <c r="B4200" s="5" t="s">
        <v>550</v>
      </c>
      <c r="C4200" s="5" t="s">
        <v>17</v>
      </c>
      <c r="D4200" s="5" t="s">
        <v>519</v>
      </c>
      <c r="E4200" s="5" t="s">
        <v>520</v>
      </c>
      <c r="F4200" s="5" t="s">
        <v>551</v>
      </c>
      <c r="G4200" s="22">
        <v>423264.99</v>
      </c>
      <c r="H4200" s="22">
        <v>0</v>
      </c>
      <c r="I4200" s="22">
        <v>0</v>
      </c>
      <c r="J4200" s="22">
        <v>0</v>
      </c>
      <c r="K4200" s="22">
        <v>-8465.2999999999993</v>
      </c>
      <c r="L4200" s="22">
        <v>414799.69</v>
      </c>
      <c r="M4200" s="10"/>
      <c r="O4200" s="11"/>
    </row>
    <row r="4201" spans="1:15" x14ac:dyDescent="0.25">
      <c r="A4201" s="6"/>
      <c r="B4201" s="5"/>
      <c r="C4201" s="5"/>
      <c r="D4201" s="5" t="s">
        <v>519</v>
      </c>
      <c r="E4201" s="5" t="s">
        <v>520</v>
      </c>
      <c r="F4201" s="5" t="s">
        <v>551</v>
      </c>
      <c r="G4201" s="14">
        <f t="shared" ref="G4201:L4201" si="1029">SUBTOTAL(9,G4199:G4200)</f>
        <v>423264.99</v>
      </c>
      <c r="H4201" s="14">
        <f t="shared" si="1029"/>
        <v>0</v>
      </c>
      <c r="I4201" s="14">
        <f t="shared" si="1029"/>
        <v>0</v>
      </c>
      <c r="J4201" s="14">
        <f t="shared" si="1029"/>
        <v>50791.8</v>
      </c>
      <c r="K4201" s="14">
        <f t="shared" si="1029"/>
        <v>-8465.2999999999993</v>
      </c>
      <c r="L4201" s="14">
        <f t="shared" si="1029"/>
        <v>465591.49</v>
      </c>
      <c r="M4201" s="10">
        <v>3105</v>
      </c>
      <c r="N4201" s="69"/>
      <c r="O4201" s="11">
        <f>O4197+1</f>
        <v>986</v>
      </c>
    </row>
    <row r="4202" spans="1:15" s="4" customFormat="1" x14ac:dyDescent="0.25">
      <c r="A4202" s="10"/>
      <c r="B4202"/>
      <c r="C4202"/>
      <c r="D4202"/>
      <c r="E4202"/>
      <c r="F4202"/>
      <c r="G4202" s="21"/>
      <c r="H4202" s="21"/>
      <c r="I4202" s="21"/>
      <c r="J4202" s="21"/>
      <c r="K4202" s="21"/>
      <c r="L4202" s="21"/>
      <c r="M4202" s="10"/>
      <c r="N4202" s="67"/>
      <c r="O4202" s="11"/>
    </row>
    <row r="4203" spans="1:15" s="4" customFormat="1" x14ac:dyDescent="0.25">
      <c r="A4203" s="6">
        <v>2137</v>
      </c>
      <c r="B4203" s="5" t="s">
        <v>550</v>
      </c>
      <c r="C4203" s="5" t="s">
        <v>13</v>
      </c>
      <c r="D4203" s="5" t="s">
        <v>519</v>
      </c>
      <c r="E4203" s="5" t="s">
        <v>520</v>
      </c>
      <c r="F4203" s="5" t="s">
        <v>552</v>
      </c>
      <c r="G4203" s="22">
        <v>0</v>
      </c>
      <c r="H4203" s="22">
        <v>0</v>
      </c>
      <c r="I4203" s="22">
        <v>0</v>
      </c>
      <c r="J4203" s="22">
        <v>3.65</v>
      </c>
      <c r="K4203" s="22">
        <v>0</v>
      </c>
      <c r="L4203" s="22">
        <v>3.65</v>
      </c>
      <c r="M4203" s="10"/>
      <c r="N4203" s="67"/>
      <c r="O4203" s="11"/>
    </row>
    <row r="4204" spans="1:15" x14ac:dyDescent="0.25">
      <c r="A4204" s="6">
        <v>2138</v>
      </c>
      <c r="B4204" s="5" t="s">
        <v>550</v>
      </c>
      <c r="C4204" s="5" t="s">
        <v>17</v>
      </c>
      <c r="D4204" s="5" t="s">
        <v>519</v>
      </c>
      <c r="E4204" s="5" t="s">
        <v>520</v>
      </c>
      <c r="F4204" s="5" t="s">
        <v>552</v>
      </c>
      <c r="G4204" s="22">
        <v>30.44</v>
      </c>
      <c r="H4204" s="22">
        <v>0</v>
      </c>
      <c r="I4204" s="22">
        <v>0</v>
      </c>
      <c r="J4204" s="22">
        <v>0</v>
      </c>
      <c r="K4204" s="22">
        <v>-0.61</v>
      </c>
      <c r="L4204" s="22">
        <v>29.83</v>
      </c>
      <c r="M4204" s="10"/>
      <c r="O4204" s="11"/>
    </row>
    <row r="4205" spans="1:15" x14ac:dyDescent="0.25">
      <c r="A4205" s="6"/>
      <c r="B4205" s="5"/>
      <c r="C4205" s="5"/>
      <c r="D4205" s="5" t="s">
        <v>519</v>
      </c>
      <c r="E4205" s="5" t="s">
        <v>520</v>
      </c>
      <c r="F4205" s="5" t="s">
        <v>552</v>
      </c>
      <c r="G4205" s="14">
        <f t="shared" ref="G4205:L4205" si="1030">SUBTOTAL(9,G4203:G4204)</f>
        <v>30.44</v>
      </c>
      <c r="H4205" s="14">
        <f t="shared" si="1030"/>
        <v>0</v>
      </c>
      <c r="I4205" s="14">
        <f t="shared" si="1030"/>
        <v>0</v>
      </c>
      <c r="J4205" s="14">
        <f t="shared" si="1030"/>
        <v>3.65</v>
      </c>
      <c r="K4205" s="14">
        <f t="shared" si="1030"/>
        <v>-0.61</v>
      </c>
      <c r="L4205" s="14">
        <f t="shared" si="1030"/>
        <v>33.479999999999997</v>
      </c>
      <c r="M4205" s="10">
        <v>3106</v>
      </c>
      <c r="N4205" s="69"/>
      <c r="O4205" s="11">
        <f>O4201+1</f>
        <v>987</v>
      </c>
    </row>
    <row r="4206" spans="1:15" s="4" customFormat="1" x14ac:dyDescent="0.25">
      <c r="A4206" s="10"/>
      <c r="B4206"/>
      <c r="C4206"/>
      <c r="D4206"/>
      <c r="E4206"/>
      <c r="F4206"/>
      <c r="G4206" s="21"/>
      <c r="H4206" s="21"/>
      <c r="I4206" s="21"/>
      <c r="J4206" s="21"/>
      <c r="K4206" s="21"/>
      <c r="L4206" s="21"/>
      <c r="M4206" s="10"/>
      <c r="N4206" s="67"/>
      <c r="O4206" s="11"/>
    </row>
    <row r="4207" spans="1:15" s="4" customFormat="1" x14ac:dyDescent="0.25">
      <c r="A4207" s="6">
        <v>2139</v>
      </c>
      <c r="B4207" s="5" t="s">
        <v>557</v>
      </c>
      <c r="C4207" s="5" t="s">
        <v>17</v>
      </c>
      <c r="D4207" s="5" t="s">
        <v>521</v>
      </c>
      <c r="E4207" s="5" t="s">
        <v>522</v>
      </c>
      <c r="F4207" s="5" t="s">
        <v>558</v>
      </c>
      <c r="G4207" s="22">
        <v>396.01</v>
      </c>
      <c r="H4207" s="22">
        <v>0</v>
      </c>
      <c r="I4207" s="22">
        <v>0</v>
      </c>
      <c r="J4207" s="22">
        <v>0</v>
      </c>
      <c r="K4207" s="22">
        <v>-7.92</v>
      </c>
      <c r="L4207" s="22">
        <v>388.09</v>
      </c>
      <c r="M4207" s="10"/>
      <c r="N4207" s="67"/>
      <c r="O4207" s="11"/>
    </row>
    <row r="4208" spans="1:15" x14ac:dyDescent="0.25">
      <c r="A4208" s="6">
        <v>2140</v>
      </c>
      <c r="B4208" s="5" t="s">
        <v>557</v>
      </c>
      <c r="C4208" s="5" t="s">
        <v>13</v>
      </c>
      <c r="D4208" s="5" t="s">
        <v>521</v>
      </c>
      <c r="E4208" s="5" t="s">
        <v>522</v>
      </c>
      <c r="F4208" s="5" t="s">
        <v>558</v>
      </c>
      <c r="G4208" s="22">
        <v>0</v>
      </c>
      <c r="H4208" s="22">
        <v>0</v>
      </c>
      <c r="I4208" s="22">
        <v>0</v>
      </c>
      <c r="J4208" s="22">
        <v>47.52</v>
      </c>
      <c r="K4208" s="22">
        <v>0</v>
      </c>
      <c r="L4208" s="22">
        <v>47.52</v>
      </c>
      <c r="M4208" s="10"/>
      <c r="O4208" s="11"/>
    </row>
    <row r="4209" spans="1:15" x14ac:dyDescent="0.25">
      <c r="A4209" s="6"/>
      <c r="B4209" s="5"/>
      <c r="C4209" s="5"/>
      <c r="D4209" s="5" t="s">
        <v>521</v>
      </c>
      <c r="E4209" s="5" t="s">
        <v>522</v>
      </c>
      <c r="F4209" s="5" t="s">
        <v>558</v>
      </c>
      <c r="G4209" s="14">
        <f t="shared" ref="G4209:L4209" si="1031">SUBTOTAL(9,G4207:G4208)</f>
        <v>396.01</v>
      </c>
      <c r="H4209" s="14">
        <f t="shared" si="1031"/>
        <v>0</v>
      </c>
      <c r="I4209" s="14">
        <f t="shared" si="1031"/>
        <v>0</v>
      </c>
      <c r="J4209" s="14">
        <f t="shared" si="1031"/>
        <v>47.52</v>
      </c>
      <c r="K4209" s="14">
        <f t="shared" si="1031"/>
        <v>-7.92</v>
      </c>
      <c r="L4209" s="14">
        <f t="shared" si="1031"/>
        <v>435.60999999999996</v>
      </c>
      <c r="M4209" s="10">
        <v>3107</v>
      </c>
      <c r="N4209" s="69"/>
      <c r="O4209" s="11">
        <f>O4205+1</f>
        <v>988</v>
      </c>
    </row>
    <row r="4210" spans="1:15" s="4" customFormat="1" x14ac:dyDescent="0.25">
      <c r="A4210" s="10"/>
      <c r="B4210"/>
      <c r="C4210"/>
      <c r="D4210"/>
      <c r="E4210"/>
      <c r="F4210"/>
      <c r="G4210" s="21"/>
      <c r="H4210" s="21"/>
      <c r="I4210" s="21"/>
      <c r="J4210" s="21"/>
      <c r="K4210" s="21"/>
      <c r="L4210" s="21"/>
      <c r="M4210" s="10"/>
      <c r="N4210" s="67"/>
      <c r="O4210" s="11"/>
    </row>
    <row r="4211" spans="1:15" x14ac:dyDescent="0.25">
      <c r="A4211" s="6">
        <v>2141</v>
      </c>
      <c r="B4211" s="5" t="s">
        <v>559</v>
      </c>
      <c r="C4211" s="5" t="s">
        <v>17</v>
      </c>
      <c r="D4211" s="5" t="s">
        <v>521</v>
      </c>
      <c r="E4211" s="5" t="s">
        <v>522</v>
      </c>
      <c r="F4211" s="5" t="s">
        <v>560</v>
      </c>
      <c r="G4211" s="22">
        <v>0.01</v>
      </c>
      <c r="H4211" s="22">
        <v>0</v>
      </c>
      <c r="I4211" s="22">
        <v>0</v>
      </c>
      <c r="J4211" s="22">
        <v>0</v>
      </c>
      <c r="K4211" s="22">
        <v>0</v>
      </c>
      <c r="L4211" s="22">
        <v>0.01</v>
      </c>
      <c r="M4211" s="10"/>
      <c r="O4211" s="11"/>
    </row>
    <row r="4212" spans="1:15" x14ac:dyDescent="0.25">
      <c r="A4212" s="6">
        <v>2142</v>
      </c>
      <c r="B4212" s="5" t="s">
        <v>559</v>
      </c>
      <c r="C4212" s="5" t="s">
        <v>13</v>
      </c>
      <c r="D4212" s="5" t="s">
        <v>521</v>
      </c>
      <c r="E4212" s="5" t="s">
        <v>522</v>
      </c>
      <c r="F4212" s="5" t="s">
        <v>560</v>
      </c>
      <c r="G4212" s="22">
        <v>0</v>
      </c>
      <c r="H4212" s="22">
        <v>0</v>
      </c>
      <c r="I4212" s="22">
        <v>0</v>
      </c>
      <c r="J4212" s="22">
        <v>0</v>
      </c>
      <c r="K4212" s="22">
        <v>0</v>
      </c>
      <c r="L4212" s="22">
        <v>0</v>
      </c>
      <c r="M4212" s="10"/>
      <c r="O4212" s="11"/>
    </row>
    <row r="4213" spans="1:15" s="4" customFormat="1" x14ac:dyDescent="0.25">
      <c r="A4213" s="6"/>
      <c r="B4213" s="5"/>
      <c r="C4213" s="5"/>
      <c r="D4213" s="5" t="s">
        <v>521</v>
      </c>
      <c r="E4213" s="5" t="s">
        <v>522</v>
      </c>
      <c r="F4213" s="5" t="s">
        <v>560</v>
      </c>
      <c r="G4213" s="14">
        <f t="shared" ref="G4213:L4213" si="1032">SUBTOTAL(9,G4211:G4212)</f>
        <v>0.01</v>
      </c>
      <c r="H4213" s="14">
        <f t="shared" si="1032"/>
        <v>0</v>
      </c>
      <c r="I4213" s="14">
        <f t="shared" si="1032"/>
        <v>0</v>
      </c>
      <c r="J4213" s="14">
        <f t="shared" si="1032"/>
        <v>0</v>
      </c>
      <c r="K4213" s="14">
        <f t="shared" si="1032"/>
        <v>0</v>
      </c>
      <c r="L4213" s="14">
        <f t="shared" si="1032"/>
        <v>0.01</v>
      </c>
      <c r="M4213" s="10">
        <v>3108</v>
      </c>
      <c r="N4213" s="69"/>
      <c r="O4213" s="11">
        <f>O4209+1</f>
        <v>989</v>
      </c>
    </row>
    <row r="4214" spans="1:15" x14ac:dyDescent="0.25">
      <c r="A4214" s="10"/>
      <c r="G4214" s="21"/>
      <c r="H4214" s="21"/>
      <c r="I4214" s="21"/>
      <c r="J4214" s="21"/>
      <c r="K4214" s="21"/>
      <c r="L4214" s="21"/>
      <c r="M4214" s="10"/>
      <c r="O4214" s="11"/>
    </row>
    <row r="4215" spans="1:15" x14ac:dyDescent="0.25">
      <c r="A4215" s="6">
        <v>2143</v>
      </c>
      <c r="B4215" s="5" t="s">
        <v>18</v>
      </c>
      <c r="C4215" s="5" t="s">
        <v>17</v>
      </c>
      <c r="D4215" s="5" t="s">
        <v>521</v>
      </c>
      <c r="E4215" s="5" t="s">
        <v>522</v>
      </c>
      <c r="F4215" s="5" t="s">
        <v>19</v>
      </c>
      <c r="G4215" s="22">
        <v>18.43</v>
      </c>
      <c r="H4215" s="22">
        <v>0</v>
      </c>
      <c r="I4215" s="22">
        <v>0</v>
      </c>
      <c r="J4215" s="22">
        <v>0</v>
      </c>
      <c r="K4215" s="22">
        <v>-16.350000000000001</v>
      </c>
      <c r="L4215" s="22">
        <v>2.08</v>
      </c>
      <c r="M4215" s="10"/>
      <c r="O4215" s="11"/>
    </row>
    <row r="4216" spans="1:15" s="4" customFormat="1" x14ac:dyDescent="0.25">
      <c r="A4216" s="6">
        <v>2144</v>
      </c>
      <c r="B4216" s="5" t="s">
        <v>18</v>
      </c>
      <c r="C4216" s="5" t="s">
        <v>17</v>
      </c>
      <c r="D4216" s="5" t="s">
        <v>521</v>
      </c>
      <c r="E4216" s="5" t="s">
        <v>522</v>
      </c>
      <c r="F4216" s="5" t="s">
        <v>19</v>
      </c>
      <c r="G4216" s="22">
        <v>1.49</v>
      </c>
      <c r="H4216" s="22">
        <v>0</v>
      </c>
      <c r="I4216" s="22">
        <v>0</v>
      </c>
      <c r="J4216" s="22">
        <v>0</v>
      </c>
      <c r="K4216" s="22">
        <v>-1.33</v>
      </c>
      <c r="L4216" s="22">
        <v>0.16</v>
      </c>
      <c r="M4216" s="10"/>
      <c r="N4216" s="67"/>
      <c r="O4216" s="11"/>
    </row>
    <row r="4217" spans="1:15" x14ac:dyDescent="0.25">
      <c r="A4217" s="6"/>
      <c r="B4217" s="5"/>
      <c r="C4217" s="5"/>
      <c r="D4217" s="5" t="s">
        <v>521</v>
      </c>
      <c r="E4217" s="5" t="s">
        <v>522</v>
      </c>
      <c r="F4217" s="5" t="s">
        <v>19</v>
      </c>
      <c r="G4217" s="14">
        <f t="shared" ref="G4217:L4217" si="1033">SUBTOTAL(9,G4215:G4216)</f>
        <v>19.919999999999998</v>
      </c>
      <c r="H4217" s="14">
        <f t="shared" si="1033"/>
        <v>0</v>
      </c>
      <c r="I4217" s="14">
        <f t="shared" si="1033"/>
        <v>0</v>
      </c>
      <c r="J4217" s="14">
        <f t="shared" si="1033"/>
        <v>0</v>
      </c>
      <c r="K4217" s="14">
        <f t="shared" si="1033"/>
        <v>-17.68</v>
      </c>
      <c r="L4217" s="14">
        <f t="shared" si="1033"/>
        <v>2.2400000000000002</v>
      </c>
      <c r="M4217" s="10">
        <v>3109</v>
      </c>
      <c r="N4217" s="69"/>
      <c r="O4217" s="11">
        <f>O4213+1</f>
        <v>990</v>
      </c>
    </row>
    <row r="4218" spans="1:15" x14ac:dyDescent="0.25">
      <c r="A4218" s="10"/>
      <c r="G4218" s="21"/>
      <c r="H4218" s="21"/>
      <c r="I4218" s="21"/>
      <c r="J4218" s="21"/>
      <c r="K4218" s="21"/>
      <c r="L4218" s="21"/>
      <c r="M4218" s="10"/>
      <c r="O4218" s="11"/>
    </row>
    <row r="4219" spans="1:15" s="4" customFormat="1" x14ac:dyDescent="0.25">
      <c r="A4219" s="6">
        <v>2145</v>
      </c>
      <c r="B4219" s="5" t="s">
        <v>550</v>
      </c>
      <c r="C4219" s="5" t="s">
        <v>13</v>
      </c>
      <c r="D4219" s="5" t="s">
        <v>521</v>
      </c>
      <c r="E4219" s="5" t="s">
        <v>522</v>
      </c>
      <c r="F4219" s="5" t="s">
        <v>551</v>
      </c>
      <c r="G4219" s="22">
        <v>0</v>
      </c>
      <c r="H4219" s="22">
        <v>0</v>
      </c>
      <c r="I4219" s="22">
        <v>0</v>
      </c>
      <c r="J4219" s="22">
        <v>15660.55</v>
      </c>
      <c r="K4219" s="22">
        <v>0</v>
      </c>
      <c r="L4219" s="22">
        <v>15660.55</v>
      </c>
      <c r="M4219" s="10"/>
      <c r="N4219" s="67"/>
      <c r="O4219" s="11"/>
    </row>
    <row r="4220" spans="1:15" x14ac:dyDescent="0.25">
      <c r="A4220" s="6">
        <v>2146</v>
      </c>
      <c r="B4220" s="5" t="s">
        <v>550</v>
      </c>
      <c r="C4220" s="5" t="s">
        <v>17</v>
      </c>
      <c r="D4220" s="5" t="s">
        <v>521</v>
      </c>
      <c r="E4220" s="5" t="s">
        <v>522</v>
      </c>
      <c r="F4220" s="5" t="s">
        <v>551</v>
      </c>
      <c r="G4220" s="22">
        <v>130504.56</v>
      </c>
      <c r="H4220" s="22">
        <v>0</v>
      </c>
      <c r="I4220" s="22">
        <v>0</v>
      </c>
      <c r="J4220" s="22">
        <v>0</v>
      </c>
      <c r="K4220" s="22">
        <v>-2610.09</v>
      </c>
      <c r="L4220" s="22">
        <v>127894.47</v>
      </c>
      <c r="M4220" s="10"/>
      <c r="O4220" s="11"/>
    </row>
    <row r="4221" spans="1:15" x14ac:dyDescent="0.25">
      <c r="A4221" s="6"/>
      <c r="B4221" s="5"/>
      <c r="C4221" s="5"/>
      <c r="D4221" s="5" t="s">
        <v>521</v>
      </c>
      <c r="E4221" s="5" t="s">
        <v>522</v>
      </c>
      <c r="F4221" s="5" t="s">
        <v>551</v>
      </c>
      <c r="G4221" s="14">
        <f t="shared" ref="G4221:L4221" si="1034">SUBTOTAL(9,G4219:G4220)</f>
        <v>130504.56</v>
      </c>
      <c r="H4221" s="14">
        <f t="shared" si="1034"/>
        <v>0</v>
      </c>
      <c r="I4221" s="14">
        <f t="shared" si="1034"/>
        <v>0</v>
      </c>
      <c r="J4221" s="14">
        <f t="shared" si="1034"/>
        <v>15660.55</v>
      </c>
      <c r="K4221" s="14">
        <f t="shared" si="1034"/>
        <v>-2610.09</v>
      </c>
      <c r="L4221" s="14">
        <f t="shared" si="1034"/>
        <v>143555.01999999999</v>
      </c>
      <c r="M4221" s="10">
        <v>3110</v>
      </c>
      <c r="N4221" s="69"/>
      <c r="O4221" s="11">
        <f>O4217+1</f>
        <v>991</v>
      </c>
    </row>
    <row r="4222" spans="1:15" s="4" customFormat="1" x14ac:dyDescent="0.25">
      <c r="A4222" s="10"/>
      <c r="B4222"/>
      <c r="C4222"/>
      <c r="D4222"/>
      <c r="E4222"/>
      <c r="F4222"/>
      <c r="G4222" s="21"/>
      <c r="H4222" s="21"/>
      <c r="I4222" s="21"/>
      <c r="J4222" s="21"/>
      <c r="K4222" s="21"/>
      <c r="L4222" s="21"/>
      <c r="M4222" s="10"/>
      <c r="N4222" s="67"/>
      <c r="O4222" s="11"/>
    </row>
    <row r="4223" spans="1:15" x14ac:dyDescent="0.25">
      <c r="A4223" s="6">
        <v>2147</v>
      </c>
      <c r="B4223" s="5" t="s">
        <v>550</v>
      </c>
      <c r="C4223" s="5" t="s">
        <v>13</v>
      </c>
      <c r="D4223" s="5" t="s">
        <v>521</v>
      </c>
      <c r="E4223" s="5" t="s">
        <v>522</v>
      </c>
      <c r="F4223" s="5" t="s">
        <v>552</v>
      </c>
      <c r="G4223" s="22">
        <v>0</v>
      </c>
      <c r="H4223" s="22">
        <v>0</v>
      </c>
      <c r="I4223" s="22">
        <v>0</v>
      </c>
      <c r="J4223" s="22">
        <v>1.1299999999999999</v>
      </c>
      <c r="K4223" s="22">
        <v>0</v>
      </c>
      <c r="L4223" s="22">
        <v>1.1299999999999999</v>
      </c>
      <c r="M4223" s="10"/>
      <c r="O4223" s="11"/>
    </row>
    <row r="4224" spans="1:15" x14ac:dyDescent="0.25">
      <c r="A4224" s="6">
        <v>2148</v>
      </c>
      <c r="B4224" s="5" t="s">
        <v>550</v>
      </c>
      <c r="C4224" s="5" t="s">
        <v>17</v>
      </c>
      <c r="D4224" s="5" t="s">
        <v>521</v>
      </c>
      <c r="E4224" s="5" t="s">
        <v>522</v>
      </c>
      <c r="F4224" s="5" t="s">
        <v>552</v>
      </c>
      <c r="G4224" s="22">
        <v>9.39</v>
      </c>
      <c r="H4224" s="22">
        <v>0</v>
      </c>
      <c r="I4224" s="22">
        <v>0</v>
      </c>
      <c r="J4224" s="22">
        <v>0</v>
      </c>
      <c r="K4224" s="22">
        <v>-0.19</v>
      </c>
      <c r="L4224" s="22">
        <v>9.1999999999999993</v>
      </c>
      <c r="M4224" s="10"/>
      <c r="O4224" s="11"/>
    </row>
    <row r="4225" spans="1:15" s="4" customFormat="1" x14ac:dyDescent="0.25">
      <c r="A4225" s="6"/>
      <c r="B4225" s="5"/>
      <c r="C4225" s="5"/>
      <c r="D4225" s="5" t="s">
        <v>521</v>
      </c>
      <c r="E4225" s="5" t="s">
        <v>522</v>
      </c>
      <c r="F4225" s="5" t="s">
        <v>670</v>
      </c>
      <c r="G4225" s="14">
        <f t="shared" ref="G4225:L4225" si="1035">SUBTOTAL(9,G4223:G4224)</f>
        <v>9.39</v>
      </c>
      <c r="H4225" s="14">
        <f t="shared" si="1035"/>
        <v>0</v>
      </c>
      <c r="I4225" s="14">
        <f t="shared" si="1035"/>
        <v>0</v>
      </c>
      <c r="J4225" s="14">
        <f t="shared" si="1035"/>
        <v>1.1299999999999999</v>
      </c>
      <c r="K4225" s="14">
        <f t="shared" si="1035"/>
        <v>-0.19</v>
      </c>
      <c r="L4225" s="14">
        <f t="shared" si="1035"/>
        <v>10.329999999999998</v>
      </c>
      <c r="M4225" s="10">
        <v>3111</v>
      </c>
      <c r="N4225" s="69"/>
      <c r="O4225" s="11">
        <f>O4221+1</f>
        <v>992</v>
      </c>
    </row>
    <row r="4226" spans="1:15" x14ac:dyDescent="0.25">
      <c r="A4226" s="10"/>
      <c r="G4226" s="21"/>
      <c r="H4226" s="21"/>
      <c r="I4226" s="21"/>
      <c r="J4226" s="21"/>
      <c r="K4226" s="21"/>
      <c r="L4226" s="21"/>
      <c r="M4226" s="10"/>
      <c r="O4226" s="11"/>
    </row>
    <row r="4227" spans="1:15" x14ac:dyDescent="0.25">
      <c r="A4227" s="6">
        <v>2149</v>
      </c>
      <c r="B4227" s="5" t="s">
        <v>18</v>
      </c>
      <c r="C4227" s="5" t="s">
        <v>17</v>
      </c>
      <c r="D4227" s="5" t="s">
        <v>523</v>
      </c>
      <c r="E4227" s="5" t="s">
        <v>524</v>
      </c>
      <c r="F4227" s="5" t="s">
        <v>19</v>
      </c>
      <c r="G4227" s="22">
        <v>0</v>
      </c>
      <c r="H4227" s="22">
        <v>0</v>
      </c>
      <c r="I4227" s="22">
        <v>0</v>
      </c>
      <c r="J4227" s="22">
        <v>0</v>
      </c>
      <c r="K4227" s="22">
        <v>0</v>
      </c>
      <c r="L4227" s="22">
        <v>0</v>
      </c>
      <c r="M4227" s="10"/>
      <c r="O4227" s="11"/>
    </row>
    <row r="4228" spans="1:15" s="4" customFormat="1" x14ac:dyDescent="0.25">
      <c r="A4228" s="28"/>
      <c r="B4228" s="29"/>
      <c r="C4228" s="29"/>
      <c r="D4228" s="29"/>
      <c r="E4228" s="29"/>
      <c r="F4228" s="29" t="s">
        <v>657</v>
      </c>
      <c r="G4228" s="31">
        <f t="shared" ref="G4228:L4228" si="1036">SUBTOTAL(9,G4227:G4227)</f>
        <v>0</v>
      </c>
      <c r="H4228" s="31">
        <f t="shared" si="1036"/>
        <v>0</v>
      </c>
      <c r="I4228" s="31">
        <f t="shared" si="1036"/>
        <v>0</v>
      </c>
      <c r="J4228" s="31">
        <f t="shared" si="1036"/>
        <v>0</v>
      </c>
      <c r="K4228" s="31">
        <f t="shared" si="1036"/>
        <v>0</v>
      </c>
      <c r="L4228" s="31">
        <f t="shared" si="1036"/>
        <v>0</v>
      </c>
      <c r="M4228" s="42"/>
      <c r="N4228" s="67"/>
      <c r="O4228" s="11"/>
    </row>
    <row r="4229" spans="1:15" x14ac:dyDescent="0.25">
      <c r="A4229" s="10"/>
      <c r="G4229" s="21"/>
      <c r="H4229" s="21"/>
      <c r="I4229" s="21"/>
      <c r="J4229" s="21"/>
      <c r="K4229" s="21"/>
      <c r="L4229" s="21"/>
      <c r="M4229" s="10"/>
      <c r="O4229" s="11"/>
    </row>
    <row r="4230" spans="1:15" x14ac:dyDescent="0.25">
      <c r="A4230" s="6">
        <v>2150</v>
      </c>
      <c r="B4230" s="5" t="s">
        <v>20</v>
      </c>
      <c r="C4230" s="5" t="s">
        <v>17</v>
      </c>
      <c r="D4230" s="5" t="s">
        <v>523</v>
      </c>
      <c r="E4230" s="5" t="s">
        <v>524</v>
      </c>
      <c r="F4230" s="5" t="s">
        <v>21</v>
      </c>
      <c r="G4230" s="22">
        <v>0</v>
      </c>
      <c r="H4230" s="22">
        <v>0</v>
      </c>
      <c r="I4230" s="22">
        <v>0</v>
      </c>
      <c r="J4230" s="22">
        <v>0</v>
      </c>
      <c r="K4230" s="22">
        <v>0</v>
      </c>
      <c r="L4230" s="22">
        <v>0</v>
      </c>
      <c r="M4230" s="10"/>
      <c r="O4230" s="11"/>
    </row>
    <row r="4231" spans="1:15" s="4" customFormat="1" x14ac:dyDescent="0.25">
      <c r="A4231" s="28"/>
      <c r="B4231" s="29"/>
      <c r="C4231" s="29"/>
      <c r="D4231" s="29"/>
      <c r="E4231" s="29"/>
      <c r="F4231" s="29" t="s">
        <v>662</v>
      </c>
      <c r="G4231" s="31">
        <f t="shared" ref="G4231:L4231" si="1037">SUBTOTAL(9,G4230:G4230)</f>
        <v>0</v>
      </c>
      <c r="H4231" s="31">
        <f t="shared" si="1037"/>
        <v>0</v>
      </c>
      <c r="I4231" s="31">
        <f t="shared" si="1037"/>
        <v>0</v>
      </c>
      <c r="J4231" s="31">
        <f t="shared" si="1037"/>
        <v>0</v>
      </c>
      <c r="K4231" s="31">
        <f t="shared" si="1037"/>
        <v>0</v>
      </c>
      <c r="L4231" s="31">
        <f t="shared" si="1037"/>
        <v>0</v>
      </c>
      <c r="M4231" s="42"/>
      <c r="N4231" s="67"/>
      <c r="O4231" s="11"/>
    </row>
    <row r="4232" spans="1:15" s="4" customFormat="1" x14ac:dyDescent="0.25">
      <c r="A4232" s="10"/>
      <c r="B4232"/>
      <c r="C4232"/>
      <c r="D4232"/>
      <c r="E4232"/>
      <c r="F4232"/>
      <c r="G4232" s="21"/>
      <c r="H4232" s="21"/>
      <c r="I4232" s="21"/>
      <c r="J4232" s="21"/>
      <c r="K4232" s="21"/>
      <c r="L4232" s="21"/>
      <c r="M4232" s="10"/>
      <c r="N4232" s="67"/>
      <c r="O4232" s="11"/>
    </row>
    <row r="4233" spans="1:15" s="4" customFormat="1" x14ac:dyDescent="0.25">
      <c r="A4233" s="6">
        <v>2151</v>
      </c>
      <c r="B4233" s="5" t="s">
        <v>550</v>
      </c>
      <c r="C4233" s="5" t="s">
        <v>17</v>
      </c>
      <c r="D4233" s="5" t="s">
        <v>523</v>
      </c>
      <c r="E4233" s="5" t="s">
        <v>524</v>
      </c>
      <c r="F4233" s="5" t="s">
        <v>551</v>
      </c>
      <c r="G4233" s="22">
        <v>0</v>
      </c>
      <c r="H4233" s="22">
        <v>0</v>
      </c>
      <c r="I4233" s="22">
        <v>83.16</v>
      </c>
      <c r="J4233" s="22">
        <v>0</v>
      </c>
      <c r="K4233" s="22">
        <v>-1.66</v>
      </c>
      <c r="L4233" s="22">
        <v>81.5</v>
      </c>
      <c r="M4233" s="10"/>
      <c r="N4233" s="67"/>
      <c r="O4233" s="11"/>
    </row>
    <row r="4234" spans="1:15" x14ac:dyDescent="0.25">
      <c r="A4234" s="6"/>
      <c r="B4234" s="5"/>
      <c r="C4234" s="5"/>
      <c r="D4234" s="5" t="s">
        <v>523</v>
      </c>
      <c r="E4234" s="5" t="s">
        <v>524</v>
      </c>
      <c r="F4234" s="5" t="s">
        <v>551</v>
      </c>
      <c r="G4234" s="14">
        <f t="shared" ref="G4234:L4234" si="1038">SUBTOTAL(9,G4233:G4233)</f>
        <v>0</v>
      </c>
      <c r="H4234" s="14">
        <f t="shared" si="1038"/>
        <v>0</v>
      </c>
      <c r="I4234" s="14">
        <f t="shared" si="1038"/>
        <v>83.16</v>
      </c>
      <c r="J4234" s="14">
        <f t="shared" si="1038"/>
        <v>0</v>
      </c>
      <c r="K4234" s="14">
        <f t="shared" si="1038"/>
        <v>-1.66</v>
      </c>
      <c r="L4234" s="14">
        <f t="shared" si="1038"/>
        <v>81.5</v>
      </c>
      <c r="M4234" s="10">
        <v>3112</v>
      </c>
      <c r="N4234" s="69"/>
      <c r="O4234" s="11">
        <f>O4225+1</f>
        <v>993</v>
      </c>
    </row>
    <row r="4235" spans="1:15" x14ac:dyDescent="0.25">
      <c r="A4235" s="10"/>
      <c r="G4235" s="21"/>
      <c r="H4235" s="21"/>
      <c r="I4235" s="21"/>
      <c r="J4235" s="21"/>
      <c r="K4235" s="21"/>
      <c r="L4235" s="21"/>
      <c r="M4235" s="10"/>
      <c r="O4235" s="11"/>
    </row>
    <row r="4236" spans="1:15" s="4" customFormat="1" x14ac:dyDescent="0.25">
      <c r="A4236" s="6">
        <v>2152</v>
      </c>
      <c r="B4236" s="5" t="s">
        <v>550</v>
      </c>
      <c r="C4236" s="5" t="s">
        <v>17</v>
      </c>
      <c r="D4236" s="5" t="s">
        <v>523</v>
      </c>
      <c r="E4236" s="5" t="s">
        <v>524</v>
      </c>
      <c r="F4236" s="5" t="s">
        <v>552</v>
      </c>
      <c r="G4236" s="22">
        <v>0</v>
      </c>
      <c r="H4236" s="22">
        <v>0</v>
      </c>
      <c r="I4236" s="22">
        <v>0.01</v>
      </c>
      <c r="J4236" s="22">
        <v>0</v>
      </c>
      <c r="K4236" s="22">
        <v>0</v>
      </c>
      <c r="L4236" s="22">
        <v>0.01</v>
      </c>
      <c r="M4236" s="10"/>
      <c r="N4236" s="67"/>
      <c r="O4236" s="11"/>
    </row>
    <row r="4237" spans="1:15" x14ac:dyDescent="0.25">
      <c r="A4237" s="6"/>
      <c r="B4237" s="5"/>
      <c r="C4237" s="5"/>
      <c r="D4237" s="5" t="s">
        <v>523</v>
      </c>
      <c r="E4237" s="5" t="s">
        <v>524</v>
      </c>
      <c r="F4237" s="5" t="s">
        <v>552</v>
      </c>
      <c r="G4237" s="14">
        <f t="shared" ref="G4237:L4237" si="1039">SUBTOTAL(9,G4236:G4236)</f>
        <v>0</v>
      </c>
      <c r="H4237" s="14">
        <f t="shared" si="1039"/>
        <v>0</v>
      </c>
      <c r="I4237" s="14">
        <f t="shared" si="1039"/>
        <v>0.01</v>
      </c>
      <c r="J4237" s="14">
        <f t="shared" si="1039"/>
        <v>0</v>
      </c>
      <c r="K4237" s="14">
        <f t="shared" si="1039"/>
        <v>0</v>
      </c>
      <c r="L4237" s="14">
        <f t="shared" si="1039"/>
        <v>0.01</v>
      </c>
      <c r="M4237" s="10">
        <v>3113</v>
      </c>
      <c r="N4237" s="69"/>
      <c r="O4237" s="11">
        <f>O4234+1</f>
        <v>994</v>
      </c>
    </row>
    <row r="4238" spans="1:15" x14ac:dyDescent="0.25">
      <c r="A4238" s="10"/>
      <c r="G4238" s="21"/>
      <c r="H4238" s="21"/>
      <c r="I4238" s="21"/>
      <c r="J4238" s="21"/>
      <c r="K4238" s="21"/>
      <c r="L4238" s="21"/>
      <c r="M4238" s="10"/>
      <c r="O4238" s="11"/>
    </row>
    <row r="4239" spans="1:15" s="4" customFormat="1" x14ac:dyDescent="0.25">
      <c r="A4239" s="6">
        <v>2153</v>
      </c>
      <c r="B4239" s="5" t="s">
        <v>559</v>
      </c>
      <c r="C4239" s="5" t="s">
        <v>17</v>
      </c>
      <c r="D4239" s="5" t="s">
        <v>525</v>
      </c>
      <c r="E4239" s="5" t="s">
        <v>526</v>
      </c>
      <c r="F4239" s="5" t="s">
        <v>560</v>
      </c>
      <c r="G4239" s="22">
        <v>1819.42</v>
      </c>
      <c r="H4239" s="22">
        <v>0</v>
      </c>
      <c r="I4239" s="22">
        <v>0</v>
      </c>
      <c r="J4239" s="22">
        <v>0</v>
      </c>
      <c r="K4239" s="22">
        <v>-36.39</v>
      </c>
      <c r="L4239" s="22">
        <v>1783.03</v>
      </c>
      <c r="M4239" s="10"/>
      <c r="N4239" s="67"/>
      <c r="O4239" s="11"/>
    </row>
    <row r="4240" spans="1:15" s="4" customFormat="1" x14ac:dyDescent="0.25">
      <c r="A4240" s="6">
        <v>2154</v>
      </c>
      <c r="B4240" s="5" t="s">
        <v>559</v>
      </c>
      <c r="C4240" s="5" t="s">
        <v>13</v>
      </c>
      <c r="D4240" s="5" t="s">
        <v>525</v>
      </c>
      <c r="E4240" s="5" t="s">
        <v>526</v>
      </c>
      <c r="F4240" s="5" t="s">
        <v>560</v>
      </c>
      <c r="G4240" s="22">
        <v>0</v>
      </c>
      <c r="H4240" s="22">
        <v>0</v>
      </c>
      <c r="I4240" s="22">
        <v>0</v>
      </c>
      <c r="J4240" s="22">
        <v>126.38</v>
      </c>
      <c r="K4240" s="22">
        <v>0</v>
      </c>
      <c r="L4240" s="22">
        <v>126.38</v>
      </c>
      <c r="M4240" s="10"/>
      <c r="N4240" s="67"/>
      <c r="O4240" s="11"/>
    </row>
    <row r="4241" spans="1:15" s="4" customFormat="1" x14ac:dyDescent="0.25">
      <c r="A4241" s="6"/>
      <c r="B4241" s="5"/>
      <c r="C4241" s="5"/>
      <c r="D4241" s="5" t="s">
        <v>525</v>
      </c>
      <c r="E4241" s="5" t="s">
        <v>526</v>
      </c>
      <c r="F4241" s="5" t="s">
        <v>560</v>
      </c>
      <c r="G4241" s="14">
        <f t="shared" ref="G4241:L4241" si="1040">SUBTOTAL(9,G4239:G4240)</f>
        <v>1819.42</v>
      </c>
      <c r="H4241" s="14">
        <f t="shared" si="1040"/>
        <v>0</v>
      </c>
      <c r="I4241" s="14">
        <f t="shared" si="1040"/>
        <v>0</v>
      </c>
      <c r="J4241" s="14">
        <f t="shared" si="1040"/>
        <v>126.38</v>
      </c>
      <c r="K4241" s="14">
        <f t="shared" si="1040"/>
        <v>-36.39</v>
      </c>
      <c r="L4241" s="14">
        <f t="shared" si="1040"/>
        <v>1909.4099999999999</v>
      </c>
      <c r="M4241" s="10">
        <v>3114</v>
      </c>
      <c r="N4241" s="69"/>
      <c r="O4241" s="11">
        <f>O4237+1</f>
        <v>995</v>
      </c>
    </row>
    <row r="4242" spans="1:15" x14ac:dyDescent="0.25">
      <c r="A4242" s="10"/>
      <c r="G4242" s="21"/>
      <c r="H4242" s="21"/>
      <c r="I4242" s="21"/>
      <c r="J4242" s="21"/>
      <c r="K4242" s="21"/>
      <c r="L4242" s="21"/>
      <c r="M4242" s="10"/>
      <c r="O4242" s="11"/>
    </row>
    <row r="4243" spans="1:15" x14ac:dyDescent="0.25">
      <c r="A4243" s="6">
        <v>2155</v>
      </c>
      <c r="B4243" s="5" t="s">
        <v>18</v>
      </c>
      <c r="C4243" s="5" t="s">
        <v>17</v>
      </c>
      <c r="D4243" s="5" t="s">
        <v>525</v>
      </c>
      <c r="E4243" s="5" t="s">
        <v>526</v>
      </c>
      <c r="F4243" s="5" t="s">
        <v>19</v>
      </c>
      <c r="G4243" s="22">
        <v>0.26</v>
      </c>
      <c r="H4243" s="22">
        <v>0</v>
      </c>
      <c r="I4243" s="22">
        <v>0</v>
      </c>
      <c r="J4243" s="22">
        <v>0</v>
      </c>
      <c r="K4243" s="22">
        <v>-0.23</v>
      </c>
      <c r="L4243" s="22">
        <v>0.03</v>
      </c>
      <c r="M4243" s="10"/>
      <c r="O4243" s="11"/>
    </row>
    <row r="4244" spans="1:15" s="4" customFormat="1" x14ac:dyDescent="0.25">
      <c r="A4244" s="6"/>
      <c r="B4244" s="5"/>
      <c r="C4244" s="5"/>
      <c r="D4244" s="5" t="s">
        <v>525</v>
      </c>
      <c r="E4244" s="5" t="s">
        <v>526</v>
      </c>
      <c r="F4244" s="5" t="s">
        <v>19</v>
      </c>
      <c r="G4244" s="14">
        <f t="shared" ref="G4244:L4244" si="1041">SUBTOTAL(9,G4243:G4243)</f>
        <v>0.26</v>
      </c>
      <c r="H4244" s="14">
        <f t="shared" si="1041"/>
        <v>0</v>
      </c>
      <c r="I4244" s="14">
        <f t="shared" si="1041"/>
        <v>0</v>
      </c>
      <c r="J4244" s="14">
        <f t="shared" si="1041"/>
        <v>0</v>
      </c>
      <c r="K4244" s="14">
        <f t="shared" si="1041"/>
        <v>-0.23</v>
      </c>
      <c r="L4244" s="14">
        <f t="shared" si="1041"/>
        <v>0.03</v>
      </c>
      <c r="M4244" s="10">
        <v>3115</v>
      </c>
      <c r="N4244" s="69"/>
      <c r="O4244" s="11">
        <f>O4241+1</f>
        <v>996</v>
      </c>
    </row>
    <row r="4245" spans="1:15" s="4" customFormat="1" x14ac:dyDescent="0.25">
      <c r="A4245" s="10"/>
      <c r="B4245"/>
      <c r="C4245"/>
      <c r="D4245"/>
      <c r="E4245"/>
      <c r="F4245"/>
      <c r="G4245" s="21"/>
      <c r="H4245" s="21"/>
      <c r="I4245" s="21"/>
      <c r="J4245" s="21"/>
      <c r="K4245" s="21"/>
      <c r="L4245" s="21"/>
      <c r="M4245" s="10"/>
      <c r="N4245" s="67"/>
      <c r="O4245" s="11"/>
    </row>
    <row r="4246" spans="1:15" x14ac:dyDescent="0.25">
      <c r="A4246" s="6">
        <v>2156</v>
      </c>
      <c r="B4246" s="5" t="s">
        <v>550</v>
      </c>
      <c r="C4246" s="5" t="s">
        <v>13</v>
      </c>
      <c r="D4246" s="5" t="s">
        <v>525</v>
      </c>
      <c r="E4246" s="5" t="s">
        <v>526</v>
      </c>
      <c r="F4246" s="5" t="s">
        <v>551</v>
      </c>
      <c r="G4246" s="22">
        <v>0</v>
      </c>
      <c r="H4246" s="22">
        <v>0</v>
      </c>
      <c r="I4246" s="22">
        <v>0</v>
      </c>
      <c r="J4246" s="22">
        <v>0.03</v>
      </c>
      <c r="K4246" s="22">
        <v>0</v>
      </c>
      <c r="L4246" s="22">
        <v>0.03</v>
      </c>
      <c r="M4246" s="10"/>
      <c r="O4246" s="11"/>
    </row>
    <row r="4247" spans="1:15" x14ac:dyDescent="0.25">
      <c r="A4247" s="6">
        <v>2157</v>
      </c>
      <c r="B4247" s="5" t="s">
        <v>550</v>
      </c>
      <c r="C4247" s="5" t="s">
        <v>17</v>
      </c>
      <c r="D4247" s="5" t="s">
        <v>525</v>
      </c>
      <c r="E4247" s="5" t="s">
        <v>526</v>
      </c>
      <c r="F4247" s="5" t="s">
        <v>551</v>
      </c>
      <c r="G4247" s="22">
        <v>0.25</v>
      </c>
      <c r="H4247" s="22">
        <v>0</v>
      </c>
      <c r="I4247" s="22">
        <v>0</v>
      </c>
      <c r="J4247" s="22">
        <v>0</v>
      </c>
      <c r="K4247" s="22">
        <v>0</v>
      </c>
      <c r="L4247" s="22">
        <v>0.25</v>
      </c>
      <c r="M4247" s="10"/>
      <c r="O4247" s="11"/>
    </row>
    <row r="4248" spans="1:15" s="4" customFormat="1" x14ac:dyDescent="0.25">
      <c r="A4248" s="6"/>
      <c r="B4248" s="5"/>
      <c r="C4248" s="5"/>
      <c r="D4248" s="5" t="s">
        <v>525</v>
      </c>
      <c r="E4248" s="5" t="s">
        <v>526</v>
      </c>
      <c r="F4248" s="5" t="s">
        <v>551</v>
      </c>
      <c r="G4248" s="14">
        <f t="shared" ref="G4248:L4248" si="1042">SUBTOTAL(9,G4246:G4247)</f>
        <v>0.25</v>
      </c>
      <c r="H4248" s="14">
        <f t="shared" si="1042"/>
        <v>0</v>
      </c>
      <c r="I4248" s="14">
        <f t="shared" si="1042"/>
        <v>0</v>
      </c>
      <c r="J4248" s="14">
        <f t="shared" si="1042"/>
        <v>0.03</v>
      </c>
      <c r="K4248" s="14">
        <f t="shared" si="1042"/>
        <v>0</v>
      </c>
      <c r="L4248" s="14">
        <f t="shared" si="1042"/>
        <v>0.28000000000000003</v>
      </c>
      <c r="M4248" s="10">
        <v>3116</v>
      </c>
      <c r="N4248" s="69"/>
      <c r="O4248" s="11">
        <f>O4244+1</f>
        <v>997</v>
      </c>
    </row>
    <row r="4249" spans="1:15" x14ac:dyDescent="0.25">
      <c r="A4249" s="10"/>
      <c r="G4249" s="21"/>
      <c r="H4249" s="21"/>
      <c r="I4249" s="21"/>
      <c r="J4249" s="21"/>
      <c r="K4249" s="21"/>
      <c r="L4249" s="21"/>
      <c r="M4249" s="10"/>
      <c r="O4249" s="11"/>
    </row>
    <row r="4250" spans="1:15" x14ac:dyDescent="0.25">
      <c r="A4250" s="6">
        <v>2158</v>
      </c>
      <c r="B4250" s="5" t="s">
        <v>559</v>
      </c>
      <c r="C4250" s="5" t="s">
        <v>17</v>
      </c>
      <c r="D4250" s="5" t="s">
        <v>527</v>
      </c>
      <c r="E4250" s="5" t="s">
        <v>528</v>
      </c>
      <c r="F4250" s="5" t="s">
        <v>560</v>
      </c>
      <c r="G4250" s="22">
        <v>0.44</v>
      </c>
      <c r="H4250" s="22">
        <v>0</v>
      </c>
      <c r="I4250" s="22">
        <v>0</v>
      </c>
      <c r="J4250" s="22">
        <v>0</v>
      </c>
      <c r="K4250" s="22">
        <v>-0.01</v>
      </c>
      <c r="L4250" s="22">
        <v>0.43</v>
      </c>
      <c r="M4250" s="10"/>
      <c r="O4250" s="11"/>
    </row>
    <row r="4251" spans="1:15" s="4" customFormat="1" x14ac:dyDescent="0.25">
      <c r="A4251" s="6">
        <v>2159</v>
      </c>
      <c r="B4251" s="5" t="s">
        <v>559</v>
      </c>
      <c r="C4251" s="5" t="s">
        <v>13</v>
      </c>
      <c r="D4251" s="5" t="s">
        <v>527</v>
      </c>
      <c r="E4251" s="5" t="s">
        <v>528</v>
      </c>
      <c r="F4251" s="5" t="s">
        <v>560</v>
      </c>
      <c r="G4251" s="22">
        <v>0</v>
      </c>
      <c r="H4251" s="22">
        <v>0</v>
      </c>
      <c r="I4251" s="22">
        <v>0</v>
      </c>
      <c r="J4251" s="22">
        <v>0.05</v>
      </c>
      <c r="K4251" s="22">
        <v>0</v>
      </c>
      <c r="L4251" s="22">
        <v>0.05</v>
      </c>
      <c r="M4251" s="10"/>
      <c r="N4251" s="67"/>
      <c r="O4251" s="11"/>
    </row>
    <row r="4252" spans="1:15" x14ac:dyDescent="0.25">
      <c r="A4252" s="6"/>
      <c r="B4252" s="5"/>
      <c r="C4252" s="5"/>
      <c r="D4252" s="5" t="s">
        <v>527</v>
      </c>
      <c r="E4252" s="5" t="s">
        <v>528</v>
      </c>
      <c r="F4252" s="5" t="s">
        <v>560</v>
      </c>
      <c r="G4252" s="14">
        <f t="shared" ref="G4252:L4252" si="1043">SUBTOTAL(9,G4250:G4251)</f>
        <v>0.44</v>
      </c>
      <c r="H4252" s="14">
        <f t="shared" si="1043"/>
        <v>0</v>
      </c>
      <c r="I4252" s="14">
        <f t="shared" si="1043"/>
        <v>0</v>
      </c>
      <c r="J4252" s="14">
        <f t="shared" si="1043"/>
        <v>0.05</v>
      </c>
      <c r="K4252" s="14">
        <f t="shared" si="1043"/>
        <v>-0.01</v>
      </c>
      <c r="L4252" s="14">
        <f t="shared" si="1043"/>
        <v>0.48</v>
      </c>
      <c r="M4252" s="10">
        <v>3117</v>
      </c>
      <c r="O4252" s="11">
        <f>O4248+1</f>
        <v>998</v>
      </c>
    </row>
    <row r="4253" spans="1:15" x14ac:dyDescent="0.25">
      <c r="A4253" s="10"/>
      <c r="G4253" s="21"/>
      <c r="H4253" s="21"/>
      <c r="I4253" s="21"/>
      <c r="J4253" s="21"/>
      <c r="K4253" s="21"/>
      <c r="L4253" s="21"/>
      <c r="M4253" s="10"/>
      <c r="O4253" s="11"/>
    </row>
    <row r="4254" spans="1:15" s="4" customFormat="1" x14ac:dyDescent="0.25">
      <c r="A4254" s="6">
        <v>2160</v>
      </c>
      <c r="B4254" s="5" t="s">
        <v>18</v>
      </c>
      <c r="C4254" s="5" t="s">
        <v>17</v>
      </c>
      <c r="D4254" s="5" t="s">
        <v>527</v>
      </c>
      <c r="E4254" s="5" t="s">
        <v>528</v>
      </c>
      <c r="F4254" s="5" t="s">
        <v>19</v>
      </c>
      <c r="G4254" s="22">
        <v>1.99</v>
      </c>
      <c r="H4254" s="22">
        <v>0</v>
      </c>
      <c r="I4254" s="22">
        <v>0</v>
      </c>
      <c r="J4254" s="22">
        <v>0</v>
      </c>
      <c r="K4254" s="22">
        <v>-1.76</v>
      </c>
      <c r="L4254" s="22">
        <v>0.23</v>
      </c>
      <c r="M4254" s="10"/>
      <c r="N4254" s="67"/>
      <c r="O4254" s="11"/>
    </row>
    <row r="4255" spans="1:15" s="4" customFormat="1" x14ac:dyDescent="0.25">
      <c r="A4255" s="6"/>
      <c r="B4255" s="5"/>
      <c r="C4255" s="5"/>
      <c r="D4255" s="5" t="s">
        <v>527</v>
      </c>
      <c r="E4255" s="5" t="s">
        <v>528</v>
      </c>
      <c r="F4255" s="5" t="s">
        <v>19</v>
      </c>
      <c r="G4255" s="14">
        <f t="shared" ref="G4255:L4255" si="1044">SUBTOTAL(9,G4254:G4254)</f>
        <v>1.99</v>
      </c>
      <c r="H4255" s="14">
        <f t="shared" si="1044"/>
        <v>0</v>
      </c>
      <c r="I4255" s="14">
        <f t="shared" si="1044"/>
        <v>0</v>
      </c>
      <c r="J4255" s="14">
        <f t="shared" si="1044"/>
        <v>0</v>
      </c>
      <c r="K4255" s="14">
        <f t="shared" si="1044"/>
        <v>-1.76</v>
      </c>
      <c r="L4255" s="14">
        <f t="shared" si="1044"/>
        <v>0.23</v>
      </c>
      <c r="M4255" s="10">
        <v>3118</v>
      </c>
      <c r="N4255" s="69"/>
      <c r="O4255" s="11">
        <f>O4252+1</f>
        <v>999</v>
      </c>
    </row>
    <row r="4256" spans="1:15" x14ac:dyDescent="0.25">
      <c r="A4256" s="10"/>
      <c r="G4256" s="21"/>
      <c r="H4256" s="21"/>
      <c r="I4256" s="21"/>
      <c r="J4256" s="21"/>
      <c r="K4256" s="21"/>
      <c r="L4256" s="21"/>
      <c r="M4256" s="10"/>
      <c r="O4256" s="11"/>
    </row>
    <row r="4257" spans="1:15" x14ac:dyDescent="0.25">
      <c r="A4257" s="6">
        <v>2161</v>
      </c>
      <c r="B4257" s="5" t="s">
        <v>550</v>
      </c>
      <c r="C4257" s="5" t="s">
        <v>13</v>
      </c>
      <c r="D4257" s="5" t="s">
        <v>527</v>
      </c>
      <c r="E4257" s="5" t="s">
        <v>528</v>
      </c>
      <c r="F4257" s="5" t="s">
        <v>551</v>
      </c>
      <c r="G4257" s="22">
        <v>0</v>
      </c>
      <c r="H4257" s="22">
        <v>0</v>
      </c>
      <c r="I4257" s="22">
        <v>0</v>
      </c>
      <c r="J4257" s="22">
        <v>97.13</v>
      </c>
      <c r="K4257" s="22">
        <v>0</v>
      </c>
      <c r="L4257" s="22">
        <v>97.13</v>
      </c>
      <c r="M4257" s="10"/>
      <c r="O4257" s="11"/>
    </row>
    <row r="4258" spans="1:15" s="4" customFormat="1" x14ac:dyDescent="0.25">
      <c r="A4258" s="6">
        <v>2162</v>
      </c>
      <c r="B4258" s="5" t="s">
        <v>550</v>
      </c>
      <c r="C4258" s="5" t="s">
        <v>17</v>
      </c>
      <c r="D4258" s="5" t="s">
        <v>527</v>
      </c>
      <c r="E4258" s="5" t="s">
        <v>528</v>
      </c>
      <c r="F4258" s="5" t="s">
        <v>551</v>
      </c>
      <c r="G4258" s="22">
        <v>809.43</v>
      </c>
      <c r="H4258" s="22">
        <v>0</v>
      </c>
      <c r="I4258" s="22">
        <v>0</v>
      </c>
      <c r="J4258" s="22">
        <v>0</v>
      </c>
      <c r="K4258" s="22">
        <v>-16.190000000000001</v>
      </c>
      <c r="L4258" s="22">
        <v>793.24</v>
      </c>
      <c r="M4258" s="10"/>
      <c r="N4258" s="67"/>
      <c r="O4258" s="11"/>
    </row>
    <row r="4259" spans="1:15" s="4" customFormat="1" x14ac:dyDescent="0.25">
      <c r="A4259" s="6"/>
      <c r="B4259" s="5"/>
      <c r="C4259" s="5"/>
      <c r="D4259" s="5" t="s">
        <v>527</v>
      </c>
      <c r="E4259" s="5" t="s">
        <v>528</v>
      </c>
      <c r="F4259" s="5" t="s">
        <v>551</v>
      </c>
      <c r="G4259" s="14">
        <f t="shared" ref="G4259:L4259" si="1045">SUBTOTAL(9,G4257:G4258)</f>
        <v>809.43</v>
      </c>
      <c r="H4259" s="14">
        <f t="shared" si="1045"/>
        <v>0</v>
      </c>
      <c r="I4259" s="14">
        <f t="shared" si="1045"/>
        <v>0</v>
      </c>
      <c r="J4259" s="14">
        <f t="shared" si="1045"/>
        <v>97.13</v>
      </c>
      <c r="K4259" s="14">
        <f t="shared" si="1045"/>
        <v>-16.190000000000001</v>
      </c>
      <c r="L4259" s="14">
        <f t="shared" si="1045"/>
        <v>890.37</v>
      </c>
      <c r="M4259" s="10">
        <v>3119</v>
      </c>
      <c r="N4259" s="69"/>
      <c r="O4259" s="11">
        <f>O4255+1</f>
        <v>1000</v>
      </c>
    </row>
    <row r="4260" spans="1:15" x14ac:dyDescent="0.25">
      <c r="A4260" s="10"/>
      <c r="G4260" s="21"/>
      <c r="H4260" s="21"/>
      <c r="I4260" s="21"/>
      <c r="J4260" s="21"/>
      <c r="K4260" s="21"/>
      <c r="L4260" s="21"/>
      <c r="M4260" s="10"/>
      <c r="O4260" s="11"/>
    </row>
    <row r="4261" spans="1:15" x14ac:dyDescent="0.25">
      <c r="A4261" s="6">
        <v>2163</v>
      </c>
      <c r="B4261" s="5" t="s">
        <v>550</v>
      </c>
      <c r="C4261" s="5" t="s">
        <v>13</v>
      </c>
      <c r="D4261" s="5" t="s">
        <v>527</v>
      </c>
      <c r="E4261" s="5" t="s">
        <v>528</v>
      </c>
      <c r="F4261" s="5" t="s">
        <v>552</v>
      </c>
      <c r="G4261" s="22">
        <v>0</v>
      </c>
      <c r="H4261" s="22">
        <v>0</v>
      </c>
      <c r="I4261" s="22">
        <v>0</v>
      </c>
      <c r="J4261" s="22">
        <v>0.01</v>
      </c>
      <c r="K4261" s="22">
        <v>0</v>
      </c>
      <c r="L4261" s="22">
        <v>0.01</v>
      </c>
      <c r="M4261" s="10"/>
      <c r="O4261" s="11"/>
    </row>
    <row r="4262" spans="1:15" s="4" customFormat="1" x14ac:dyDescent="0.25">
      <c r="A4262" s="6">
        <v>2164</v>
      </c>
      <c r="B4262" s="5" t="s">
        <v>550</v>
      </c>
      <c r="C4262" s="5" t="s">
        <v>17</v>
      </c>
      <c r="D4262" s="5" t="s">
        <v>527</v>
      </c>
      <c r="E4262" s="5" t="s">
        <v>528</v>
      </c>
      <c r="F4262" s="5" t="s">
        <v>552</v>
      </c>
      <c r="G4262" s="22">
        <v>0.06</v>
      </c>
      <c r="H4262" s="22">
        <v>0</v>
      </c>
      <c r="I4262" s="22">
        <v>0</v>
      </c>
      <c r="J4262" s="22">
        <v>0</v>
      </c>
      <c r="K4262" s="22">
        <v>0</v>
      </c>
      <c r="L4262" s="22">
        <v>0.06</v>
      </c>
      <c r="M4262" s="10"/>
      <c r="N4262" s="67"/>
      <c r="O4262" s="11"/>
    </row>
    <row r="4263" spans="1:15" s="4" customFormat="1" x14ac:dyDescent="0.25">
      <c r="A4263" s="62"/>
      <c r="B4263" s="63"/>
      <c r="C4263" s="63"/>
      <c r="D4263" s="63" t="s">
        <v>527</v>
      </c>
      <c r="E4263" s="5" t="s">
        <v>528</v>
      </c>
      <c r="F4263" s="5" t="s">
        <v>552</v>
      </c>
      <c r="G4263" s="14">
        <f t="shared" ref="G4263:L4263" si="1046">SUBTOTAL(9,G4261:G4262)</f>
        <v>0.06</v>
      </c>
      <c r="H4263" s="14">
        <f t="shared" si="1046"/>
        <v>0</v>
      </c>
      <c r="I4263" s="14">
        <f t="shared" si="1046"/>
        <v>0</v>
      </c>
      <c r="J4263" s="14">
        <f t="shared" si="1046"/>
        <v>0.01</v>
      </c>
      <c r="K4263" s="14">
        <f t="shared" si="1046"/>
        <v>0</v>
      </c>
      <c r="L4263" s="14">
        <f t="shared" si="1046"/>
        <v>6.9999999999999993E-2</v>
      </c>
      <c r="M4263" s="64">
        <v>3120</v>
      </c>
      <c r="N4263" s="69"/>
      <c r="O4263" s="11">
        <f>O4259+1</f>
        <v>1001</v>
      </c>
    </row>
    <row r="4264" spans="1:15" x14ac:dyDescent="0.25">
      <c r="A4264" s="10"/>
      <c r="G4264" s="21"/>
      <c r="H4264" s="21"/>
      <c r="I4264" s="21"/>
      <c r="J4264" s="21"/>
      <c r="K4264" s="21"/>
      <c r="L4264" s="21"/>
      <c r="M4264" s="10"/>
      <c r="O4264" s="11"/>
    </row>
    <row r="4265" spans="1:15" x14ac:dyDescent="0.25">
      <c r="A4265" s="6">
        <v>2165</v>
      </c>
      <c r="B4265" s="5" t="s">
        <v>555</v>
      </c>
      <c r="C4265" s="5" t="s">
        <v>17</v>
      </c>
      <c r="D4265" s="5" t="s">
        <v>529</v>
      </c>
      <c r="E4265" s="5" t="s">
        <v>530</v>
      </c>
      <c r="F4265" s="5" t="s">
        <v>556</v>
      </c>
      <c r="G4265" s="22">
        <v>2.74</v>
      </c>
      <c r="H4265" s="22">
        <v>0</v>
      </c>
      <c r="I4265" s="22">
        <v>0</v>
      </c>
      <c r="J4265" s="22">
        <v>0</v>
      </c>
      <c r="K4265" s="22">
        <v>-0.05</v>
      </c>
      <c r="L4265" s="22">
        <v>2.69</v>
      </c>
      <c r="M4265" s="10"/>
      <c r="O4265" s="11"/>
    </row>
    <row r="4266" spans="1:15" s="4" customFormat="1" x14ac:dyDescent="0.25">
      <c r="A4266" s="6">
        <v>2166</v>
      </c>
      <c r="B4266" s="5" t="s">
        <v>555</v>
      </c>
      <c r="C4266" s="5" t="s">
        <v>13</v>
      </c>
      <c r="D4266" s="5" t="s">
        <v>529</v>
      </c>
      <c r="E4266" s="5" t="s">
        <v>530</v>
      </c>
      <c r="F4266" s="5" t="s">
        <v>556</v>
      </c>
      <c r="G4266" s="22">
        <v>0</v>
      </c>
      <c r="H4266" s="22">
        <v>0</v>
      </c>
      <c r="I4266" s="22">
        <v>0</v>
      </c>
      <c r="J4266" s="22">
        <v>0.33</v>
      </c>
      <c r="K4266" s="22">
        <v>0</v>
      </c>
      <c r="L4266" s="22">
        <v>0.33</v>
      </c>
      <c r="M4266" s="10"/>
      <c r="N4266" s="67"/>
      <c r="O4266" s="11"/>
    </row>
    <row r="4267" spans="1:15" x14ac:dyDescent="0.25">
      <c r="A4267" s="6"/>
      <c r="B4267" s="5"/>
      <c r="C4267" s="5"/>
      <c r="D4267" s="5" t="s">
        <v>529</v>
      </c>
      <c r="E4267" s="5" t="s">
        <v>530</v>
      </c>
      <c r="F4267" s="5" t="s">
        <v>556</v>
      </c>
      <c r="G4267" s="14">
        <f t="shared" ref="G4267:L4267" si="1047">SUBTOTAL(9,G4265:G4266)</f>
        <v>2.74</v>
      </c>
      <c r="H4267" s="14">
        <f t="shared" si="1047"/>
        <v>0</v>
      </c>
      <c r="I4267" s="14">
        <f t="shared" si="1047"/>
        <v>0</v>
      </c>
      <c r="J4267" s="14">
        <f t="shared" si="1047"/>
        <v>0.33</v>
      </c>
      <c r="K4267" s="14">
        <f t="shared" si="1047"/>
        <v>-0.05</v>
      </c>
      <c r="L4267" s="14">
        <f t="shared" si="1047"/>
        <v>3.02</v>
      </c>
      <c r="M4267" s="10">
        <v>3121</v>
      </c>
      <c r="N4267" s="69"/>
      <c r="O4267" s="11">
        <f>O4263+1</f>
        <v>1002</v>
      </c>
    </row>
    <row r="4268" spans="1:15" x14ac:dyDescent="0.25">
      <c r="A4268" s="10"/>
      <c r="G4268" s="21"/>
      <c r="H4268" s="21"/>
      <c r="I4268" s="21"/>
      <c r="J4268" s="21"/>
      <c r="K4268" s="21"/>
      <c r="L4268" s="21"/>
      <c r="M4268" s="10"/>
      <c r="O4268" s="11"/>
    </row>
    <row r="4269" spans="1:15" s="4" customFormat="1" x14ac:dyDescent="0.25">
      <c r="A4269" s="6">
        <v>2167</v>
      </c>
      <c r="B4269" s="5" t="s">
        <v>557</v>
      </c>
      <c r="C4269" s="5" t="s">
        <v>17</v>
      </c>
      <c r="D4269" s="5" t="s">
        <v>529</v>
      </c>
      <c r="E4269" s="5" t="s">
        <v>530</v>
      </c>
      <c r="F4269" s="5" t="s">
        <v>558</v>
      </c>
      <c r="G4269" s="22">
        <v>0.8</v>
      </c>
      <c r="H4269" s="22">
        <v>0</v>
      </c>
      <c r="I4269" s="22">
        <v>0</v>
      </c>
      <c r="J4269" s="22">
        <v>0</v>
      </c>
      <c r="K4269" s="22">
        <v>-0.02</v>
      </c>
      <c r="L4269" s="22">
        <v>0.78</v>
      </c>
      <c r="M4269" s="10"/>
      <c r="N4269" s="67"/>
      <c r="O4269" s="11"/>
    </row>
    <row r="4270" spans="1:15" s="4" customFormat="1" x14ac:dyDescent="0.25">
      <c r="A4270" s="6">
        <v>2168</v>
      </c>
      <c r="B4270" s="5" t="s">
        <v>557</v>
      </c>
      <c r="C4270" s="5" t="s">
        <v>13</v>
      </c>
      <c r="D4270" s="5" t="s">
        <v>529</v>
      </c>
      <c r="E4270" s="5" t="s">
        <v>530</v>
      </c>
      <c r="F4270" s="5" t="s">
        <v>558</v>
      </c>
      <c r="G4270" s="22">
        <v>0</v>
      </c>
      <c r="H4270" s="22">
        <v>0</v>
      </c>
      <c r="I4270" s="22">
        <v>0</v>
      </c>
      <c r="J4270" s="22">
        <v>0.1</v>
      </c>
      <c r="K4270" s="22">
        <v>0</v>
      </c>
      <c r="L4270" s="22">
        <v>0.1</v>
      </c>
      <c r="M4270" s="10"/>
      <c r="N4270" s="67"/>
      <c r="O4270" s="11"/>
    </row>
    <row r="4271" spans="1:15" x14ac:dyDescent="0.25">
      <c r="A4271" s="6"/>
      <c r="B4271" s="5"/>
      <c r="C4271" s="5"/>
      <c r="D4271" s="5" t="s">
        <v>529</v>
      </c>
      <c r="E4271" s="5" t="s">
        <v>530</v>
      </c>
      <c r="F4271" s="5" t="s">
        <v>558</v>
      </c>
      <c r="G4271" s="14">
        <f t="shared" ref="G4271:L4271" si="1048">SUBTOTAL(9,G4269:G4270)</f>
        <v>0.8</v>
      </c>
      <c r="H4271" s="14">
        <f t="shared" si="1048"/>
        <v>0</v>
      </c>
      <c r="I4271" s="14">
        <f t="shared" si="1048"/>
        <v>0</v>
      </c>
      <c r="J4271" s="14">
        <f t="shared" si="1048"/>
        <v>0.1</v>
      </c>
      <c r="K4271" s="14">
        <f t="shared" si="1048"/>
        <v>-0.02</v>
      </c>
      <c r="L4271" s="14">
        <f t="shared" si="1048"/>
        <v>0.88</v>
      </c>
      <c r="M4271" s="10">
        <v>3122</v>
      </c>
      <c r="N4271" s="69"/>
      <c r="O4271" s="11">
        <f>O4267+1</f>
        <v>1003</v>
      </c>
    </row>
    <row r="4272" spans="1:15" x14ac:dyDescent="0.25">
      <c r="A4272" s="10"/>
      <c r="G4272" s="21"/>
      <c r="H4272" s="21"/>
      <c r="I4272" s="21"/>
      <c r="J4272" s="21"/>
      <c r="K4272" s="21"/>
      <c r="L4272" s="21"/>
      <c r="M4272" s="10"/>
      <c r="O4272" s="11"/>
    </row>
    <row r="4273" spans="1:15" s="4" customFormat="1" x14ac:dyDescent="0.25">
      <c r="A4273" s="6">
        <v>2169</v>
      </c>
      <c r="B4273" s="5" t="s">
        <v>18</v>
      </c>
      <c r="C4273" s="5" t="s">
        <v>17</v>
      </c>
      <c r="D4273" s="5" t="s">
        <v>529</v>
      </c>
      <c r="E4273" s="5" t="s">
        <v>530</v>
      </c>
      <c r="F4273" s="5" t="s">
        <v>19</v>
      </c>
      <c r="G4273" s="22">
        <v>0.46</v>
      </c>
      <c r="H4273" s="22">
        <v>0</v>
      </c>
      <c r="I4273" s="22">
        <v>0</v>
      </c>
      <c r="J4273" s="22">
        <v>0</v>
      </c>
      <c r="K4273" s="22">
        <v>-0.41</v>
      </c>
      <c r="L4273" s="22">
        <v>0.05</v>
      </c>
      <c r="M4273" s="10"/>
      <c r="N4273" s="67"/>
      <c r="O4273" s="11"/>
    </row>
    <row r="4274" spans="1:15" s="4" customFormat="1" x14ac:dyDescent="0.25">
      <c r="A4274" s="6">
        <v>2170</v>
      </c>
      <c r="B4274" s="5" t="s">
        <v>18</v>
      </c>
      <c r="C4274" s="5" t="s">
        <v>17</v>
      </c>
      <c r="D4274" s="5" t="s">
        <v>529</v>
      </c>
      <c r="E4274" s="5" t="s">
        <v>530</v>
      </c>
      <c r="F4274" s="5" t="s">
        <v>19</v>
      </c>
      <c r="G4274" s="22">
        <v>0.01</v>
      </c>
      <c r="H4274" s="22">
        <v>0</v>
      </c>
      <c r="I4274" s="22">
        <v>0</v>
      </c>
      <c r="J4274" s="22">
        <v>0</v>
      </c>
      <c r="K4274" s="22">
        <v>-0.01</v>
      </c>
      <c r="L4274" s="22">
        <v>0</v>
      </c>
      <c r="M4274" s="10"/>
      <c r="N4274" s="67"/>
      <c r="O4274" s="11"/>
    </row>
    <row r="4275" spans="1:15" x14ac:dyDescent="0.25">
      <c r="A4275" s="6"/>
      <c r="B4275" s="5"/>
      <c r="C4275" s="5"/>
      <c r="D4275" s="5" t="s">
        <v>529</v>
      </c>
      <c r="E4275" s="5" t="s">
        <v>530</v>
      </c>
      <c r="F4275" s="5" t="s">
        <v>19</v>
      </c>
      <c r="G4275" s="14">
        <f t="shared" ref="G4275:L4275" si="1049">SUBTOTAL(9,G4273:G4274)</f>
        <v>0.47000000000000003</v>
      </c>
      <c r="H4275" s="14">
        <f t="shared" si="1049"/>
        <v>0</v>
      </c>
      <c r="I4275" s="14">
        <f t="shared" si="1049"/>
        <v>0</v>
      </c>
      <c r="J4275" s="14">
        <f t="shared" si="1049"/>
        <v>0</v>
      </c>
      <c r="K4275" s="14">
        <f t="shared" si="1049"/>
        <v>-0.42</v>
      </c>
      <c r="L4275" s="14">
        <f t="shared" si="1049"/>
        <v>0.05</v>
      </c>
      <c r="M4275" s="10">
        <v>3123</v>
      </c>
      <c r="N4275" s="69"/>
      <c r="O4275" s="11">
        <f>O4271+1</f>
        <v>1004</v>
      </c>
    </row>
    <row r="4276" spans="1:15" x14ac:dyDescent="0.25">
      <c r="A4276" s="10"/>
      <c r="G4276" s="21"/>
      <c r="H4276" s="21"/>
      <c r="I4276" s="21"/>
      <c r="J4276" s="21"/>
      <c r="K4276" s="21"/>
      <c r="L4276" s="21"/>
      <c r="M4276" s="10"/>
      <c r="O4276" s="11"/>
    </row>
    <row r="4277" spans="1:15" s="4" customFormat="1" x14ac:dyDescent="0.25">
      <c r="A4277" s="6">
        <v>2171</v>
      </c>
      <c r="B4277" s="5" t="s">
        <v>550</v>
      </c>
      <c r="C4277" s="5" t="s">
        <v>13</v>
      </c>
      <c r="D4277" s="5" t="s">
        <v>529</v>
      </c>
      <c r="E4277" s="5" t="s">
        <v>530</v>
      </c>
      <c r="F4277" s="5" t="s">
        <v>551</v>
      </c>
      <c r="G4277" s="22">
        <v>0</v>
      </c>
      <c r="H4277" s="22">
        <v>0</v>
      </c>
      <c r="I4277" s="22">
        <v>0</v>
      </c>
      <c r="J4277" s="22">
        <v>686.63</v>
      </c>
      <c r="K4277" s="22">
        <v>0</v>
      </c>
      <c r="L4277" s="22">
        <v>686.63</v>
      </c>
      <c r="M4277" s="10"/>
      <c r="N4277" s="67"/>
      <c r="O4277" s="11"/>
    </row>
    <row r="4278" spans="1:15" s="4" customFormat="1" x14ac:dyDescent="0.25">
      <c r="A4278" s="6">
        <v>2172</v>
      </c>
      <c r="B4278" s="5" t="s">
        <v>550</v>
      </c>
      <c r="C4278" s="5" t="s">
        <v>13</v>
      </c>
      <c r="D4278" s="5" t="s">
        <v>529</v>
      </c>
      <c r="E4278" s="5" t="s">
        <v>530</v>
      </c>
      <c r="F4278" s="5" t="s">
        <v>551</v>
      </c>
      <c r="G4278" s="22">
        <v>0</v>
      </c>
      <c r="H4278" s="22">
        <v>0</v>
      </c>
      <c r="I4278" s="22">
        <v>0</v>
      </c>
      <c r="J4278" s="22">
        <v>43.37</v>
      </c>
      <c r="K4278" s="22">
        <v>0</v>
      </c>
      <c r="L4278" s="22">
        <v>43.37</v>
      </c>
      <c r="M4278" s="10"/>
      <c r="N4278" s="67"/>
      <c r="O4278" s="11"/>
    </row>
    <row r="4279" spans="1:15" x14ac:dyDescent="0.25">
      <c r="A4279" s="6">
        <v>2173</v>
      </c>
      <c r="B4279" s="5" t="s">
        <v>550</v>
      </c>
      <c r="C4279" s="5" t="s">
        <v>17</v>
      </c>
      <c r="D4279" s="5" t="s">
        <v>529</v>
      </c>
      <c r="E4279" s="5" t="s">
        <v>530</v>
      </c>
      <c r="F4279" s="5" t="s">
        <v>551</v>
      </c>
      <c r="G4279" s="22">
        <v>6322.41</v>
      </c>
      <c r="H4279" s="22">
        <v>0</v>
      </c>
      <c r="I4279" s="22">
        <v>0</v>
      </c>
      <c r="J4279" s="22">
        <v>0</v>
      </c>
      <c r="K4279" s="22">
        <v>-126.45</v>
      </c>
      <c r="L4279" s="22">
        <v>6195.96</v>
      </c>
      <c r="M4279" s="10"/>
      <c r="O4279" s="11"/>
    </row>
    <row r="4280" spans="1:15" x14ac:dyDescent="0.25">
      <c r="A4280" s="6">
        <v>2174</v>
      </c>
      <c r="B4280" s="5" t="s">
        <v>550</v>
      </c>
      <c r="C4280" s="5" t="s">
        <v>17</v>
      </c>
      <c r="D4280" s="5" t="s">
        <v>529</v>
      </c>
      <c r="E4280" s="5" t="s">
        <v>530</v>
      </c>
      <c r="F4280" s="5" t="s">
        <v>551</v>
      </c>
      <c r="G4280" s="22">
        <v>361.41</v>
      </c>
      <c r="H4280" s="22">
        <v>0</v>
      </c>
      <c r="I4280" s="22">
        <v>0</v>
      </c>
      <c r="J4280" s="22">
        <v>0</v>
      </c>
      <c r="K4280" s="22">
        <v>-7.23</v>
      </c>
      <c r="L4280" s="22">
        <v>354.18</v>
      </c>
      <c r="M4280" s="10"/>
      <c r="O4280" s="11"/>
    </row>
    <row r="4281" spans="1:15" s="4" customFormat="1" x14ac:dyDescent="0.25">
      <c r="A4281" s="6"/>
      <c r="B4281" s="5"/>
      <c r="C4281" s="5"/>
      <c r="D4281" s="5" t="s">
        <v>529</v>
      </c>
      <c r="E4281" s="5" t="s">
        <v>530</v>
      </c>
      <c r="F4281" s="5" t="s">
        <v>551</v>
      </c>
      <c r="G4281" s="14">
        <f t="shared" ref="G4281:L4281" si="1050">SUBTOTAL(9,G4277:G4280)</f>
        <v>6683.82</v>
      </c>
      <c r="H4281" s="14">
        <f t="shared" si="1050"/>
        <v>0</v>
      </c>
      <c r="I4281" s="14">
        <f t="shared" si="1050"/>
        <v>0</v>
      </c>
      <c r="J4281" s="14">
        <f t="shared" si="1050"/>
        <v>730</v>
      </c>
      <c r="K4281" s="14">
        <f t="shared" si="1050"/>
        <v>-133.68</v>
      </c>
      <c r="L4281" s="14">
        <f t="shared" si="1050"/>
        <v>7280.14</v>
      </c>
      <c r="M4281" s="10">
        <v>3124</v>
      </c>
      <c r="N4281" s="69"/>
      <c r="O4281" s="11">
        <f>O4275+1</f>
        <v>1005</v>
      </c>
    </row>
    <row r="4282" spans="1:15" x14ac:dyDescent="0.25">
      <c r="A4282" s="10"/>
      <c r="G4282" s="21"/>
      <c r="H4282" s="21"/>
      <c r="I4282" s="21"/>
      <c r="J4282" s="21"/>
      <c r="K4282" s="21"/>
      <c r="L4282" s="21"/>
      <c r="M4282" s="10"/>
      <c r="O4282" s="11"/>
    </row>
    <row r="4283" spans="1:15" x14ac:dyDescent="0.25">
      <c r="A4283" s="6">
        <v>2175</v>
      </c>
      <c r="B4283" s="5" t="s">
        <v>550</v>
      </c>
      <c r="C4283" s="5" t="s">
        <v>13</v>
      </c>
      <c r="D4283" s="5" t="s">
        <v>529</v>
      </c>
      <c r="E4283" s="5" t="s">
        <v>530</v>
      </c>
      <c r="F4283" s="5" t="s">
        <v>552</v>
      </c>
      <c r="G4283" s="22">
        <v>0</v>
      </c>
      <c r="H4283" s="22">
        <v>0</v>
      </c>
      <c r="I4283" s="22">
        <v>0</v>
      </c>
      <c r="J4283" s="22">
        <v>0.05</v>
      </c>
      <c r="K4283" s="22">
        <v>0</v>
      </c>
      <c r="L4283" s="22">
        <v>0.05</v>
      </c>
      <c r="M4283" s="10"/>
      <c r="O4283" s="11"/>
    </row>
    <row r="4284" spans="1:15" s="4" customFormat="1" x14ac:dyDescent="0.25">
      <c r="A4284" s="6">
        <v>2176</v>
      </c>
      <c r="B4284" s="5" t="s">
        <v>550</v>
      </c>
      <c r="C4284" s="5" t="s">
        <v>13</v>
      </c>
      <c r="D4284" s="5" t="s">
        <v>529</v>
      </c>
      <c r="E4284" s="5" t="s">
        <v>530</v>
      </c>
      <c r="F4284" s="5" t="s">
        <v>552</v>
      </c>
      <c r="G4284" s="22">
        <v>0</v>
      </c>
      <c r="H4284" s="22">
        <v>0</v>
      </c>
      <c r="I4284" s="22">
        <v>0</v>
      </c>
      <c r="J4284" s="22">
        <v>0</v>
      </c>
      <c r="K4284" s="22">
        <v>0</v>
      </c>
      <c r="L4284" s="22">
        <v>0</v>
      </c>
      <c r="M4284" s="10"/>
      <c r="N4284" s="67"/>
      <c r="O4284" s="11"/>
    </row>
    <row r="4285" spans="1:15" x14ac:dyDescent="0.25">
      <c r="A4285" s="6">
        <v>2177</v>
      </c>
      <c r="B4285" s="5" t="s">
        <v>550</v>
      </c>
      <c r="C4285" s="5" t="s">
        <v>17</v>
      </c>
      <c r="D4285" s="5" t="s">
        <v>529</v>
      </c>
      <c r="E4285" s="5" t="s">
        <v>530</v>
      </c>
      <c r="F4285" s="5" t="s">
        <v>552</v>
      </c>
      <c r="G4285" s="22">
        <v>0.45</v>
      </c>
      <c r="H4285" s="22">
        <v>0</v>
      </c>
      <c r="I4285" s="22">
        <v>0</v>
      </c>
      <c r="J4285" s="22">
        <v>0</v>
      </c>
      <c r="K4285" s="22">
        <v>-0.01</v>
      </c>
      <c r="L4285" s="22">
        <v>0.44</v>
      </c>
      <c r="M4285" s="10"/>
      <c r="O4285" s="11"/>
    </row>
    <row r="4286" spans="1:15" x14ac:dyDescent="0.25">
      <c r="A4286" s="6">
        <v>2178</v>
      </c>
      <c r="B4286" s="5" t="s">
        <v>550</v>
      </c>
      <c r="C4286" s="5" t="s">
        <v>17</v>
      </c>
      <c r="D4286" s="5" t="s">
        <v>529</v>
      </c>
      <c r="E4286" s="5" t="s">
        <v>530</v>
      </c>
      <c r="F4286" s="5" t="s">
        <v>552</v>
      </c>
      <c r="G4286" s="22">
        <v>0.03</v>
      </c>
      <c r="H4286" s="22">
        <v>0</v>
      </c>
      <c r="I4286" s="22">
        <v>0</v>
      </c>
      <c r="J4286" s="22">
        <v>0</v>
      </c>
      <c r="K4286" s="22">
        <v>0</v>
      </c>
      <c r="L4286" s="22">
        <v>0.03</v>
      </c>
      <c r="M4286" s="10"/>
      <c r="O4286" s="11"/>
    </row>
    <row r="4287" spans="1:15" s="4" customFormat="1" x14ac:dyDescent="0.25">
      <c r="A4287" s="6"/>
      <c r="B4287" s="5"/>
      <c r="C4287" s="5"/>
      <c r="D4287" s="5" t="s">
        <v>529</v>
      </c>
      <c r="E4287" s="5" t="s">
        <v>530</v>
      </c>
      <c r="F4287" s="5" t="s">
        <v>552</v>
      </c>
      <c r="G4287" s="14">
        <f t="shared" ref="G4287:L4287" si="1051">SUBTOTAL(9,G4283:G4286)</f>
        <v>0.48</v>
      </c>
      <c r="H4287" s="14">
        <f t="shared" si="1051"/>
        <v>0</v>
      </c>
      <c r="I4287" s="14">
        <f t="shared" si="1051"/>
        <v>0</v>
      </c>
      <c r="J4287" s="14">
        <f t="shared" si="1051"/>
        <v>0.05</v>
      </c>
      <c r="K4287" s="14">
        <f t="shared" si="1051"/>
        <v>-0.01</v>
      </c>
      <c r="L4287" s="14">
        <f t="shared" si="1051"/>
        <v>0.52</v>
      </c>
      <c r="M4287" s="10">
        <v>3125</v>
      </c>
      <c r="N4287" s="69"/>
      <c r="O4287" s="11">
        <f>O4281+1</f>
        <v>1006</v>
      </c>
    </row>
    <row r="4288" spans="1:15" x14ac:dyDescent="0.25">
      <c r="A4288" s="10"/>
      <c r="G4288" s="21"/>
      <c r="H4288" s="21"/>
      <c r="I4288" s="21"/>
      <c r="J4288" s="21"/>
      <c r="K4288" s="21"/>
      <c r="L4288" s="21"/>
      <c r="M4288" s="10"/>
      <c r="O4288" s="11"/>
    </row>
    <row r="4289" spans="1:15" x14ac:dyDescent="0.25">
      <c r="A4289" s="6">
        <v>2179</v>
      </c>
      <c r="B4289" s="5" t="s">
        <v>18</v>
      </c>
      <c r="C4289" s="5" t="s">
        <v>17</v>
      </c>
      <c r="D4289" s="5" t="s">
        <v>531</v>
      </c>
      <c r="E4289" s="5" t="s">
        <v>532</v>
      </c>
      <c r="F4289" s="5" t="s">
        <v>19</v>
      </c>
      <c r="G4289" s="22">
        <v>0</v>
      </c>
      <c r="H4289" s="22">
        <v>0</v>
      </c>
      <c r="I4289" s="22">
        <v>0.03</v>
      </c>
      <c r="J4289" s="22">
        <v>0</v>
      </c>
      <c r="K4289" s="22">
        <v>0</v>
      </c>
      <c r="L4289" s="22">
        <v>0.03</v>
      </c>
      <c r="M4289" s="10"/>
      <c r="O4289" s="11"/>
    </row>
    <row r="4290" spans="1:15" s="4" customFormat="1" x14ac:dyDescent="0.25">
      <c r="A4290" s="6">
        <v>2180</v>
      </c>
      <c r="B4290" s="5" t="s">
        <v>18</v>
      </c>
      <c r="C4290" s="5" t="s">
        <v>17</v>
      </c>
      <c r="D4290" s="5" t="s">
        <v>531</v>
      </c>
      <c r="E4290" s="5" t="s">
        <v>532</v>
      </c>
      <c r="F4290" s="5" t="s">
        <v>19</v>
      </c>
      <c r="G4290" s="22">
        <v>0</v>
      </c>
      <c r="H4290" s="22">
        <v>0</v>
      </c>
      <c r="I4290" s="22">
        <v>0.01</v>
      </c>
      <c r="J4290" s="22">
        <v>0</v>
      </c>
      <c r="K4290" s="22">
        <v>0</v>
      </c>
      <c r="L4290" s="22">
        <v>0.01</v>
      </c>
      <c r="M4290" s="10"/>
      <c r="N4290" s="67"/>
      <c r="O4290" s="11"/>
    </row>
    <row r="4291" spans="1:15" x14ac:dyDescent="0.25">
      <c r="A4291" s="6"/>
      <c r="B4291" s="5"/>
      <c r="C4291" s="5"/>
      <c r="D4291" s="5" t="s">
        <v>531</v>
      </c>
      <c r="E4291" s="5" t="s">
        <v>532</v>
      </c>
      <c r="F4291" s="5" t="s">
        <v>19</v>
      </c>
      <c r="G4291" s="14">
        <f t="shared" ref="G4291:L4291" si="1052">SUBTOTAL(9,G4289:G4290)</f>
        <v>0</v>
      </c>
      <c r="H4291" s="14">
        <f t="shared" si="1052"/>
        <v>0</v>
      </c>
      <c r="I4291" s="14">
        <f t="shared" si="1052"/>
        <v>0.04</v>
      </c>
      <c r="J4291" s="14">
        <f t="shared" si="1052"/>
        <v>0</v>
      </c>
      <c r="K4291" s="14">
        <f t="shared" si="1052"/>
        <v>0</v>
      </c>
      <c r="L4291" s="14">
        <f t="shared" si="1052"/>
        <v>0.04</v>
      </c>
      <c r="M4291" s="10">
        <v>3126</v>
      </c>
      <c r="N4291" s="69"/>
      <c r="O4291" s="11">
        <f>O4287+1</f>
        <v>1007</v>
      </c>
    </row>
    <row r="4292" spans="1:15" x14ac:dyDescent="0.25">
      <c r="A4292" s="10"/>
      <c r="G4292" s="21"/>
      <c r="H4292" s="21"/>
      <c r="I4292" s="21"/>
      <c r="J4292" s="21"/>
      <c r="K4292" s="21"/>
      <c r="L4292" s="21"/>
      <c r="M4292" s="10"/>
      <c r="O4292" s="11"/>
    </row>
    <row r="4293" spans="1:15" s="4" customFormat="1" x14ac:dyDescent="0.25">
      <c r="A4293" s="6">
        <v>2181</v>
      </c>
      <c r="B4293" s="5" t="s">
        <v>20</v>
      </c>
      <c r="C4293" s="5" t="s">
        <v>17</v>
      </c>
      <c r="D4293" s="5" t="s">
        <v>531</v>
      </c>
      <c r="E4293" s="5" t="s">
        <v>532</v>
      </c>
      <c r="F4293" s="5" t="s">
        <v>21</v>
      </c>
      <c r="G4293" s="22">
        <v>0</v>
      </c>
      <c r="H4293" s="22">
        <v>0</v>
      </c>
      <c r="I4293" s="22">
        <v>0</v>
      </c>
      <c r="J4293" s="22">
        <v>0</v>
      </c>
      <c r="K4293" s="22">
        <v>0</v>
      </c>
      <c r="L4293" s="22">
        <v>0</v>
      </c>
      <c r="M4293" s="10"/>
      <c r="N4293" s="67"/>
      <c r="O4293" s="11"/>
    </row>
    <row r="4294" spans="1:15" x14ac:dyDescent="0.25">
      <c r="A4294" s="33"/>
      <c r="B4294" s="30"/>
      <c r="C4294" s="30"/>
      <c r="D4294" s="30"/>
      <c r="E4294" s="30"/>
      <c r="F4294" s="30" t="s">
        <v>662</v>
      </c>
      <c r="G4294" s="31">
        <f t="shared" ref="G4294:L4294" si="1053">SUBTOTAL(9,G4293:G4293)</f>
        <v>0</v>
      </c>
      <c r="H4294" s="31">
        <f t="shared" si="1053"/>
        <v>0</v>
      </c>
      <c r="I4294" s="31">
        <f t="shared" si="1053"/>
        <v>0</v>
      </c>
      <c r="J4294" s="31">
        <f t="shared" si="1053"/>
        <v>0</v>
      </c>
      <c r="K4294" s="31">
        <f t="shared" si="1053"/>
        <v>0</v>
      </c>
      <c r="L4294" s="31">
        <f t="shared" si="1053"/>
        <v>0</v>
      </c>
      <c r="M4294" s="50"/>
      <c r="N4294" s="69"/>
      <c r="O4294" s="50"/>
    </row>
    <row r="4295" spans="1:15" x14ac:dyDescent="0.25">
      <c r="A4295" s="10"/>
      <c r="G4295" s="21"/>
      <c r="H4295" s="21"/>
      <c r="I4295" s="21"/>
      <c r="J4295" s="21"/>
      <c r="K4295" s="21"/>
      <c r="L4295" s="21"/>
      <c r="M4295" s="10"/>
      <c r="O4295" s="11"/>
    </row>
    <row r="4296" spans="1:15" s="4" customFormat="1" x14ac:dyDescent="0.25">
      <c r="A4296" s="6">
        <v>2182</v>
      </c>
      <c r="B4296" s="5" t="s">
        <v>555</v>
      </c>
      <c r="C4296" s="5" t="s">
        <v>17</v>
      </c>
      <c r="D4296" s="5" t="s">
        <v>533</v>
      </c>
      <c r="E4296" s="5" t="s">
        <v>534</v>
      </c>
      <c r="F4296" s="5" t="s">
        <v>556</v>
      </c>
      <c r="G4296" s="22">
        <v>10114.16</v>
      </c>
      <c r="H4296" s="22">
        <v>0</v>
      </c>
      <c r="I4296" s="22">
        <v>0</v>
      </c>
      <c r="J4296" s="22">
        <v>0</v>
      </c>
      <c r="K4296" s="22">
        <v>-202.28</v>
      </c>
      <c r="L4296" s="22">
        <v>9911.8799999999992</v>
      </c>
      <c r="M4296" s="10"/>
      <c r="N4296" s="67"/>
      <c r="O4296" s="11"/>
    </row>
    <row r="4297" spans="1:15" x14ac:dyDescent="0.25">
      <c r="A4297" s="6"/>
      <c r="B4297" s="5"/>
      <c r="C4297" s="5"/>
      <c r="D4297" s="5" t="s">
        <v>533</v>
      </c>
      <c r="E4297" s="5" t="s">
        <v>534</v>
      </c>
      <c r="F4297" s="5" t="s">
        <v>556</v>
      </c>
      <c r="G4297" s="14">
        <f t="shared" ref="G4297:L4297" si="1054">SUBTOTAL(9,G4296:G4296)</f>
        <v>10114.16</v>
      </c>
      <c r="H4297" s="14">
        <f t="shared" si="1054"/>
        <v>0</v>
      </c>
      <c r="I4297" s="14">
        <f t="shared" si="1054"/>
        <v>0</v>
      </c>
      <c r="J4297" s="14">
        <f t="shared" si="1054"/>
        <v>0</v>
      </c>
      <c r="K4297" s="14">
        <f t="shared" si="1054"/>
        <v>-202.28</v>
      </c>
      <c r="L4297" s="14">
        <f t="shared" si="1054"/>
        <v>9911.8799999999992</v>
      </c>
      <c r="M4297" s="10">
        <v>3127</v>
      </c>
      <c r="O4297" s="11">
        <f>O4291+1</f>
        <v>1008</v>
      </c>
    </row>
    <row r="4298" spans="1:15" x14ac:dyDescent="0.25">
      <c r="A4298" s="10"/>
      <c r="G4298" s="21"/>
      <c r="H4298" s="21"/>
      <c r="I4298" s="21"/>
      <c r="J4298" s="21"/>
      <c r="K4298" s="21"/>
      <c r="L4298" s="21"/>
      <c r="M4298" s="10"/>
      <c r="O4298" s="11"/>
    </row>
    <row r="4299" spans="1:15" s="4" customFormat="1" x14ac:dyDescent="0.25">
      <c r="A4299" s="6">
        <v>2183</v>
      </c>
      <c r="B4299" s="5" t="s">
        <v>557</v>
      </c>
      <c r="C4299" s="5" t="s">
        <v>17</v>
      </c>
      <c r="D4299" s="5" t="s">
        <v>533</v>
      </c>
      <c r="E4299" s="5" t="s">
        <v>534</v>
      </c>
      <c r="F4299" s="5" t="s">
        <v>558</v>
      </c>
      <c r="G4299" s="22">
        <v>4805.09</v>
      </c>
      <c r="H4299" s="22">
        <v>0</v>
      </c>
      <c r="I4299" s="22">
        <v>0</v>
      </c>
      <c r="J4299" s="22">
        <v>0</v>
      </c>
      <c r="K4299" s="22">
        <v>-96.1</v>
      </c>
      <c r="L4299" s="22">
        <v>4708.99</v>
      </c>
      <c r="M4299" s="10"/>
      <c r="N4299" s="67"/>
      <c r="O4299" s="11"/>
    </row>
    <row r="4300" spans="1:15" x14ac:dyDescent="0.25">
      <c r="A4300" s="6"/>
      <c r="B4300" s="5"/>
      <c r="C4300" s="5"/>
      <c r="D4300" s="5" t="s">
        <v>533</v>
      </c>
      <c r="E4300" s="5" t="s">
        <v>534</v>
      </c>
      <c r="F4300" s="5" t="s">
        <v>558</v>
      </c>
      <c r="G4300" s="14">
        <f t="shared" ref="G4300:L4300" si="1055">SUBTOTAL(9,G4299:G4299)</f>
        <v>4805.09</v>
      </c>
      <c r="H4300" s="14">
        <f t="shared" si="1055"/>
        <v>0</v>
      </c>
      <c r="I4300" s="14">
        <f t="shared" si="1055"/>
        <v>0</v>
      </c>
      <c r="J4300" s="14">
        <f t="shared" si="1055"/>
        <v>0</v>
      </c>
      <c r="K4300" s="14">
        <f t="shared" si="1055"/>
        <v>-96.1</v>
      </c>
      <c r="L4300" s="14">
        <f t="shared" si="1055"/>
        <v>4708.99</v>
      </c>
      <c r="M4300" s="10">
        <v>3128</v>
      </c>
      <c r="N4300" s="69"/>
      <c r="O4300" s="11">
        <f>O4297+1</f>
        <v>1009</v>
      </c>
    </row>
    <row r="4301" spans="1:15" x14ac:dyDescent="0.25">
      <c r="A4301" s="10"/>
      <c r="G4301" s="21"/>
      <c r="H4301" s="21"/>
      <c r="I4301" s="21"/>
      <c r="J4301" s="21"/>
      <c r="K4301" s="21"/>
      <c r="L4301" s="21"/>
      <c r="M4301" s="10"/>
      <c r="O4301" s="11"/>
    </row>
    <row r="4302" spans="1:15" s="4" customFormat="1" x14ac:dyDescent="0.25">
      <c r="A4302" s="6">
        <v>2184</v>
      </c>
      <c r="B4302" s="5" t="s">
        <v>18</v>
      </c>
      <c r="C4302" s="5" t="s">
        <v>17</v>
      </c>
      <c r="D4302" s="5" t="s">
        <v>533</v>
      </c>
      <c r="E4302" s="5" t="s">
        <v>534</v>
      </c>
      <c r="F4302" s="5" t="s">
        <v>19</v>
      </c>
      <c r="G4302" s="22">
        <v>28.84</v>
      </c>
      <c r="H4302" s="22">
        <v>0</v>
      </c>
      <c r="I4302" s="22">
        <v>0</v>
      </c>
      <c r="J4302" s="22">
        <v>0</v>
      </c>
      <c r="K4302" s="22">
        <v>-25.58</v>
      </c>
      <c r="L4302" s="22">
        <v>3.26</v>
      </c>
      <c r="M4302" s="10"/>
      <c r="N4302" s="67"/>
      <c r="O4302" s="11"/>
    </row>
    <row r="4303" spans="1:15" x14ac:dyDescent="0.25">
      <c r="A4303" s="6">
        <v>2185</v>
      </c>
      <c r="B4303" s="5" t="s">
        <v>18</v>
      </c>
      <c r="C4303" s="5" t="s">
        <v>13</v>
      </c>
      <c r="D4303" s="5" t="s">
        <v>533</v>
      </c>
      <c r="E4303" s="5" t="s">
        <v>534</v>
      </c>
      <c r="F4303" s="5" t="s">
        <v>19</v>
      </c>
      <c r="G4303" s="22">
        <v>0</v>
      </c>
      <c r="H4303" s="22">
        <v>0</v>
      </c>
      <c r="I4303" s="22">
        <v>0</v>
      </c>
      <c r="J4303" s="22">
        <v>16920.03</v>
      </c>
      <c r="K4303" s="22">
        <v>0</v>
      </c>
      <c r="L4303" s="22">
        <v>16920.03</v>
      </c>
      <c r="M4303" s="10"/>
      <c r="O4303" s="11"/>
    </row>
    <row r="4304" spans="1:15" x14ac:dyDescent="0.25">
      <c r="A4304" s="6"/>
      <c r="B4304" s="5"/>
      <c r="C4304" s="5"/>
      <c r="D4304" s="5" t="s">
        <v>533</v>
      </c>
      <c r="E4304" s="5" t="s">
        <v>534</v>
      </c>
      <c r="F4304" s="5" t="s">
        <v>19</v>
      </c>
      <c r="G4304" s="14">
        <f t="shared" ref="G4304:L4304" si="1056">SUBTOTAL(9,G4302:G4303)</f>
        <v>28.84</v>
      </c>
      <c r="H4304" s="14">
        <f t="shared" si="1056"/>
        <v>0</v>
      </c>
      <c r="I4304" s="14">
        <f t="shared" si="1056"/>
        <v>0</v>
      </c>
      <c r="J4304" s="14">
        <f t="shared" si="1056"/>
        <v>16920.03</v>
      </c>
      <c r="K4304" s="14">
        <f t="shared" si="1056"/>
        <v>-25.58</v>
      </c>
      <c r="L4304" s="14">
        <f t="shared" si="1056"/>
        <v>16923.289999999997</v>
      </c>
      <c r="M4304" s="10">
        <v>3129</v>
      </c>
      <c r="N4304" s="69"/>
      <c r="O4304" s="11">
        <f>O4300+1</f>
        <v>1010</v>
      </c>
    </row>
    <row r="4305" spans="1:15" s="4" customFormat="1" x14ac:dyDescent="0.25">
      <c r="A4305" s="10"/>
      <c r="B4305"/>
      <c r="C4305"/>
      <c r="D4305"/>
      <c r="E4305"/>
      <c r="F4305"/>
      <c r="G4305" s="21"/>
      <c r="H4305" s="21"/>
      <c r="I4305" s="21"/>
      <c r="J4305" s="21"/>
      <c r="K4305" s="21"/>
      <c r="L4305" s="21"/>
      <c r="M4305" s="10"/>
      <c r="N4305" s="67"/>
      <c r="O4305" s="11"/>
    </row>
    <row r="4306" spans="1:15" x14ac:dyDescent="0.25">
      <c r="A4306" s="6">
        <v>2186</v>
      </c>
      <c r="B4306" s="5" t="s">
        <v>550</v>
      </c>
      <c r="C4306" s="5" t="s">
        <v>17</v>
      </c>
      <c r="D4306" s="5" t="s">
        <v>533</v>
      </c>
      <c r="E4306" s="5" t="s">
        <v>534</v>
      </c>
      <c r="F4306" s="5" t="s">
        <v>551</v>
      </c>
      <c r="G4306" s="22">
        <v>334543.82</v>
      </c>
      <c r="H4306" s="22">
        <v>0</v>
      </c>
      <c r="I4306" s="22">
        <v>0</v>
      </c>
      <c r="J4306" s="22">
        <v>0</v>
      </c>
      <c r="K4306" s="22">
        <v>-6690.88</v>
      </c>
      <c r="L4306" s="22">
        <v>327852.94</v>
      </c>
      <c r="M4306" s="10"/>
      <c r="O4306" s="11"/>
    </row>
    <row r="4307" spans="1:15" x14ac:dyDescent="0.25">
      <c r="A4307" s="6"/>
      <c r="B4307" s="5"/>
      <c r="C4307" s="5"/>
      <c r="D4307" s="5" t="s">
        <v>533</v>
      </c>
      <c r="E4307" s="5" t="s">
        <v>534</v>
      </c>
      <c r="F4307" s="5" t="s">
        <v>551</v>
      </c>
      <c r="G4307" s="14">
        <f t="shared" ref="G4307:L4307" si="1057">SUBTOTAL(9,G4306:G4306)</f>
        <v>334543.82</v>
      </c>
      <c r="H4307" s="14">
        <f t="shared" si="1057"/>
        <v>0</v>
      </c>
      <c r="I4307" s="14">
        <f t="shared" si="1057"/>
        <v>0</v>
      </c>
      <c r="J4307" s="14">
        <f t="shared" si="1057"/>
        <v>0</v>
      </c>
      <c r="K4307" s="14">
        <f t="shared" si="1057"/>
        <v>-6690.88</v>
      </c>
      <c r="L4307" s="14">
        <f t="shared" si="1057"/>
        <v>327852.94</v>
      </c>
      <c r="M4307" s="10">
        <v>3130</v>
      </c>
      <c r="N4307" s="69"/>
      <c r="O4307" s="11">
        <f>O4304+1</f>
        <v>1011</v>
      </c>
    </row>
    <row r="4308" spans="1:15" s="4" customFormat="1" x14ac:dyDescent="0.25">
      <c r="A4308" s="10"/>
      <c r="B4308"/>
      <c r="C4308"/>
      <c r="D4308"/>
      <c r="E4308"/>
      <c r="F4308"/>
      <c r="G4308" s="21"/>
      <c r="H4308" s="21"/>
      <c r="I4308" s="21"/>
      <c r="J4308" s="21"/>
      <c r="K4308" s="21"/>
      <c r="L4308" s="21"/>
      <c r="M4308" s="10"/>
      <c r="N4308" s="67"/>
      <c r="O4308" s="11"/>
    </row>
    <row r="4309" spans="1:15" x14ac:dyDescent="0.25">
      <c r="A4309" s="6">
        <v>2187</v>
      </c>
      <c r="B4309" s="5" t="s">
        <v>550</v>
      </c>
      <c r="C4309" s="5" t="s">
        <v>17</v>
      </c>
      <c r="D4309" s="5" t="s">
        <v>533</v>
      </c>
      <c r="E4309" s="5" t="s">
        <v>534</v>
      </c>
      <c r="F4309" s="5" t="s">
        <v>552</v>
      </c>
      <c r="G4309" s="22">
        <v>24.06</v>
      </c>
      <c r="H4309" s="22">
        <v>0</v>
      </c>
      <c r="I4309" s="22">
        <v>0</v>
      </c>
      <c r="J4309" s="22">
        <v>0</v>
      </c>
      <c r="K4309" s="22">
        <v>-0.48</v>
      </c>
      <c r="L4309" s="22">
        <v>23.58</v>
      </c>
      <c r="M4309" s="10"/>
      <c r="O4309" s="11"/>
    </row>
    <row r="4310" spans="1:15" x14ac:dyDescent="0.25">
      <c r="A4310" s="6"/>
      <c r="B4310" s="5"/>
      <c r="C4310" s="5"/>
      <c r="D4310" s="5" t="s">
        <v>533</v>
      </c>
      <c r="E4310" s="5" t="s">
        <v>534</v>
      </c>
      <c r="F4310" s="5" t="s">
        <v>552</v>
      </c>
      <c r="G4310" s="14">
        <f t="shared" ref="G4310:L4310" si="1058">SUBTOTAL(9,G4309:G4309)</f>
        <v>24.06</v>
      </c>
      <c r="H4310" s="14">
        <f t="shared" si="1058"/>
        <v>0</v>
      </c>
      <c r="I4310" s="14">
        <f t="shared" si="1058"/>
        <v>0</v>
      </c>
      <c r="J4310" s="14">
        <f t="shared" si="1058"/>
        <v>0</v>
      </c>
      <c r="K4310" s="14">
        <f t="shared" si="1058"/>
        <v>-0.48</v>
      </c>
      <c r="L4310" s="14">
        <f t="shared" si="1058"/>
        <v>23.58</v>
      </c>
      <c r="M4310" s="10">
        <v>3131</v>
      </c>
      <c r="N4310" s="69"/>
      <c r="O4310" s="11">
        <f>O4307+1</f>
        <v>1012</v>
      </c>
    </row>
    <row r="4311" spans="1:15" s="4" customFormat="1" x14ac:dyDescent="0.25">
      <c r="A4311" s="10"/>
      <c r="B4311"/>
      <c r="C4311"/>
      <c r="D4311"/>
      <c r="E4311"/>
      <c r="F4311"/>
      <c r="G4311" s="21"/>
      <c r="H4311" s="21"/>
      <c r="I4311" s="21"/>
      <c r="J4311" s="21"/>
      <c r="K4311" s="21"/>
      <c r="L4311" s="21"/>
      <c r="M4311" s="10"/>
      <c r="N4311" s="67"/>
      <c r="O4311" s="11"/>
    </row>
    <row r="4312" spans="1:15" s="4" customFormat="1" x14ac:dyDescent="0.25">
      <c r="A4312" s="6">
        <v>2188</v>
      </c>
      <c r="B4312" s="5" t="s">
        <v>555</v>
      </c>
      <c r="C4312" s="5" t="s">
        <v>17</v>
      </c>
      <c r="D4312" s="5" t="s">
        <v>535</v>
      </c>
      <c r="E4312" s="5" t="s">
        <v>536</v>
      </c>
      <c r="F4312" s="5" t="s">
        <v>556</v>
      </c>
      <c r="G4312" s="22">
        <v>1046.29</v>
      </c>
      <c r="H4312" s="22">
        <v>0</v>
      </c>
      <c r="I4312" s="22">
        <v>0</v>
      </c>
      <c r="J4312" s="22">
        <v>0</v>
      </c>
      <c r="K4312" s="22">
        <v>-20.93</v>
      </c>
      <c r="L4312" s="22">
        <v>1025.3599999999999</v>
      </c>
      <c r="M4312" s="10"/>
      <c r="N4312" s="67"/>
      <c r="O4312" s="11"/>
    </row>
    <row r="4313" spans="1:15" s="4" customFormat="1" x14ac:dyDescent="0.25">
      <c r="A4313" s="6">
        <v>2189</v>
      </c>
      <c r="B4313" s="5" t="s">
        <v>555</v>
      </c>
      <c r="C4313" s="5" t="s">
        <v>17</v>
      </c>
      <c r="D4313" s="5" t="s">
        <v>535</v>
      </c>
      <c r="E4313" s="5" t="s">
        <v>536</v>
      </c>
      <c r="F4313" s="5" t="s">
        <v>556</v>
      </c>
      <c r="G4313" s="22">
        <v>0</v>
      </c>
      <c r="H4313" s="22">
        <v>0</v>
      </c>
      <c r="I4313" s="22">
        <v>743.7</v>
      </c>
      <c r="J4313" s="22">
        <v>0</v>
      </c>
      <c r="K4313" s="22">
        <v>-14.87</v>
      </c>
      <c r="L4313" s="22">
        <v>728.83</v>
      </c>
      <c r="M4313" s="10"/>
      <c r="N4313" s="67"/>
      <c r="O4313" s="11"/>
    </row>
    <row r="4314" spans="1:15" x14ac:dyDescent="0.25">
      <c r="A4314" s="6">
        <v>2190</v>
      </c>
      <c r="B4314" s="5" t="s">
        <v>555</v>
      </c>
      <c r="C4314" s="5" t="s">
        <v>13</v>
      </c>
      <c r="D4314" s="5" t="s">
        <v>535</v>
      </c>
      <c r="E4314" s="5" t="s">
        <v>536</v>
      </c>
      <c r="F4314" s="5" t="s">
        <v>556</v>
      </c>
      <c r="G4314" s="22">
        <v>0</v>
      </c>
      <c r="H4314" s="22">
        <v>0</v>
      </c>
      <c r="I4314" s="22">
        <v>0</v>
      </c>
      <c r="J4314" s="22">
        <v>125.55</v>
      </c>
      <c r="K4314" s="22">
        <v>0</v>
      </c>
      <c r="L4314" s="22">
        <v>125.55</v>
      </c>
      <c r="M4314" s="10"/>
      <c r="O4314" s="11"/>
    </row>
    <row r="4315" spans="1:15" x14ac:dyDescent="0.25">
      <c r="A4315" s="6"/>
      <c r="B4315" s="5"/>
      <c r="C4315" s="5"/>
      <c r="D4315" s="5" t="s">
        <v>535</v>
      </c>
      <c r="E4315" s="5" t="s">
        <v>536</v>
      </c>
      <c r="F4315" s="5" t="s">
        <v>556</v>
      </c>
      <c r="G4315" s="14">
        <f t="shared" ref="G4315:L4315" si="1059">SUBTOTAL(9,G4312:G4314)</f>
        <v>1046.29</v>
      </c>
      <c r="H4315" s="14">
        <f t="shared" si="1059"/>
        <v>0</v>
      </c>
      <c r="I4315" s="14">
        <f t="shared" si="1059"/>
        <v>743.7</v>
      </c>
      <c r="J4315" s="14">
        <f t="shared" si="1059"/>
        <v>125.55</v>
      </c>
      <c r="K4315" s="14">
        <f t="shared" si="1059"/>
        <v>-35.799999999999997</v>
      </c>
      <c r="L4315" s="14">
        <f t="shared" si="1059"/>
        <v>1879.74</v>
      </c>
      <c r="M4315" s="10">
        <v>3132</v>
      </c>
      <c r="O4315" s="11">
        <f>O4310+1</f>
        <v>1013</v>
      </c>
    </row>
    <row r="4316" spans="1:15" s="4" customFormat="1" x14ac:dyDescent="0.25">
      <c r="A4316" s="10"/>
      <c r="B4316"/>
      <c r="C4316"/>
      <c r="D4316"/>
      <c r="E4316"/>
      <c r="F4316"/>
      <c r="G4316" s="21"/>
      <c r="H4316" s="21"/>
      <c r="I4316" s="21"/>
      <c r="J4316" s="21"/>
      <c r="K4316" s="21"/>
      <c r="L4316" s="21"/>
      <c r="M4316" s="10"/>
      <c r="N4316" s="67"/>
      <c r="O4316" s="11"/>
    </row>
    <row r="4317" spans="1:15" s="4" customFormat="1" x14ac:dyDescent="0.25">
      <c r="A4317" s="6">
        <v>2191</v>
      </c>
      <c r="B4317" s="5" t="s">
        <v>557</v>
      </c>
      <c r="C4317" s="5" t="s">
        <v>17</v>
      </c>
      <c r="D4317" s="5" t="s">
        <v>535</v>
      </c>
      <c r="E4317" s="5" t="s">
        <v>536</v>
      </c>
      <c r="F4317" s="5" t="s">
        <v>558</v>
      </c>
      <c r="G4317" s="22">
        <v>570.16</v>
      </c>
      <c r="H4317" s="22">
        <v>0</v>
      </c>
      <c r="I4317" s="22">
        <v>0</v>
      </c>
      <c r="J4317" s="22">
        <v>0</v>
      </c>
      <c r="K4317" s="22">
        <v>-11.4</v>
      </c>
      <c r="L4317" s="22">
        <v>558.76</v>
      </c>
      <c r="M4317" s="10"/>
      <c r="N4317" s="67"/>
      <c r="O4317" s="11"/>
    </row>
    <row r="4318" spans="1:15" s="4" customFormat="1" x14ac:dyDescent="0.25">
      <c r="A4318" s="6">
        <v>2192</v>
      </c>
      <c r="B4318" s="5" t="s">
        <v>557</v>
      </c>
      <c r="C4318" s="5" t="s">
        <v>17</v>
      </c>
      <c r="D4318" s="5" t="s">
        <v>535</v>
      </c>
      <c r="E4318" s="5" t="s">
        <v>536</v>
      </c>
      <c r="F4318" s="5" t="s">
        <v>558</v>
      </c>
      <c r="G4318" s="22">
        <v>0</v>
      </c>
      <c r="H4318" s="22">
        <v>0</v>
      </c>
      <c r="I4318" s="22">
        <v>536.65</v>
      </c>
      <c r="J4318" s="22">
        <v>0</v>
      </c>
      <c r="K4318" s="22">
        <v>-10.73</v>
      </c>
      <c r="L4318" s="22">
        <v>525.91999999999996</v>
      </c>
      <c r="M4318" s="10"/>
      <c r="N4318" s="67"/>
      <c r="O4318" s="11"/>
    </row>
    <row r="4319" spans="1:15" x14ac:dyDescent="0.25">
      <c r="A4319" s="6">
        <v>2193</v>
      </c>
      <c r="B4319" s="5" t="s">
        <v>557</v>
      </c>
      <c r="C4319" s="5" t="s">
        <v>13</v>
      </c>
      <c r="D4319" s="5" t="s">
        <v>535</v>
      </c>
      <c r="E4319" s="5" t="s">
        <v>536</v>
      </c>
      <c r="F4319" s="5" t="s">
        <v>558</v>
      </c>
      <c r="G4319" s="22">
        <v>0</v>
      </c>
      <c r="H4319" s="22">
        <v>0</v>
      </c>
      <c r="I4319" s="22">
        <v>0</v>
      </c>
      <c r="J4319" s="22">
        <v>68.42</v>
      </c>
      <c r="K4319" s="22">
        <v>0</v>
      </c>
      <c r="L4319" s="22">
        <v>68.42</v>
      </c>
      <c r="M4319" s="10"/>
      <c r="O4319" s="11"/>
    </row>
    <row r="4320" spans="1:15" x14ac:dyDescent="0.25">
      <c r="A4320" s="6"/>
      <c r="B4320" s="5"/>
      <c r="C4320" s="5"/>
      <c r="D4320" s="5" t="s">
        <v>535</v>
      </c>
      <c r="E4320" s="5" t="s">
        <v>536</v>
      </c>
      <c r="F4320" s="5" t="s">
        <v>558</v>
      </c>
      <c r="G4320" s="14">
        <f t="shared" ref="G4320:L4320" si="1060">SUBTOTAL(9,G4317:G4319)</f>
        <v>570.16</v>
      </c>
      <c r="H4320" s="14">
        <f t="shared" si="1060"/>
        <v>0</v>
      </c>
      <c r="I4320" s="14">
        <f t="shared" si="1060"/>
        <v>536.65</v>
      </c>
      <c r="J4320" s="14">
        <f t="shared" si="1060"/>
        <v>68.42</v>
      </c>
      <c r="K4320" s="14">
        <f t="shared" si="1060"/>
        <v>-22.130000000000003</v>
      </c>
      <c r="L4320" s="14">
        <f t="shared" si="1060"/>
        <v>1153.0999999999999</v>
      </c>
      <c r="M4320" s="10">
        <v>3133</v>
      </c>
      <c r="O4320" s="11">
        <f>O4315+1</f>
        <v>1014</v>
      </c>
    </row>
    <row r="4321" spans="1:15" s="4" customFormat="1" x14ac:dyDescent="0.25">
      <c r="A4321" s="10"/>
      <c r="B4321"/>
      <c r="C4321"/>
      <c r="D4321"/>
      <c r="E4321"/>
      <c r="F4321"/>
      <c r="G4321" s="21"/>
      <c r="H4321" s="21"/>
      <c r="I4321" s="21"/>
      <c r="J4321" s="21"/>
      <c r="K4321" s="21"/>
      <c r="L4321" s="21"/>
      <c r="M4321" s="10"/>
      <c r="N4321" s="67"/>
      <c r="O4321" s="11"/>
    </row>
    <row r="4322" spans="1:15" x14ac:dyDescent="0.25">
      <c r="A4322" s="6">
        <v>2194</v>
      </c>
      <c r="B4322" s="5" t="s">
        <v>559</v>
      </c>
      <c r="C4322" s="5" t="s">
        <v>17</v>
      </c>
      <c r="D4322" s="5" t="s">
        <v>535</v>
      </c>
      <c r="E4322" s="5" t="s">
        <v>536</v>
      </c>
      <c r="F4322" s="5" t="s">
        <v>560</v>
      </c>
      <c r="G4322" s="22">
        <v>832.95</v>
      </c>
      <c r="H4322" s="22">
        <v>0</v>
      </c>
      <c r="I4322" s="22">
        <v>0</v>
      </c>
      <c r="J4322" s="22">
        <v>0</v>
      </c>
      <c r="K4322" s="22">
        <v>-16.66</v>
      </c>
      <c r="L4322" s="22">
        <v>816.29</v>
      </c>
      <c r="M4322" s="10"/>
      <c r="O4322" s="11"/>
    </row>
    <row r="4323" spans="1:15" x14ac:dyDescent="0.25">
      <c r="A4323" s="6">
        <v>2195</v>
      </c>
      <c r="B4323" s="5" t="s">
        <v>559</v>
      </c>
      <c r="C4323" s="5" t="s">
        <v>17</v>
      </c>
      <c r="D4323" s="5" t="s">
        <v>535</v>
      </c>
      <c r="E4323" s="5" t="s">
        <v>536</v>
      </c>
      <c r="F4323" s="5" t="s">
        <v>560</v>
      </c>
      <c r="G4323" s="22">
        <v>0</v>
      </c>
      <c r="H4323" s="22">
        <v>0</v>
      </c>
      <c r="I4323" s="22">
        <v>5.22</v>
      </c>
      <c r="J4323" s="22">
        <v>0</v>
      </c>
      <c r="K4323" s="22">
        <v>-0.1</v>
      </c>
      <c r="L4323" s="22">
        <v>5.12</v>
      </c>
      <c r="M4323" s="10"/>
      <c r="O4323" s="11"/>
    </row>
    <row r="4324" spans="1:15" s="4" customFormat="1" x14ac:dyDescent="0.25">
      <c r="A4324" s="6">
        <v>2196</v>
      </c>
      <c r="B4324" s="5" t="s">
        <v>559</v>
      </c>
      <c r="C4324" s="5" t="s">
        <v>13</v>
      </c>
      <c r="D4324" s="5" t="s">
        <v>535</v>
      </c>
      <c r="E4324" s="5" t="s">
        <v>536</v>
      </c>
      <c r="F4324" s="5" t="s">
        <v>560</v>
      </c>
      <c r="G4324" s="22">
        <v>0</v>
      </c>
      <c r="H4324" s="22">
        <v>0</v>
      </c>
      <c r="I4324" s="22">
        <v>0</v>
      </c>
      <c r="J4324" s="22">
        <v>99.95</v>
      </c>
      <c r="K4324" s="22">
        <v>0</v>
      </c>
      <c r="L4324" s="22">
        <v>99.95</v>
      </c>
      <c r="M4324" s="10"/>
      <c r="N4324" s="67"/>
      <c r="O4324" s="11"/>
    </row>
    <row r="4325" spans="1:15" s="4" customFormat="1" x14ac:dyDescent="0.25">
      <c r="A4325" s="6"/>
      <c r="B4325" s="5"/>
      <c r="C4325" s="5"/>
      <c r="D4325" s="5" t="s">
        <v>535</v>
      </c>
      <c r="E4325" s="5" t="s">
        <v>536</v>
      </c>
      <c r="F4325" s="5" t="s">
        <v>560</v>
      </c>
      <c r="G4325" s="14">
        <f t="shared" ref="G4325:L4325" si="1061">SUBTOTAL(9,G4322:G4324)</f>
        <v>832.95</v>
      </c>
      <c r="H4325" s="14">
        <f t="shared" si="1061"/>
        <v>0</v>
      </c>
      <c r="I4325" s="14">
        <f t="shared" si="1061"/>
        <v>5.22</v>
      </c>
      <c r="J4325" s="14">
        <f t="shared" si="1061"/>
        <v>99.95</v>
      </c>
      <c r="K4325" s="14">
        <f t="shared" si="1061"/>
        <v>-16.760000000000002</v>
      </c>
      <c r="L4325" s="14">
        <f t="shared" si="1061"/>
        <v>921.36</v>
      </c>
      <c r="M4325" s="10">
        <v>3134</v>
      </c>
      <c r="N4325" s="67"/>
      <c r="O4325" s="11">
        <f>O4320+1</f>
        <v>1015</v>
      </c>
    </row>
    <row r="4326" spans="1:15" s="4" customFormat="1" x14ac:dyDescent="0.25">
      <c r="A4326" s="10"/>
      <c r="B4326"/>
      <c r="C4326"/>
      <c r="D4326"/>
      <c r="E4326"/>
      <c r="F4326"/>
      <c r="G4326" s="21"/>
      <c r="H4326" s="21"/>
      <c r="I4326" s="21"/>
      <c r="J4326" s="21"/>
      <c r="K4326" s="21"/>
      <c r="L4326" s="21"/>
      <c r="M4326" s="10"/>
      <c r="N4326" s="67"/>
      <c r="O4326" s="11"/>
    </row>
    <row r="4327" spans="1:15" x14ac:dyDescent="0.25">
      <c r="A4327" s="6">
        <v>2197</v>
      </c>
      <c r="B4327" s="5" t="s">
        <v>18</v>
      </c>
      <c r="C4327" s="5" t="s">
        <v>17</v>
      </c>
      <c r="D4327" s="5" t="s">
        <v>535</v>
      </c>
      <c r="E4327" s="5" t="s">
        <v>536</v>
      </c>
      <c r="F4327" s="5" t="s">
        <v>19</v>
      </c>
      <c r="G4327" s="22">
        <v>11.03</v>
      </c>
      <c r="H4327" s="22">
        <v>0</v>
      </c>
      <c r="I4327" s="22">
        <v>0</v>
      </c>
      <c r="J4327" s="22">
        <v>0</v>
      </c>
      <c r="K4327" s="22">
        <v>-9.7899999999999991</v>
      </c>
      <c r="L4327" s="22">
        <v>1.24</v>
      </c>
      <c r="M4327" s="10"/>
      <c r="O4327" s="11"/>
    </row>
    <row r="4328" spans="1:15" x14ac:dyDescent="0.25">
      <c r="A4328" s="6">
        <v>2198</v>
      </c>
      <c r="B4328" s="5" t="s">
        <v>18</v>
      </c>
      <c r="C4328" s="5" t="s">
        <v>17</v>
      </c>
      <c r="D4328" s="5" t="s">
        <v>535</v>
      </c>
      <c r="E4328" s="5" t="s">
        <v>536</v>
      </c>
      <c r="F4328" s="5" t="s">
        <v>19</v>
      </c>
      <c r="G4328" s="22">
        <v>0</v>
      </c>
      <c r="H4328" s="22">
        <v>0</v>
      </c>
      <c r="I4328" s="22">
        <v>12.97</v>
      </c>
      <c r="J4328" s="22">
        <v>0</v>
      </c>
      <c r="K4328" s="22">
        <v>-1.53</v>
      </c>
      <c r="L4328" s="22">
        <v>11.44</v>
      </c>
      <c r="M4328" s="10"/>
      <c r="O4328" s="11"/>
    </row>
    <row r="4329" spans="1:15" s="4" customFormat="1" x14ac:dyDescent="0.25">
      <c r="A4329" s="6">
        <v>2199</v>
      </c>
      <c r="B4329" s="5" t="s">
        <v>18</v>
      </c>
      <c r="C4329" s="5" t="s">
        <v>17</v>
      </c>
      <c r="D4329" s="5" t="s">
        <v>535</v>
      </c>
      <c r="E4329" s="5" t="s">
        <v>536</v>
      </c>
      <c r="F4329" s="5" t="s">
        <v>19</v>
      </c>
      <c r="G4329" s="22">
        <v>0</v>
      </c>
      <c r="H4329" s="22">
        <v>0</v>
      </c>
      <c r="I4329" s="22">
        <v>84.66</v>
      </c>
      <c r="J4329" s="22">
        <v>0</v>
      </c>
      <c r="K4329" s="22">
        <v>-9.9600000000000009</v>
      </c>
      <c r="L4329" s="22">
        <v>74.7</v>
      </c>
      <c r="M4329" s="10"/>
      <c r="N4329" s="67"/>
      <c r="O4329" s="11"/>
    </row>
    <row r="4330" spans="1:15" s="4" customFormat="1" x14ac:dyDescent="0.25">
      <c r="A4330" s="6"/>
      <c r="B4330" s="5"/>
      <c r="C4330" s="5"/>
      <c r="D4330" s="5" t="s">
        <v>535</v>
      </c>
      <c r="E4330" s="5" t="s">
        <v>536</v>
      </c>
      <c r="F4330" s="5" t="s">
        <v>19</v>
      </c>
      <c r="G4330" s="14">
        <f t="shared" ref="G4330:L4330" si="1062">SUBTOTAL(9,G4327:G4329)</f>
        <v>11.03</v>
      </c>
      <c r="H4330" s="14">
        <f t="shared" si="1062"/>
        <v>0</v>
      </c>
      <c r="I4330" s="14">
        <f t="shared" si="1062"/>
        <v>97.63</v>
      </c>
      <c r="J4330" s="14">
        <f t="shared" si="1062"/>
        <v>0</v>
      </c>
      <c r="K4330" s="14">
        <f t="shared" si="1062"/>
        <v>-21.28</v>
      </c>
      <c r="L4330" s="14">
        <f t="shared" si="1062"/>
        <v>87.38</v>
      </c>
      <c r="M4330" s="10">
        <v>3135</v>
      </c>
      <c r="N4330" s="69"/>
      <c r="O4330" s="11">
        <f>O4325+1</f>
        <v>1016</v>
      </c>
    </row>
    <row r="4331" spans="1:15" s="4" customFormat="1" x14ac:dyDescent="0.25">
      <c r="A4331" s="10"/>
      <c r="B4331"/>
      <c r="C4331"/>
      <c r="D4331"/>
      <c r="E4331"/>
      <c r="F4331"/>
      <c r="G4331" s="21"/>
      <c r="H4331" s="21"/>
      <c r="I4331" s="21"/>
      <c r="J4331" s="21"/>
      <c r="K4331" s="21"/>
      <c r="L4331" s="21"/>
      <c r="M4331" s="10"/>
      <c r="N4331" s="67"/>
      <c r="O4331" s="11"/>
    </row>
    <row r="4332" spans="1:15" x14ac:dyDescent="0.25">
      <c r="A4332" s="6">
        <v>2200</v>
      </c>
      <c r="B4332" s="5" t="s">
        <v>550</v>
      </c>
      <c r="C4332" s="5" t="s">
        <v>13</v>
      </c>
      <c r="D4332" s="5" t="s">
        <v>535</v>
      </c>
      <c r="E4332" s="5" t="s">
        <v>536</v>
      </c>
      <c r="F4332" s="5" t="s">
        <v>551</v>
      </c>
      <c r="G4332" s="22">
        <v>0</v>
      </c>
      <c r="H4332" s="22">
        <v>0</v>
      </c>
      <c r="I4332" s="22">
        <v>0</v>
      </c>
      <c r="J4332" s="22">
        <v>15474.35</v>
      </c>
      <c r="K4332" s="22">
        <v>0</v>
      </c>
      <c r="L4332" s="22">
        <v>15474.35</v>
      </c>
      <c r="M4332" s="10"/>
      <c r="O4332" s="11"/>
    </row>
    <row r="4333" spans="1:15" x14ac:dyDescent="0.25">
      <c r="A4333" s="6">
        <v>2201</v>
      </c>
      <c r="B4333" s="5" t="s">
        <v>550</v>
      </c>
      <c r="C4333" s="5" t="s">
        <v>13</v>
      </c>
      <c r="D4333" s="5" t="s">
        <v>535</v>
      </c>
      <c r="E4333" s="5" t="s">
        <v>536</v>
      </c>
      <c r="F4333" s="5" t="s">
        <v>551</v>
      </c>
      <c r="G4333" s="22">
        <v>0</v>
      </c>
      <c r="H4333" s="22">
        <v>0</v>
      </c>
      <c r="I4333" s="22">
        <v>0</v>
      </c>
      <c r="J4333" s="22">
        <v>40.159999999999997</v>
      </c>
      <c r="K4333" s="22">
        <v>0</v>
      </c>
      <c r="L4333" s="22">
        <v>40.159999999999997</v>
      </c>
      <c r="M4333" s="10"/>
      <c r="O4333" s="11"/>
    </row>
    <row r="4334" spans="1:15" s="4" customFormat="1" x14ac:dyDescent="0.25">
      <c r="A4334" s="6">
        <v>2202</v>
      </c>
      <c r="B4334" s="5" t="s">
        <v>550</v>
      </c>
      <c r="C4334" s="5" t="s">
        <v>17</v>
      </c>
      <c r="D4334" s="5" t="s">
        <v>535</v>
      </c>
      <c r="E4334" s="5" t="s">
        <v>536</v>
      </c>
      <c r="F4334" s="5" t="s">
        <v>551</v>
      </c>
      <c r="G4334" s="22">
        <v>128952.91</v>
      </c>
      <c r="H4334" s="22">
        <v>0</v>
      </c>
      <c r="I4334" s="22">
        <v>0</v>
      </c>
      <c r="J4334" s="22">
        <v>0</v>
      </c>
      <c r="K4334" s="22">
        <v>-2579.06</v>
      </c>
      <c r="L4334" s="22">
        <v>126373.85</v>
      </c>
      <c r="M4334" s="10"/>
      <c r="N4334" s="67"/>
      <c r="O4334" s="11"/>
    </row>
    <row r="4335" spans="1:15" s="4" customFormat="1" x14ac:dyDescent="0.25">
      <c r="A4335" s="6">
        <v>2203</v>
      </c>
      <c r="B4335" s="5" t="s">
        <v>550</v>
      </c>
      <c r="C4335" s="5" t="s">
        <v>17</v>
      </c>
      <c r="D4335" s="5" t="s">
        <v>535</v>
      </c>
      <c r="E4335" s="5" t="s">
        <v>536</v>
      </c>
      <c r="F4335" s="5" t="s">
        <v>551</v>
      </c>
      <c r="G4335" s="22">
        <v>0</v>
      </c>
      <c r="H4335" s="22">
        <v>0</v>
      </c>
      <c r="I4335" s="22">
        <v>116992.66</v>
      </c>
      <c r="J4335" s="22">
        <v>0</v>
      </c>
      <c r="K4335" s="22">
        <v>-2339.85</v>
      </c>
      <c r="L4335" s="22">
        <v>114652.81</v>
      </c>
      <c r="M4335" s="10"/>
      <c r="N4335" s="67"/>
      <c r="O4335" s="11"/>
    </row>
    <row r="4336" spans="1:15" x14ac:dyDescent="0.25">
      <c r="A4336" s="6">
        <v>2204</v>
      </c>
      <c r="B4336" s="5" t="s">
        <v>550</v>
      </c>
      <c r="C4336" s="5" t="s">
        <v>17</v>
      </c>
      <c r="D4336" s="5" t="s">
        <v>535</v>
      </c>
      <c r="E4336" s="5" t="s">
        <v>536</v>
      </c>
      <c r="F4336" s="5" t="s">
        <v>551</v>
      </c>
      <c r="G4336" s="22">
        <v>334.7</v>
      </c>
      <c r="H4336" s="22">
        <v>0</v>
      </c>
      <c r="I4336" s="22">
        <v>0</v>
      </c>
      <c r="J4336" s="22">
        <v>0</v>
      </c>
      <c r="K4336" s="22">
        <v>-6.69</v>
      </c>
      <c r="L4336" s="22">
        <v>328.01</v>
      </c>
      <c r="M4336" s="10"/>
      <c r="O4336" s="11"/>
    </row>
    <row r="4337" spans="1:15" x14ac:dyDescent="0.25">
      <c r="A4337" s="6">
        <v>2205</v>
      </c>
      <c r="B4337" s="5" t="s">
        <v>550</v>
      </c>
      <c r="C4337" s="5" t="s">
        <v>17</v>
      </c>
      <c r="D4337" s="5" t="s">
        <v>535</v>
      </c>
      <c r="E4337" s="5" t="s">
        <v>536</v>
      </c>
      <c r="F4337" s="5" t="s">
        <v>551</v>
      </c>
      <c r="G4337" s="22">
        <v>0</v>
      </c>
      <c r="H4337" s="22">
        <v>0</v>
      </c>
      <c r="I4337" s="22">
        <v>87083.21</v>
      </c>
      <c r="J4337" s="22">
        <v>0</v>
      </c>
      <c r="K4337" s="22">
        <v>-1741.66</v>
      </c>
      <c r="L4337" s="22">
        <v>85341.55</v>
      </c>
      <c r="M4337" s="10"/>
      <c r="O4337" s="11"/>
    </row>
    <row r="4338" spans="1:15" s="4" customFormat="1" x14ac:dyDescent="0.25">
      <c r="A4338" s="6"/>
      <c r="B4338" s="5"/>
      <c r="C4338" s="5"/>
      <c r="D4338" s="5" t="s">
        <v>535</v>
      </c>
      <c r="E4338" s="5" t="s">
        <v>536</v>
      </c>
      <c r="F4338" s="5" t="s">
        <v>551</v>
      </c>
      <c r="G4338" s="14">
        <f t="shared" ref="G4338:L4338" si="1063">SUBTOTAL(9,G4332:G4337)</f>
        <v>129287.61</v>
      </c>
      <c r="H4338" s="14">
        <f t="shared" si="1063"/>
        <v>0</v>
      </c>
      <c r="I4338" s="14">
        <f t="shared" si="1063"/>
        <v>204075.87</v>
      </c>
      <c r="J4338" s="14">
        <f t="shared" si="1063"/>
        <v>15514.51</v>
      </c>
      <c r="K4338" s="14">
        <f t="shared" si="1063"/>
        <v>-6667.2599999999993</v>
      </c>
      <c r="L4338" s="14">
        <f t="shared" si="1063"/>
        <v>342210.73000000004</v>
      </c>
      <c r="M4338" s="10">
        <v>3136</v>
      </c>
      <c r="N4338" s="69"/>
      <c r="O4338" s="11">
        <f>O4330+1</f>
        <v>1017</v>
      </c>
    </row>
    <row r="4339" spans="1:15" x14ac:dyDescent="0.25">
      <c r="A4339" s="10"/>
      <c r="G4339" s="21"/>
      <c r="H4339" s="21"/>
      <c r="I4339" s="21"/>
      <c r="J4339" s="21"/>
      <c r="K4339" s="21"/>
      <c r="L4339" s="21"/>
      <c r="M4339" s="10"/>
      <c r="O4339" s="11"/>
    </row>
    <row r="4340" spans="1:15" x14ac:dyDescent="0.25">
      <c r="A4340" s="6">
        <v>2206</v>
      </c>
      <c r="B4340" s="5" t="s">
        <v>550</v>
      </c>
      <c r="C4340" s="5" t="s">
        <v>13</v>
      </c>
      <c r="D4340" s="5" t="s">
        <v>535</v>
      </c>
      <c r="E4340" s="5" t="s">
        <v>536</v>
      </c>
      <c r="F4340" s="5" t="s">
        <v>552</v>
      </c>
      <c r="G4340" s="22">
        <v>0</v>
      </c>
      <c r="H4340" s="22">
        <v>0</v>
      </c>
      <c r="I4340" s="22">
        <v>0</v>
      </c>
      <c r="J4340" s="22">
        <v>1.1100000000000001</v>
      </c>
      <c r="K4340" s="22">
        <v>0</v>
      </c>
      <c r="L4340" s="22">
        <v>1.1100000000000001</v>
      </c>
      <c r="M4340" s="10"/>
      <c r="O4340" s="11"/>
    </row>
    <row r="4341" spans="1:15" s="4" customFormat="1" x14ac:dyDescent="0.25">
      <c r="A4341" s="6">
        <v>2207</v>
      </c>
      <c r="B4341" s="5" t="s">
        <v>550</v>
      </c>
      <c r="C4341" s="5" t="s">
        <v>13</v>
      </c>
      <c r="D4341" s="5" t="s">
        <v>535</v>
      </c>
      <c r="E4341" s="5" t="s">
        <v>536</v>
      </c>
      <c r="F4341" s="5" t="s">
        <v>552</v>
      </c>
      <c r="G4341" s="22">
        <v>0</v>
      </c>
      <c r="H4341" s="22">
        <v>0</v>
      </c>
      <c r="I4341" s="22">
        <v>0</v>
      </c>
      <c r="J4341" s="22">
        <v>0</v>
      </c>
      <c r="K4341" s="22">
        <v>0</v>
      </c>
      <c r="L4341" s="22">
        <v>0</v>
      </c>
      <c r="M4341" s="10"/>
      <c r="N4341" s="67"/>
      <c r="O4341" s="11"/>
    </row>
    <row r="4342" spans="1:15" x14ac:dyDescent="0.25">
      <c r="A4342" s="6">
        <v>2208</v>
      </c>
      <c r="B4342" s="5" t="s">
        <v>550</v>
      </c>
      <c r="C4342" s="5" t="s">
        <v>17</v>
      </c>
      <c r="D4342" s="5" t="s">
        <v>535</v>
      </c>
      <c r="E4342" s="5" t="s">
        <v>536</v>
      </c>
      <c r="F4342" s="5" t="s">
        <v>552</v>
      </c>
      <c r="G4342" s="22">
        <v>9.2799999999999994</v>
      </c>
      <c r="H4342" s="22">
        <v>0</v>
      </c>
      <c r="I4342" s="22">
        <v>0</v>
      </c>
      <c r="J4342" s="22">
        <v>0</v>
      </c>
      <c r="K4342" s="22">
        <v>-0.19</v>
      </c>
      <c r="L4342" s="22">
        <v>9.09</v>
      </c>
      <c r="M4342" s="10"/>
      <c r="O4342" s="11"/>
    </row>
    <row r="4343" spans="1:15" x14ac:dyDescent="0.25">
      <c r="A4343" s="6">
        <v>2209</v>
      </c>
      <c r="B4343" s="5" t="s">
        <v>550</v>
      </c>
      <c r="C4343" s="5" t="s">
        <v>17</v>
      </c>
      <c r="D4343" s="5" t="s">
        <v>535</v>
      </c>
      <c r="E4343" s="5" t="s">
        <v>536</v>
      </c>
      <c r="F4343" s="5" t="s">
        <v>552</v>
      </c>
      <c r="G4343" s="22">
        <v>0</v>
      </c>
      <c r="H4343" s="22">
        <v>0</v>
      </c>
      <c r="I4343" s="22">
        <v>8.42</v>
      </c>
      <c r="J4343" s="22">
        <v>0</v>
      </c>
      <c r="K4343" s="22">
        <v>-0.17</v>
      </c>
      <c r="L4343" s="22">
        <v>8.25</v>
      </c>
      <c r="M4343" s="10"/>
      <c r="O4343" s="11"/>
    </row>
    <row r="4344" spans="1:15" s="4" customFormat="1" x14ac:dyDescent="0.25">
      <c r="A4344" s="6">
        <v>2210</v>
      </c>
      <c r="B4344" s="5" t="s">
        <v>550</v>
      </c>
      <c r="C4344" s="5" t="s">
        <v>17</v>
      </c>
      <c r="D4344" s="5" t="s">
        <v>535</v>
      </c>
      <c r="E4344" s="5" t="s">
        <v>536</v>
      </c>
      <c r="F4344" s="5" t="s">
        <v>552</v>
      </c>
      <c r="G4344" s="22">
        <v>0.02</v>
      </c>
      <c r="H4344" s="22">
        <v>0</v>
      </c>
      <c r="I4344" s="22">
        <v>0</v>
      </c>
      <c r="J4344" s="22">
        <v>0</v>
      </c>
      <c r="K4344" s="22">
        <v>0</v>
      </c>
      <c r="L4344" s="22">
        <v>0.02</v>
      </c>
      <c r="M4344" s="10"/>
      <c r="N4344" s="67"/>
      <c r="O4344" s="11"/>
    </row>
    <row r="4345" spans="1:15" s="4" customFormat="1" x14ac:dyDescent="0.25">
      <c r="A4345" s="6">
        <v>2211</v>
      </c>
      <c r="B4345" s="5" t="s">
        <v>550</v>
      </c>
      <c r="C4345" s="5" t="s">
        <v>17</v>
      </c>
      <c r="D4345" s="5" t="s">
        <v>535</v>
      </c>
      <c r="E4345" s="5" t="s">
        <v>536</v>
      </c>
      <c r="F4345" s="5" t="s">
        <v>552</v>
      </c>
      <c r="G4345" s="22">
        <v>0</v>
      </c>
      <c r="H4345" s="22">
        <v>0</v>
      </c>
      <c r="I4345" s="22">
        <v>6.26</v>
      </c>
      <c r="J4345" s="22">
        <v>0</v>
      </c>
      <c r="K4345" s="22">
        <v>-0.13</v>
      </c>
      <c r="L4345" s="22">
        <v>6.13</v>
      </c>
      <c r="M4345" s="10"/>
      <c r="N4345" s="67"/>
      <c r="O4345" s="11"/>
    </row>
    <row r="4346" spans="1:15" x14ac:dyDescent="0.25">
      <c r="A4346" s="6"/>
      <c r="B4346" s="5"/>
      <c r="C4346" s="5"/>
      <c r="D4346" s="5" t="s">
        <v>535</v>
      </c>
      <c r="E4346" s="5" t="s">
        <v>536</v>
      </c>
      <c r="F4346" s="5" t="s">
        <v>552</v>
      </c>
      <c r="G4346" s="14">
        <f t="shared" ref="G4346:L4346" si="1064">SUBTOTAL(9,G4340:G4345)</f>
        <v>9.2999999999999989</v>
      </c>
      <c r="H4346" s="14">
        <f t="shared" si="1064"/>
        <v>0</v>
      </c>
      <c r="I4346" s="14">
        <f t="shared" si="1064"/>
        <v>14.68</v>
      </c>
      <c r="J4346" s="14">
        <f t="shared" si="1064"/>
        <v>1.1100000000000001</v>
      </c>
      <c r="K4346" s="14">
        <f t="shared" si="1064"/>
        <v>-0.49</v>
      </c>
      <c r="L4346" s="14">
        <f t="shared" si="1064"/>
        <v>24.599999999999998</v>
      </c>
      <c r="M4346" s="10">
        <v>3137</v>
      </c>
      <c r="N4346" s="69"/>
      <c r="O4346" s="11">
        <f>O4338+1</f>
        <v>1018</v>
      </c>
    </row>
    <row r="4347" spans="1:15" x14ac:dyDescent="0.25">
      <c r="A4347" s="10"/>
      <c r="G4347" s="21"/>
      <c r="H4347" s="21"/>
      <c r="I4347" s="21"/>
      <c r="J4347" s="21"/>
      <c r="K4347" s="21"/>
      <c r="L4347" s="21"/>
      <c r="M4347" s="10"/>
      <c r="O4347" s="11"/>
    </row>
    <row r="4348" spans="1:15" s="4" customFormat="1" x14ac:dyDescent="0.25">
      <c r="A4348" s="6">
        <v>2212</v>
      </c>
      <c r="B4348" s="5" t="s">
        <v>555</v>
      </c>
      <c r="C4348" s="5" t="s">
        <v>17</v>
      </c>
      <c r="D4348" s="5" t="s">
        <v>537</v>
      </c>
      <c r="E4348" s="5" t="s">
        <v>538</v>
      </c>
      <c r="F4348" s="5" t="s">
        <v>556</v>
      </c>
      <c r="G4348" s="22">
        <v>0.77</v>
      </c>
      <c r="H4348" s="22">
        <v>0</v>
      </c>
      <c r="I4348" s="22">
        <v>0</v>
      </c>
      <c r="J4348" s="22">
        <v>0</v>
      </c>
      <c r="K4348" s="22">
        <v>-0.02</v>
      </c>
      <c r="L4348" s="22">
        <v>0.75</v>
      </c>
      <c r="M4348" s="10"/>
      <c r="N4348" s="67"/>
      <c r="O4348" s="11"/>
    </row>
    <row r="4349" spans="1:15" s="4" customFormat="1" x14ac:dyDescent="0.25">
      <c r="A4349" s="6">
        <v>2213</v>
      </c>
      <c r="B4349" s="5" t="s">
        <v>555</v>
      </c>
      <c r="C4349" s="5" t="s">
        <v>13</v>
      </c>
      <c r="D4349" s="5" t="s">
        <v>537</v>
      </c>
      <c r="E4349" s="5" t="s">
        <v>538</v>
      </c>
      <c r="F4349" s="5" t="s">
        <v>556</v>
      </c>
      <c r="G4349" s="22">
        <v>0</v>
      </c>
      <c r="H4349" s="22">
        <v>0</v>
      </c>
      <c r="I4349" s="22">
        <v>0</v>
      </c>
      <c r="J4349" s="22">
        <v>0.09</v>
      </c>
      <c r="K4349" s="22">
        <v>0</v>
      </c>
      <c r="L4349" s="22">
        <v>0.09</v>
      </c>
      <c r="M4349" s="10"/>
      <c r="N4349" s="67"/>
      <c r="O4349" s="11"/>
    </row>
    <row r="4350" spans="1:15" x14ac:dyDescent="0.25">
      <c r="A4350" s="6"/>
      <c r="B4350" s="5"/>
      <c r="C4350" s="5"/>
      <c r="D4350" s="5" t="s">
        <v>537</v>
      </c>
      <c r="E4350" s="5" t="s">
        <v>538</v>
      </c>
      <c r="F4350" s="5" t="s">
        <v>671</v>
      </c>
      <c r="G4350" s="14">
        <f t="shared" ref="G4350:L4350" si="1065">SUBTOTAL(9,G4348:G4349)</f>
        <v>0.77</v>
      </c>
      <c r="H4350" s="14">
        <f t="shared" si="1065"/>
        <v>0</v>
      </c>
      <c r="I4350" s="14">
        <f t="shared" si="1065"/>
        <v>0</v>
      </c>
      <c r="J4350" s="14">
        <f t="shared" si="1065"/>
        <v>0.09</v>
      </c>
      <c r="K4350" s="14">
        <f t="shared" si="1065"/>
        <v>-0.02</v>
      </c>
      <c r="L4350" s="14">
        <f t="shared" si="1065"/>
        <v>0.84</v>
      </c>
      <c r="M4350" s="10">
        <v>3138</v>
      </c>
      <c r="O4350" s="11">
        <f>O4346+1</f>
        <v>1019</v>
      </c>
    </row>
    <row r="4351" spans="1:15" x14ac:dyDescent="0.25">
      <c r="A4351" s="10"/>
      <c r="G4351" s="21"/>
      <c r="H4351" s="21"/>
      <c r="I4351" s="21"/>
      <c r="J4351" s="21"/>
      <c r="K4351" s="21"/>
      <c r="L4351" s="21"/>
      <c r="M4351" s="10"/>
      <c r="O4351" s="11"/>
    </row>
    <row r="4352" spans="1:15" s="4" customFormat="1" x14ac:dyDescent="0.25">
      <c r="A4352" s="6">
        <v>2214</v>
      </c>
      <c r="B4352" s="5" t="s">
        <v>557</v>
      </c>
      <c r="C4352" s="5" t="s">
        <v>17</v>
      </c>
      <c r="D4352" s="5" t="s">
        <v>537</v>
      </c>
      <c r="E4352" s="5" t="s">
        <v>538</v>
      </c>
      <c r="F4352" s="5" t="s">
        <v>558</v>
      </c>
      <c r="G4352" s="22">
        <v>13.71</v>
      </c>
      <c r="H4352" s="22">
        <v>0</v>
      </c>
      <c r="I4352" s="22">
        <v>0</v>
      </c>
      <c r="J4352" s="22">
        <v>0</v>
      </c>
      <c r="K4352" s="22">
        <v>-0.27</v>
      </c>
      <c r="L4352" s="22">
        <v>13.44</v>
      </c>
      <c r="M4352" s="10"/>
      <c r="N4352" s="67"/>
      <c r="O4352" s="11"/>
    </row>
    <row r="4353" spans="1:15" x14ac:dyDescent="0.25">
      <c r="A4353" s="6">
        <v>2215</v>
      </c>
      <c r="B4353" s="5" t="s">
        <v>557</v>
      </c>
      <c r="C4353" s="5" t="s">
        <v>13</v>
      </c>
      <c r="D4353" s="5" t="s">
        <v>537</v>
      </c>
      <c r="E4353" s="5" t="s">
        <v>538</v>
      </c>
      <c r="F4353" s="5" t="s">
        <v>558</v>
      </c>
      <c r="G4353" s="22">
        <v>0</v>
      </c>
      <c r="H4353" s="22">
        <v>0</v>
      </c>
      <c r="I4353" s="22">
        <v>0</v>
      </c>
      <c r="J4353" s="22">
        <v>1.65</v>
      </c>
      <c r="K4353" s="22">
        <v>0</v>
      </c>
      <c r="L4353" s="22">
        <v>1.65</v>
      </c>
      <c r="M4353" s="10"/>
      <c r="O4353" s="11"/>
    </row>
    <row r="4354" spans="1:15" x14ac:dyDescent="0.25">
      <c r="A4354" s="6"/>
      <c r="B4354" s="5"/>
      <c r="C4354" s="5"/>
      <c r="D4354" s="5" t="s">
        <v>537</v>
      </c>
      <c r="E4354" s="5" t="s">
        <v>538</v>
      </c>
      <c r="F4354" s="5" t="s">
        <v>558</v>
      </c>
      <c r="G4354" s="14">
        <f t="shared" ref="G4354:L4354" si="1066">SUBTOTAL(9,G4352:G4353)</f>
        <v>13.71</v>
      </c>
      <c r="H4354" s="14">
        <f t="shared" si="1066"/>
        <v>0</v>
      </c>
      <c r="I4354" s="14">
        <f t="shared" si="1066"/>
        <v>0</v>
      </c>
      <c r="J4354" s="14">
        <f t="shared" si="1066"/>
        <v>1.65</v>
      </c>
      <c r="K4354" s="14">
        <f t="shared" si="1066"/>
        <v>-0.27</v>
      </c>
      <c r="L4354" s="14">
        <f t="shared" si="1066"/>
        <v>15.09</v>
      </c>
      <c r="M4354" s="10">
        <v>3139</v>
      </c>
      <c r="O4354" s="11">
        <f>O4350+1</f>
        <v>1020</v>
      </c>
    </row>
    <row r="4355" spans="1:15" s="4" customFormat="1" x14ac:dyDescent="0.25">
      <c r="A4355" s="10"/>
      <c r="B4355"/>
      <c r="C4355"/>
      <c r="D4355"/>
      <c r="E4355"/>
      <c r="F4355"/>
      <c r="G4355" s="21"/>
      <c r="H4355" s="21"/>
      <c r="I4355" s="21"/>
      <c r="J4355" s="21"/>
      <c r="K4355" s="21"/>
      <c r="L4355" s="21"/>
      <c r="M4355" s="10"/>
      <c r="N4355" s="67"/>
      <c r="O4355" s="11"/>
    </row>
    <row r="4356" spans="1:15" x14ac:dyDescent="0.25">
      <c r="A4356" s="6">
        <v>2216</v>
      </c>
      <c r="B4356" s="5" t="s">
        <v>18</v>
      </c>
      <c r="C4356" s="5" t="s">
        <v>17</v>
      </c>
      <c r="D4356" s="5" t="s">
        <v>537</v>
      </c>
      <c r="E4356" s="5" t="s">
        <v>538</v>
      </c>
      <c r="F4356" s="5" t="s">
        <v>19</v>
      </c>
      <c r="G4356" s="22">
        <v>0.2</v>
      </c>
      <c r="H4356" s="22">
        <v>0</v>
      </c>
      <c r="I4356" s="22">
        <v>0</v>
      </c>
      <c r="J4356" s="22">
        <v>0</v>
      </c>
      <c r="K4356" s="22">
        <v>-0.18</v>
      </c>
      <c r="L4356" s="22">
        <v>0.02</v>
      </c>
      <c r="M4356" s="10"/>
      <c r="O4356" s="11"/>
    </row>
    <row r="4357" spans="1:15" x14ac:dyDescent="0.25">
      <c r="A4357" s="6"/>
      <c r="B4357" s="5"/>
      <c r="C4357" s="5"/>
      <c r="D4357" s="5" t="s">
        <v>537</v>
      </c>
      <c r="E4357" s="5" t="s">
        <v>538</v>
      </c>
      <c r="F4357" s="5" t="s">
        <v>19</v>
      </c>
      <c r="G4357" s="14">
        <f t="shared" ref="G4357:L4357" si="1067">SUBTOTAL(9,G4356:G4356)</f>
        <v>0.2</v>
      </c>
      <c r="H4357" s="14">
        <f t="shared" si="1067"/>
        <v>0</v>
      </c>
      <c r="I4357" s="14">
        <f t="shared" si="1067"/>
        <v>0</v>
      </c>
      <c r="J4357" s="14">
        <f t="shared" si="1067"/>
        <v>0</v>
      </c>
      <c r="K4357" s="14">
        <f t="shared" si="1067"/>
        <v>-0.18</v>
      </c>
      <c r="L4357" s="14">
        <f t="shared" si="1067"/>
        <v>0.02</v>
      </c>
      <c r="M4357" s="10">
        <v>3140</v>
      </c>
      <c r="N4357" s="69"/>
      <c r="O4357" s="11">
        <f>O4354+1</f>
        <v>1021</v>
      </c>
    </row>
    <row r="4358" spans="1:15" s="4" customFormat="1" x14ac:dyDescent="0.25">
      <c r="A4358" s="10"/>
      <c r="B4358"/>
      <c r="C4358"/>
      <c r="D4358"/>
      <c r="E4358"/>
      <c r="F4358"/>
      <c r="G4358" s="21"/>
      <c r="H4358" s="21"/>
      <c r="I4358" s="21"/>
      <c r="J4358" s="21"/>
      <c r="K4358" s="21"/>
      <c r="L4358" s="21"/>
      <c r="M4358" s="10"/>
      <c r="N4358" s="67"/>
      <c r="O4358" s="11"/>
    </row>
    <row r="4359" spans="1:15" s="4" customFormat="1" x14ac:dyDescent="0.25">
      <c r="A4359" s="6">
        <v>2217</v>
      </c>
      <c r="B4359" s="5" t="s">
        <v>550</v>
      </c>
      <c r="C4359" s="5" t="s">
        <v>13</v>
      </c>
      <c r="D4359" s="5" t="s">
        <v>647</v>
      </c>
      <c r="E4359" s="5" t="s">
        <v>538</v>
      </c>
      <c r="F4359" s="5" t="s">
        <v>551</v>
      </c>
      <c r="G4359" s="22">
        <v>0</v>
      </c>
      <c r="H4359" s="22">
        <v>0</v>
      </c>
      <c r="I4359" s="22">
        <v>0</v>
      </c>
      <c r="J4359" s="22">
        <v>1.66</v>
      </c>
      <c r="K4359" s="22">
        <v>0</v>
      </c>
      <c r="L4359" s="22">
        <v>1.66</v>
      </c>
      <c r="M4359" s="10"/>
      <c r="N4359" s="67"/>
      <c r="O4359" s="11"/>
    </row>
    <row r="4360" spans="1:15" x14ac:dyDescent="0.25">
      <c r="A4360" s="6">
        <v>2218</v>
      </c>
      <c r="B4360" s="5" t="s">
        <v>550</v>
      </c>
      <c r="C4360" s="5" t="s">
        <v>13</v>
      </c>
      <c r="D4360" s="5" t="s">
        <v>647</v>
      </c>
      <c r="E4360" s="5" t="s">
        <v>538</v>
      </c>
      <c r="F4360" s="5" t="s">
        <v>551</v>
      </c>
      <c r="G4360" s="22">
        <v>0</v>
      </c>
      <c r="H4360" s="22">
        <v>0</v>
      </c>
      <c r="I4360" s="22">
        <v>0</v>
      </c>
      <c r="J4360" s="22">
        <v>1022.28</v>
      </c>
      <c r="K4360" s="22">
        <v>0</v>
      </c>
      <c r="L4360" s="22">
        <v>1022.28</v>
      </c>
      <c r="M4360" s="10"/>
      <c r="O4360" s="11"/>
    </row>
    <row r="4361" spans="1:15" x14ac:dyDescent="0.25">
      <c r="A4361" s="6">
        <v>2219</v>
      </c>
      <c r="B4361" s="5" t="s">
        <v>550</v>
      </c>
      <c r="C4361" s="5" t="s">
        <v>17</v>
      </c>
      <c r="D4361" s="5" t="s">
        <v>647</v>
      </c>
      <c r="E4361" s="5" t="s">
        <v>538</v>
      </c>
      <c r="F4361" s="5" t="s">
        <v>551</v>
      </c>
      <c r="G4361" s="22">
        <v>13.8</v>
      </c>
      <c r="H4361" s="22">
        <v>0</v>
      </c>
      <c r="I4361" s="22">
        <v>0</v>
      </c>
      <c r="J4361" s="22">
        <v>0</v>
      </c>
      <c r="K4361" s="22">
        <v>-0.28000000000000003</v>
      </c>
      <c r="L4361" s="22">
        <v>13.52</v>
      </c>
      <c r="M4361" s="10"/>
      <c r="O4361" s="11"/>
    </row>
    <row r="4362" spans="1:15" s="4" customFormat="1" x14ac:dyDescent="0.25">
      <c r="A4362" s="6">
        <v>2220</v>
      </c>
      <c r="B4362" s="5" t="s">
        <v>550</v>
      </c>
      <c r="C4362" s="5" t="s">
        <v>17</v>
      </c>
      <c r="D4362" s="5" t="s">
        <v>647</v>
      </c>
      <c r="E4362" s="5" t="s">
        <v>538</v>
      </c>
      <c r="F4362" s="5" t="s">
        <v>551</v>
      </c>
      <c r="G4362" s="22">
        <v>8519.0400000000009</v>
      </c>
      <c r="H4362" s="22">
        <v>0</v>
      </c>
      <c r="I4362" s="22">
        <v>0</v>
      </c>
      <c r="J4362" s="22">
        <v>0</v>
      </c>
      <c r="K4362" s="22">
        <v>-170.38</v>
      </c>
      <c r="L4362" s="22">
        <v>8348.66</v>
      </c>
      <c r="M4362" s="10"/>
      <c r="N4362" s="67"/>
      <c r="O4362" s="11"/>
    </row>
    <row r="4363" spans="1:15" s="4" customFormat="1" x14ac:dyDescent="0.25">
      <c r="A4363" s="6"/>
      <c r="B4363" s="5"/>
      <c r="C4363" s="55"/>
      <c r="D4363" s="55" t="s">
        <v>537</v>
      </c>
      <c r="E4363" s="55" t="s">
        <v>538</v>
      </c>
      <c r="F4363" s="55" t="s">
        <v>551</v>
      </c>
      <c r="G4363" s="14">
        <f t="shared" ref="G4363:L4363" si="1068">SUBTOTAL(9,G4359:G4362)</f>
        <v>8532.84</v>
      </c>
      <c r="H4363" s="14">
        <f t="shared" si="1068"/>
        <v>0</v>
      </c>
      <c r="I4363" s="14">
        <f t="shared" si="1068"/>
        <v>0</v>
      </c>
      <c r="J4363" s="14">
        <f t="shared" si="1068"/>
        <v>1023.9399999999999</v>
      </c>
      <c r="K4363" s="14">
        <f t="shared" si="1068"/>
        <v>-170.66</v>
      </c>
      <c r="L4363" s="14">
        <f t="shared" si="1068"/>
        <v>9386.119999999999</v>
      </c>
      <c r="M4363" s="10">
        <v>3141</v>
      </c>
      <c r="N4363" s="69"/>
      <c r="O4363" s="11">
        <f>O4357+1</f>
        <v>1022</v>
      </c>
    </row>
    <row r="4364" spans="1:15" x14ac:dyDescent="0.25">
      <c r="A4364" s="10"/>
      <c r="G4364" s="21"/>
      <c r="H4364" s="21"/>
      <c r="I4364" s="21"/>
      <c r="J4364" s="21"/>
      <c r="K4364" s="21"/>
      <c r="L4364" s="21"/>
      <c r="M4364" s="10"/>
      <c r="O4364" s="11"/>
    </row>
    <row r="4365" spans="1:15" x14ac:dyDescent="0.25">
      <c r="A4365" s="6">
        <v>2221</v>
      </c>
      <c r="B4365" s="5" t="s">
        <v>550</v>
      </c>
      <c r="C4365" s="5" t="s">
        <v>13</v>
      </c>
      <c r="D4365" s="5" t="s">
        <v>647</v>
      </c>
      <c r="E4365" s="5" t="s">
        <v>538</v>
      </c>
      <c r="F4365" s="5" t="s">
        <v>552</v>
      </c>
      <c r="G4365" s="22">
        <v>0</v>
      </c>
      <c r="H4365" s="22">
        <v>0</v>
      </c>
      <c r="I4365" s="22">
        <v>0</v>
      </c>
      <c r="J4365" s="22">
        <v>7.0000000000000007E-2</v>
      </c>
      <c r="K4365" s="22">
        <v>0</v>
      </c>
      <c r="L4365" s="22">
        <v>7.0000000000000007E-2</v>
      </c>
      <c r="M4365" s="10"/>
      <c r="O4365" s="11"/>
    </row>
    <row r="4366" spans="1:15" s="4" customFormat="1" x14ac:dyDescent="0.25">
      <c r="A4366" s="6">
        <v>2222</v>
      </c>
      <c r="B4366" s="5" t="s">
        <v>550</v>
      </c>
      <c r="C4366" s="5" t="s">
        <v>17</v>
      </c>
      <c r="D4366" s="5" t="s">
        <v>647</v>
      </c>
      <c r="E4366" s="5" t="s">
        <v>538</v>
      </c>
      <c r="F4366" s="5" t="s">
        <v>552</v>
      </c>
      <c r="G4366" s="22">
        <v>0.61</v>
      </c>
      <c r="H4366" s="22">
        <v>0</v>
      </c>
      <c r="I4366" s="22">
        <v>0</v>
      </c>
      <c r="J4366" s="22">
        <v>0</v>
      </c>
      <c r="K4366" s="22">
        <v>-0.01</v>
      </c>
      <c r="L4366" s="22">
        <v>0.6</v>
      </c>
      <c r="M4366" s="10"/>
      <c r="N4366" s="67"/>
      <c r="O4366" s="11"/>
    </row>
    <row r="4367" spans="1:15" x14ac:dyDescent="0.25">
      <c r="A4367" s="6"/>
      <c r="B4367" s="5"/>
      <c r="C4367" s="5"/>
      <c r="D4367" s="5" t="s">
        <v>537</v>
      </c>
      <c r="E4367" s="5" t="s">
        <v>538</v>
      </c>
      <c r="F4367" s="5" t="s">
        <v>552</v>
      </c>
      <c r="G4367" s="14">
        <f t="shared" ref="G4367:L4367" si="1069">SUBTOTAL(9,G4365:G4366)</f>
        <v>0.61</v>
      </c>
      <c r="H4367" s="14">
        <f t="shared" si="1069"/>
        <v>0</v>
      </c>
      <c r="I4367" s="14">
        <f t="shared" si="1069"/>
        <v>0</v>
      </c>
      <c r="J4367" s="14">
        <f t="shared" si="1069"/>
        <v>7.0000000000000007E-2</v>
      </c>
      <c r="K4367" s="14">
        <f t="shared" si="1069"/>
        <v>-0.01</v>
      </c>
      <c r="L4367" s="14">
        <f t="shared" si="1069"/>
        <v>0.66999999999999993</v>
      </c>
      <c r="M4367" s="10">
        <v>3142</v>
      </c>
      <c r="N4367" s="69"/>
      <c r="O4367" s="11">
        <f>O4363+1</f>
        <v>1023</v>
      </c>
    </row>
    <row r="4368" spans="1:15" x14ac:dyDescent="0.25">
      <c r="A4368" s="10"/>
      <c r="G4368" s="21"/>
      <c r="H4368" s="21"/>
      <c r="I4368" s="21"/>
      <c r="J4368" s="21"/>
      <c r="K4368" s="21"/>
      <c r="L4368" s="21"/>
      <c r="M4368" s="10"/>
      <c r="O4368" s="11"/>
    </row>
    <row r="4369" spans="1:15" s="4" customFormat="1" x14ac:dyDescent="0.25">
      <c r="A4369" s="6">
        <v>2223</v>
      </c>
      <c r="B4369" s="5" t="s">
        <v>550</v>
      </c>
      <c r="C4369" s="5" t="s">
        <v>17</v>
      </c>
      <c r="D4369" s="5" t="s">
        <v>648</v>
      </c>
      <c r="E4369" s="5" t="s">
        <v>540</v>
      </c>
      <c r="F4369" s="5" t="s">
        <v>551</v>
      </c>
      <c r="G4369" s="22">
        <v>0</v>
      </c>
      <c r="H4369" s="22">
        <v>0</v>
      </c>
      <c r="I4369" s="22">
        <v>5.23</v>
      </c>
      <c r="J4369" s="22">
        <v>0</v>
      </c>
      <c r="K4369" s="22">
        <v>-0.1</v>
      </c>
      <c r="L4369" s="22">
        <v>5.13</v>
      </c>
      <c r="M4369" s="10"/>
      <c r="N4369" s="67"/>
      <c r="O4369" s="11"/>
    </row>
    <row r="4370" spans="1:15" s="4" customFormat="1" x14ac:dyDescent="0.25">
      <c r="A4370" s="6"/>
      <c r="B4370" s="5"/>
      <c r="C4370" s="5"/>
      <c r="D4370" s="5" t="s">
        <v>539</v>
      </c>
      <c r="E4370" s="5" t="s">
        <v>540</v>
      </c>
      <c r="F4370" s="5" t="s">
        <v>551</v>
      </c>
      <c r="G4370" s="14">
        <f t="shared" ref="G4370:L4370" si="1070">SUBTOTAL(9,G4369:G4369)</f>
        <v>0</v>
      </c>
      <c r="H4370" s="14">
        <f t="shared" si="1070"/>
        <v>0</v>
      </c>
      <c r="I4370" s="14">
        <f t="shared" si="1070"/>
        <v>5.23</v>
      </c>
      <c r="J4370" s="14">
        <f t="shared" si="1070"/>
        <v>0</v>
      </c>
      <c r="K4370" s="14">
        <f t="shared" si="1070"/>
        <v>-0.1</v>
      </c>
      <c r="L4370" s="14">
        <f t="shared" si="1070"/>
        <v>5.13</v>
      </c>
      <c r="M4370" s="10">
        <v>3143</v>
      </c>
      <c r="N4370" s="69"/>
      <c r="O4370" s="11">
        <f>O4367+1</f>
        <v>1024</v>
      </c>
    </row>
    <row r="4371" spans="1:15" x14ac:dyDescent="0.25">
      <c r="A4371" s="10"/>
      <c r="G4371" s="21"/>
      <c r="H4371" s="21"/>
      <c r="I4371" s="21"/>
      <c r="J4371" s="21"/>
      <c r="K4371" s="21"/>
      <c r="L4371" s="21"/>
      <c r="M4371" s="10"/>
      <c r="O4371" s="11"/>
    </row>
    <row r="4372" spans="1:15" x14ac:dyDescent="0.25">
      <c r="A4372" s="6">
        <v>2224</v>
      </c>
      <c r="B4372" s="5" t="s">
        <v>18</v>
      </c>
      <c r="C4372" s="5" t="s">
        <v>17</v>
      </c>
      <c r="D4372" s="5" t="s">
        <v>541</v>
      </c>
      <c r="E4372" s="5" t="s">
        <v>542</v>
      </c>
      <c r="F4372" s="5" t="s">
        <v>19</v>
      </c>
      <c r="G4372" s="22">
        <v>0</v>
      </c>
      <c r="H4372" s="22">
        <v>0</v>
      </c>
      <c r="I4372" s="22">
        <v>0.06</v>
      </c>
      <c r="J4372" s="22">
        <v>0</v>
      </c>
      <c r="K4372" s="22">
        <v>-0.01</v>
      </c>
      <c r="L4372" s="22">
        <v>0.05</v>
      </c>
      <c r="M4372" s="10"/>
      <c r="O4372" s="11"/>
    </row>
    <row r="4373" spans="1:15" s="4" customFormat="1" x14ac:dyDescent="0.25">
      <c r="A4373" s="6"/>
      <c r="B4373" s="5"/>
      <c r="C4373" s="5"/>
      <c r="D4373" s="5" t="s">
        <v>541</v>
      </c>
      <c r="E4373" s="5" t="s">
        <v>542</v>
      </c>
      <c r="F4373" s="5" t="s">
        <v>19</v>
      </c>
      <c r="G4373" s="14">
        <f t="shared" ref="G4373:L4373" si="1071">SUBTOTAL(9,G4372:G4372)</f>
        <v>0</v>
      </c>
      <c r="H4373" s="14">
        <f t="shared" si="1071"/>
        <v>0</v>
      </c>
      <c r="I4373" s="14">
        <f t="shared" si="1071"/>
        <v>0.06</v>
      </c>
      <c r="J4373" s="14">
        <f t="shared" si="1071"/>
        <v>0</v>
      </c>
      <c r="K4373" s="14">
        <f t="shared" si="1071"/>
        <v>-0.01</v>
      </c>
      <c r="L4373" s="14">
        <f t="shared" si="1071"/>
        <v>0.05</v>
      </c>
      <c r="M4373" s="10">
        <v>3144</v>
      </c>
      <c r="N4373" s="69"/>
      <c r="O4373" s="11">
        <f>O4370+1</f>
        <v>1025</v>
      </c>
    </row>
    <row r="4374" spans="1:15" x14ac:dyDescent="0.25">
      <c r="A4374" s="10"/>
      <c r="G4374" s="21"/>
      <c r="H4374" s="21"/>
      <c r="I4374" s="21"/>
      <c r="J4374" s="21"/>
      <c r="K4374" s="21"/>
      <c r="L4374" s="21"/>
      <c r="M4374" s="10"/>
      <c r="O4374" s="11"/>
    </row>
    <row r="4375" spans="1:15" x14ac:dyDescent="0.25">
      <c r="A4375" s="6">
        <v>2225</v>
      </c>
      <c r="B4375" s="5" t="s">
        <v>550</v>
      </c>
      <c r="C4375" s="5" t="s">
        <v>17</v>
      </c>
      <c r="D4375" s="5" t="s">
        <v>649</v>
      </c>
      <c r="E4375" s="5" t="s">
        <v>542</v>
      </c>
      <c r="F4375" s="5" t="s">
        <v>551</v>
      </c>
      <c r="G4375" s="22">
        <v>0</v>
      </c>
      <c r="H4375" s="22">
        <v>0</v>
      </c>
      <c r="I4375" s="22">
        <v>23.91</v>
      </c>
      <c r="J4375" s="22">
        <v>0</v>
      </c>
      <c r="K4375" s="22">
        <v>-0.48</v>
      </c>
      <c r="L4375" s="22">
        <v>23.43</v>
      </c>
      <c r="M4375" s="10"/>
      <c r="O4375" s="11"/>
    </row>
    <row r="4376" spans="1:15" s="4" customFormat="1" x14ac:dyDescent="0.25">
      <c r="A4376" s="6">
        <v>2226</v>
      </c>
      <c r="B4376" s="5" t="s">
        <v>550</v>
      </c>
      <c r="C4376" s="5" t="s">
        <v>17</v>
      </c>
      <c r="D4376" s="5" t="s">
        <v>649</v>
      </c>
      <c r="E4376" s="5" t="s">
        <v>542</v>
      </c>
      <c r="F4376" s="5" t="s">
        <v>551</v>
      </c>
      <c r="G4376" s="22">
        <v>0</v>
      </c>
      <c r="H4376" s="22">
        <v>0</v>
      </c>
      <c r="I4376" s="22">
        <v>15.82</v>
      </c>
      <c r="J4376" s="22">
        <v>0</v>
      </c>
      <c r="K4376" s="22">
        <v>-0.32</v>
      </c>
      <c r="L4376" s="22">
        <v>15.5</v>
      </c>
      <c r="M4376" s="10"/>
      <c r="N4376" s="67"/>
      <c r="O4376" s="11"/>
    </row>
    <row r="4377" spans="1:15" x14ac:dyDescent="0.25">
      <c r="A4377" s="6"/>
      <c r="B4377" s="5"/>
      <c r="C4377" s="5"/>
      <c r="D4377" s="5" t="s">
        <v>541</v>
      </c>
      <c r="E4377" s="5" t="s">
        <v>542</v>
      </c>
      <c r="F4377" s="5" t="s">
        <v>551</v>
      </c>
      <c r="G4377" s="14">
        <f t="shared" ref="G4377:L4377" si="1072">SUBTOTAL(9,G4375:G4376)</f>
        <v>0</v>
      </c>
      <c r="H4377" s="14">
        <f t="shared" si="1072"/>
        <v>0</v>
      </c>
      <c r="I4377" s="14">
        <f t="shared" si="1072"/>
        <v>39.730000000000004</v>
      </c>
      <c r="J4377" s="14">
        <f t="shared" si="1072"/>
        <v>0</v>
      </c>
      <c r="K4377" s="14">
        <f t="shared" si="1072"/>
        <v>-0.8</v>
      </c>
      <c r="L4377" s="14">
        <f t="shared" si="1072"/>
        <v>38.93</v>
      </c>
      <c r="M4377" s="10">
        <v>3145</v>
      </c>
      <c r="N4377" s="69"/>
      <c r="O4377" s="11">
        <f>O4373+1</f>
        <v>1026</v>
      </c>
    </row>
    <row r="4378" spans="1:15" x14ac:dyDescent="0.25">
      <c r="A4378" s="10"/>
      <c r="G4378" s="21"/>
      <c r="H4378" s="21"/>
      <c r="I4378" s="21"/>
      <c r="J4378" s="21"/>
      <c r="K4378" s="21"/>
      <c r="L4378" s="21"/>
      <c r="M4378" s="10"/>
      <c r="O4378" s="11"/>
    </row>
    <row r="4379" spans="1:15" s="4" customFormat="1" x14ac:dyDescent="0.25">
      <c r="A4379" s="6">
        <v>2227</v>
      </c>
      <c r="B4379" s="5" t="s">
        <v>18</v>
      </c>
      <c r="C4379" s="5" t="s">
        <v>17</v>
      </c>
      <c r="D4379" s="5" t="s">
        <v>543</v>
      </c>
      <c r="E4379" s="5" t="s">
        <v>544</v>
      </c>
      <c r="F4379" s="5" t="s">
        <v>19</v>
      </c>
      <c r="G4379" s="22">
        <v>0</v>
      </c>
      <c r="H4379" s="22">
        <v>0</v>
      </c>
      <c r="I4379" s="22">
        <v>0.08</v>
      </c>
      <c r="J4379" s="22">
        <v>0</v>
      </c>
      <c r="K4379" s="22">
        <v>-0.01</v>
      </c>
      <c r="L4379" s="22">
        <v>7.0000000000000007E-2</v>
      </c>
      <c r="M4379" s="10"/>
      <c r="N4379" s="67"/>
      <c r="O4379" s="11"/>
    </row>
    <row r="4380" spans="1:15" s="4" customFormat="1" x14ac:dyDescent="0.25">
      <c r="A4380" s="6"/>
      <c r="B4380" s="5"/>
      <c r="C4380" s="5"/>
      <c r="D4380" s="5" t="s">
        <v>543</v>
      </c>
      <c r="E4380" s="5" t="s">
        <v>544</v>
      </c>
      <c r="F4380" s="5" t="s">
        <v>19</v>
      </c>
      <c r="G4380" s="14">
        <f t="shared" ref="G4380:L4380" si="1073">SUBTOTAL(9,G4379:G4379)</f>
        <v>0</v>
      </c>
      <c r="H4380" s="14">
        <f t="shared" si="1073"/>
        <v>0</v>
      </c>
      <c r="I4380" s="14">
        <f t="shared" si="1073"/>
        <v>0.08</v>
      </c>
      <c r="J4380" s="14">
        <f t="shared" si="1073"/>
        <v>0</v>
      </c>
      <c r="K4380" s="14">
        <f t="shared" si="1073"/>
        <v>-0.01</v>
      </c>
      <c r="L4380" s="14">
        <f t="shared" si="1073"/>
        <v>7.0000000000000007E-2</v>
      </c>
      <c r="M4380" s="10">
        <v>3146</v>
      </c>
      <c r="N4380" s="69"/>
      <c r="O4380" s="11">
        <f>O4377+1</f>
        <v>1027</v>
      </c>
    </row>
    <row r="4381" spans="1:15" x14ac:dyDescent="0.25">
      <c r="A4381" s="10"/>
      <c r="G4381" s="21"/>
      <c r="H4381" s="21"/>
      <c r="I4381" s="21"/>
      <c r="J4381" s="21"/>
      <c r="K4381" s="21"/>
      <c r="L4381" s="21"/>
      <c r="M4381" s="10"/>
      <c r="O4381" s="11"/>
    </row>
    <row r="4382" spans="1:15" x14ac:dyDescent="0.25">
      <c r="A4382" s="6">
        <v>2228</v>
      </c>
      <c r="B4382" s="5" t="s">
        <v>550</v>
      </c>
      <c r="C4382" s="5" t="s">
        <v>17</v>
      </c>
      <c r="D4382" s="5" t="s">
        <v>650</v>
      </c>
      <c r="E4382" s="5" t="s">
        <v>544</v>
      </c>
      <c r="F4382" s="5" t="s">
        <v>551</v>
      </c>
      <c r="G4382" s="22">
        <v>0</v>
      </c>
      <c r="H4382" s="22">
        <v>0</v>
      </c>
      <c r="I4382" s="22">
        <v>52.28</v>
      </c>
      <c r="J4382" s="22">
        <v>0</v>
      </c>
      <c r="K4382" s="22">
        <v>-1.05</v>
      </c>
      <c r="L4382" s="22">
        <v>51.23</v>
      </c>
      <c r="M4382" s="10"/>
      <c r="O4382" s="11"/>
    </row>
    <row r="4383" spans="1:15" s="4" customFormat="1" x14ac:dyDescent="0.25">
      <c r="A4383" s="6">
        <v>2229</v>
      </c>
      <c r="B4383" s="5" t="s">
        <v>550</v>
      </c>
      <c r="C4383" s="5" t="s">
        <v>17</v>
      </c>
      <c r="D4383" s="5" t="s">
        <v>650</v>
      </c>
      <c r="E4383" s="5" t="s">
        <v>544</v>
      </c>
      <c r="F4383" s="5" t="s">
        <v>551</v>
      </c>
      <c r="G4383" s="22">
        <v>0</v>
      </c>
      <c r="H4383" s="22">
        <v>0</v>
      </c>
      <c r="I4383" s="22">
        <v>182.89</v>
      </c>
      <c r="J4383" s="22">
        <v>0</v>
      </c>
      <c r="K4383" s="22">
        <v>-3.66</v>
      </c>
      <c r="L4383" s="22">
        <v>179.23</v>
      </c>
      <c r="M4383" s="10"/>
      <c r="N4383" s="67"/>
      <c r="O4383" s="11"/>
    </row>
    <row r="4384" spans="1:15" x14ac:dyDescent="0.25">
      <c r="A4384" s="6"/>
      <c r="B4384" s="5"/>
      <c r="C4384" s="5"/>
      <c r="D4384" s="5" t="s">
        <v>543</v>
      </c>
      <c r="E4384" s="5" t="s">
        <v>544</v>
      </c>
      <c r="F4384" s="5" t="s">
        <v>551</v>
      </c>
      <c r="G4384" s="14">
        <f t="shared" ref="G4384:L4384" si="1074">SUBTOTAL(9,G4382:G4383)</f>
        <v>0</v>
      </c>
      <c r="H4384" s="14">
        <f t="shared" si="1074"/>
        <v>0</v>
      </c>
      <c r="I4384" s="14">
        <f t="shared" si="1074"/>
        <v>235.17</v>
      </c>
      <c r="J4384" s="14">
        <f t="shared" si="1074"/>
        <v>0</v>
      </c>
      <c r="K4384" s="14">
        <f t="shared" si="1074"/>
        <v>-4.71</v>
      </c>
      <c r="L4384" s="14">
        <f t="shared" si="1074"/>
        <v>230.45999999999998</v>
      </c>
      <c r="M4384" s="10">
        <v>3147</v>
      </c>
      <c r="N4384" s="69"/>
      <c r="O4384" s="11">
        <f>O4380+1</f>
        <v>1028</v>
      </c>
    </row>
    <row r="4385" spans="1:15" x14ac:dyDescent="0.25">
      <c r="A4385" s="10"/>
      <c r="G4385" s="21"/>
      <c r="H4385" s="21"/>
      <c r="I4385" s="21"/>
      <c r="J4385" s="21"/>
      <c r="K4385" s="21"/>
      <c r="L4385" s="21"/>
      <c r="M4385" s="10"/>
      <c r="O4385" s="11"/>
    </row>
    <row r="4386" spans="1:15" x14ac:dyDescent="0.25">
      <c r="A4386" s="6">
        <v>2230</v>
      </c>
      <c r="B4386" s="5" t="s">
        <v>550</v>
      </c>
      <c r="C4386" s="5" t="s">
        <v>17</v>
      </c>
      <c r="D4386" s="5" t="s">
        <v>650</v>
      </c>
      <c r="E4386" s="5" t="s">
        <v>544</v>
      </c>
      <c r="F4386" s="5" t="s">
        <v>552</v>
      </c>
      <c r="G4386" s="22">
        <v>0</v>
      </c>
      <c r="H4386" s="22">
        <v>0</v>
      </c>
      <c r="I4386" s="22">
        <v>0.01</v>
      </c>
      <c r="J4386" s="22">
        <v>0</v>
      </c>
      <c r="K4386" s="22">
        <v>0</v>
      </c>
      <c r="L4386" s="22">
        <v>0.01</v>
      </c>
      <c r="M4386" s="10"/>
      <c r="O4386" s="11"/>
    </row>
    <row r="4387" spans="1:15" x14ac:dyDescent="0.25">
      <c r="A4387" s="6"/>
      <c r="B4387" s="5"/>
      <c r="C4387" s="5"/>
      <c r="D4387" s="5" t="s">
        <v>543</v>
      </c>
      <c r="E4387" s="5" t="s">
        <v>544</v>
      </c>
      <c r="F4387" s="5" t="s">
        <v>552</v>
      </c>
      <c r="G4387" s="14">
        <f t="shared" ref="G4387:L4387" si="1075">SUBTOTAL(9,G4386:G4386)</f>
        <v>0</v>
      </c>
      <c r="H4387" s="14">
        <f t="shared" si="1075"/>
        <v>0</v>
      </c>
      <c r="I4387" s="14">
        <f t="shared" si="1075"/>
        <v>0.01</v>
      </c>
      <c r="J4387" s="14">
        <f t="shared" si="1075"/>
        <v>0</v>
      </c>
      <c r="K4387" s="14">
        <f t="shared" si="1075"/>
        <v>0</v>
      </c>
      <c r="L4387" s="14">
        <f t="shared" si="1075"/>
        <v>0.01</v>
      </c>
      <c r="M4387" s="10">
        <v>3148</v>
      </c>
      <c r="N4387" s="69"/>
      <c r="O4387" s="11">
        <f>O4384+1</f>
        <v>1029</v>
      </c>
    </row>
  </sheetData>
  <sortState ref="A6:O9">
    <sortCondition descending="1" ref="I6:I9"/>
  </sortState>
  <conditionalFormatting sqref="C7:C66 C68:C361 C363:C2794 C2796:C3442 C3444:C4387">
    <cfRule type="containsText" dxfId="998" priority="999" operator="containsText" text="defint">
      <formula>NOT(ISERROR(SEARCH("defint",C7)))</formula>
    </cfRule>
  </conditionalFormatting>
  <conditionalFormatting sqref="F7 F194:F196 N194:N195 F198:F199 F215:F216 F9:F11 F13:F15 F24:F26 F28:F30 F32:F34 F36:F37 F39:F43 F45:F49 F51:F52 F54:F56 F58:F60 F62:F63 F65:F66 F68:F70 F72:F74 F76:F79 F81:F84 F86:F88 F90:F92 F94:F100 F102:F108 F110:F111 F113:F115 F117:F119 F121:F123 F125:F127 F129:F131 F133:F134 F136:F140 F142:F146 F148:F149 F151:F152 F154:F155 F157:F158 F160:F162 F164:F165 F167:F169 F171:F173 F175:F177 F179:F180 F182:F184 F186:F188 F190:F192 N68:N191 F201:F203 F205:F206 F208:F209 F211:F213 N198:N212 F2559 F218:F220 F222:F224 F226:F228 F230:F232 F234:F235 F237:F243 F245:F247 N215:N251 F249:F255 N253:N255 F257:F260 F262:F266 F268:F270 F272:F273 F275:F276 F278:F279 F281:F282 F284:F286 F288:F290 F292:F293 F295:F297 F299:F301 F303:F304 F306:F307 F309:F310 F312:F314 F316:F318 F320:F322 F324:F331 F333:F344 F346:F354 F356:F361 N257:N361 F363:F364 F366:F367 F369:F371 F373:F375 F377:F379 F381:F383 F385:F386 F388:F390 F392:F394 F396:F397 F399:F401 N363:N400 F403:F404 F406:F407 F409:F410 F412:F413 F415:F416 F418:F419 F421:F422 F424:F431 F433:F440 F442:F444 F446:F448 F450:F452 F454:F456 F458:F460 F462:F463 F465:F466 F468:F469 F471:F473 F475:F480 F482:F484 F486:F488 F490:F492 F494:F496 F498:F500 F502:F504 F506:F508 F510:F512 F514:F516 F518:F520 F522:F523 F525:F526 F528:F529 F531:F533 F535:F537 F539:F540 F542:F544 F546:F551 F553:F555 F557:F561 F563:F565 F567:F568 F570:F571 F573:F574 F576:F580 F582:F584 F586:F588 F590:F592 F594:F595 F597:F599 F601:F603 F605:F607 F609:F611 F613:F615 F617:F618 F620:F622 F624:F626 F628:F630 F632:F633 F635:F637 F639:F641 F643:F644 F646:F647 F649:F651 F653:F655 F657:F659 F661:F663 F665:F666 F668:F670 F672:F674 F676:F677 F679:F681 F683:F685 F687:F691 F693:F695 F697:F698 F700:F702 F704:F706 F708:F710 F712:F713 F715:F716 N403:N719 F723:F725 F718:F721 N721 F727:F728 F730:F731 F733:F734 F736:F738 F740:F742 F744:F745 F747:F749 F751:F753 F755:F756 F758:F760 F762:F763 F765:F766 F768:F769 F771:F772 F774:F775 F777:F778 F780:F781 F783:F785 F787:F789 F791:F793 F795:F797 F799:F800 F802:F804 F806:F808 F810:F812 F814:F816 F818:F819 F821:F823 F825:F827 F829:F831 F833:F835 F837:F838 F840:F844 F846:F850 F852:F854 N723:N853 F856:F858 F860:F861 F863:F867 F869:F870 F872:F873 F875:F876 F878:F879 F881:F882 F884:F885 F887:F888 F890:F892 F894:F896 F898:F900 F902:F904 F906:F908 F910:F911 F913:F915 F917:F919 F921:F923 F925:F927 F929:F931 F933:F934 F936:F940 N856:N938 F942:F944 F946:F949 F951:F954 F956:F958 F960:F962 F964:F968 F970:F974 F976:F977 F979:F983 F985:F989 F991:F993 F995:F997 F999:F1001 F1003:F1005 F1007:F1012 F1014:F1019 F1021:F1023 F1025:F1026 F1028:F1030 F1032:F1034 F1036:F1037 F1039:F1041 F1043:F1045 F1047:F1049 F1051:F1053 F1055:F1057 F1059:F1061 F1063:F1067 F1069:F1073 F1075:F1076 F1078:F1079 F1081:F1082 F1084:F1085 F1087:F1088 F1090:F1091 F1093:F1094 F1096:F1098 F1100:F1102 F1104:F1105 F1107:F1108 F1110:F1112 F1114:F1116 F1118:F1119 F1121:F1122 F1124:F1126 F1128:F1130 F1132:F1134 F1136:F1138 F1140:F1142 F1144:F1147 F1149:F1152 F1154:F1156 F1158:F1159 N942:N1162 N1166:N1167 F1161:F1164 N1164 F1171:F1172 F1174:F1175 F1177:F1178 F1180:F1181 F1183:F1184 F1186:F1188 N1171:N1187 F1190:F1192 N1190:N1191 F1194:F1195 F1197:F1199 F1201:F1203 F1205:F1207 F1209:F1211 F1213:F1214 F1216:F1217 F1219:F1220 F1222:F1223 F1225:F1226 F1228:F1229 F1231:F1233 F1235:F1237 F1239:F1240 F1242:F1243 F1245:F1246 F1248:F1250 F1252:F1253 F1255:F1260 F1262:F1267 F1269:F1271 F1273:F1275 F1277:F1278 F1280:F1284 F1286:F1292 F1294:F1298 F1300:F1307 F1309:F1310 F1312:F1316 F1318:F1322 F1324:F1326 F1328:F1333 F1335:F1336 F1338:F1340 F1342:F1344 F1346:F1348 F1350:F1352 F1354:F1358 F1360:F1364 F1366:F1367 F1369:F1371 N1194:N1370 F1373:F1374 F1376:F1377 F1379:F1380 F1382:F1387 F1389:F1390 F1392:F1394 F1396:F1397 F1399:F1401 F1403:F1405 F1407:F1408 F1410:F1411 F1413:F1415 F1417:F1418 F1420:F1422 F1424:F1426 F1428:F1432 F1434:F1438 F1440:F1443 F1445:F1453 F1455:F1461 F1463:F1465 F1467:F1469 F1471:F1472 F1474:F1476 F1478:F1480 F1482:F1483 F1485:F1488 F1490:F1495 F1497:F1498 F1500:F1501 F1503:F1507 F1166:F1169 N1169 F1509:F1511 F1513:F1514 N1373:N1517 F1516:F1520 N1519:N1520 F1522:F1524 F1526:F1528 F1530:F1531 F1533:F1535 F1537:F1539 F1541:F1542 F1544:F1545 F1547:F1549 F1551:F1553 F1555:F1557 F1559:F1563 F1565:F1569 F1571:F1573 F1575:F1577 F1579:F1580 N1522:N1583 F1582:F1586 N1585:N1586 F1588:F1590 N1588:N1593 F1600:F1603 F1592:F1598 N1595:N1598 F1605:F1607 F1609:F1611 F1613:F1614 F1616:F1618 F1620:F1622 F1624:F1628 F1630:F1634 F1636:F1637 F1639:F1641 F1643:F1647 F1649:F1650 F1652:F1653 F1655:F1657 F1659:F1661 F1663:F1670 F1672:F1674 F1676:F1681 F1683:F1685 N1600:N1689 F1693:F1696 F1687:F1691 N1691 F1698:F1699 F1701:F1703 F1705:F1706 F1708:F1717 F1719:F1721 F1723:F1725 F1727:F1728 F1730:F1732 F1734:F1736 F1738:F1740 F1742:F1744 F1746:F1747 F1749:F1751 F1753:F1755 F1757:F1759 F1761:F1763 F1765:F1767 F1769:F1770 F1772:F1774 F1776:F1778 F1780:F1781 F1783:F1785 F1787:F1789 F1791:F1793 F1795:F1796 F1798:F1802 F1804:F1806 F1808:F1810 F1812:F1814 F1816:F1817 F1819:F1821 F1823:F1825 F1827:F1828 F1830:F1832 F1834:F1836 F1838:F1839 F1841:F1843 F1845:F1846 F1848:F1850 F1852:F1854 F1856:F1857 F1859:F1860 F1862:F1864 F1866:F1867 F1869:F1870 F1872:F1873 N1693:N1876 F1875:F1879 N1878:N1879 F1881:F1884 F1886:F1887 N1881:N1891 F1889:F1894 N1894 F1896:F1899 F1901:F1903 F1905:F1906 F1908:F1910 F1912:F1914 F1916:F1918 F1920:F1922 F1924:F1925 F1927:F1931 F1933:F1937 F1939:F1940 F1942:F1944 F1946:F1948 F1950:F1952 F1954:F1956 F1958:F1959 F1961:F1963 F1965:F1967 F1969:F1971 F1973:F1975 F1977:F1978 F1980:F1981 F1983:F1985 F1987:F1988 F1990:F1992 F1994:F1996 F1998:F2000 F2002:F2004 F2006:F2007 F2009:F2011 F2013:F2015 F2017:F2018 F2020:F2021 F2023:F2024 F2026:F2028 F2030:F2032 F2034:F2036 F2038:F2040 F2042:F2043 F2045:F2047 F2049:F2051 F2053:F2058 F2060:F2064 F2066:F2067 F2069:F2070 F2072:F2073 F2075:F2077 F2079:F2080 F2082:F2084 F2086:F2088 F2090:F2091 F2093:F2095 F2097:F2098 F2100:F2101 F2103:F2104 F2106:F2111 F2113:F2114 F2116:F2118 F2120:F2122 F2124:F2126 F2128:F2132 F2134:F2136 F2138:F2140 N1896:N2139 F2142:F2143 F2145:F2147 N2142:N2150 F2155:F2158 F2149:F2153 N2152:N2153 F2160:F2161 F2163:F2164 F2166:F2168 F2170:F2172 F2174:F2175 F2177:F2179 F2181:F2183 N2155:N2186 F2190:F2191 F2185:F2188 N2188 N2190:N2194 N2196 F2193:F2198 N2198 N2200:N2201 N2203 F2200:F2205 N2205 N2207:N2208 N2210 F2207:F2212 N2212 F2214:F2217 F2219:F2220 F2222:F2224 F2226:F2228 F2230:F2232 F2234:F2235 F2237:F2239 F2241:F2243 F2245:F2246 F2248:F2249 F2251:F2252 F2254:F2255 F2257:F2258 F2260:F2261 F2263:F2267 F2269:F2270 F2272:F2276 F2278:F2279 F2281:F2282 F2284:F2285 F2287:F2290 N2214:N2289 F2292:F2294 F2296:F2298 F2300:F2301 F2303:F2304 F2306:F2307 F2309:F2311 F2313:F2315 F2317:F2318 F2320:F2321 F2323:F2324 F2326:F2327 F2329:F2330 F2332:F2333 F2335:F2336 F2338:F2339 F2341:F2342 F2344:F2346 F2348:F2350 F2352:F2354 F2356:F2365 F2367:F2387 F2389:F2409 F2411:F2412 F2414:F2416 F2418:F2420 F2422:F2423 F2425:F2427 F2429:F2431 F2433:F2435 F2437:F2439 F2441:F2442 F2444:F2446 F2448:F2450 F2452:F2454 F2456:F2458 F2460:F2462 F2464:F2466 F2468:F2470 F2472:F2474 F2476:F2478 F2480:F2482 F2484:F2486 F2488:F2490 F2492:F2494 F2496:F2500 F2502:F2506 F2508:F2513 F2515:F2517 F2519:F2520 F2522:F2523 F2525:F2527 F2529:F2531 F2533:F2535 F2537:F2538 F2540:F2541 F2543:F2545 F2547:F2549 F2551:F2552 F2554:F2556 N2292:N2555 F2561:F2562 F2564:F2565 F2567:F2573 F2575:F2576 F2578:F2579 F2581:F2582 F2584:F2586 N2558:N2585 F2588:F2589 F2591:F2592 F2594:F2595 F2597:F2603 F2605:F2611 F2613:F2614 F2616:F2617 F2619:F2621 F2623:F2625 F2627:F2628 F2630:F2631 F2633:F2634 F2636:F2637 F2639:F2640 F2642:F2644 F2646:F2648 F2650:F2651 F2653:F2655 F2657:F2659 F2661:F2663 F2665:F2667 F2669:F2670 F2672:F2673 F2675:F2677 F2679:F2681 F2683:F2685 F2687:F2689 N2588:N2692 F2696:F2698 F2691:F2694 N2694 F2700:F2701 F2703:F2705 F2707:F2709 F2711:F2713 F2715:F2717 F2719:F2720 F2722:F2724 F2726:F2728 F2730:F2732 F2734:F2736 F2738:F2740 F2742:F2744 F2746:F2747 F2749:F2750 F2752:F2753 F2755:F2757 N2696:N2756 F2759:F2762 N2759:N2761 F2764:F2766 F2768:F2770 F2772:F2774 F2776:F2778 F2780:F2781 F2783:F2787 F2789:F2791 F2793:F2794 N2764:N2794 F2796:F2797 F2799:F2801 F2803:F2805 N2796:N2804 F2807:F2810 N2807:N2809 F2812:F2813 F2815:F2817 F2819:F2820 F2822:F2824 F2826:F2827 F2829:F2831 F2833:F2835 F2837:F2838 F2840:F2844 F2846:F2850 F2852:F2853 F2855:F2865 F2867:F2871 F2873:F2874 F2876:F2878 F2880:F2882 F2884:F2885 F2887:F2888 F2890:F2891 F2893:F2894 F2896:F2897 F2899:F2903 F2905:F2909 F2911:F2913 F2915:F2917 F2919:F2921 F2923:F2925 F2927:F2929 F2931:F2932 F2934:F2935 F2937:F2938 F2940:F2941 F2943:F2945 F2947:F2949 F2951:F2955 F2957:F2958 F2960:F2962 F2964:F2966 F2968:F2970 F2972:F2974 F2976:F2977 F2979:F2981 F2983:F2984 F2986:F2987 F2989:F2991 F2993:F2995 F2997:F2999 F3001:F3003 F3005:F3007 F3009:F3014 F3016:F3018 F3020:F3024 F3026:F3030 F3032:F3033 F3035:F3039 F3041:F3045 F3047:F3050 F3052:F3054 F3056:F3058 F3060:F3061 F3063:F3065 F3067:F3069 F3071:F3076 F3078:F3079 F3081:F3084 F3086:F3097 F3099:F3110 F3112:F3113 F3115:F3119 F3121:F3123 F3125:F3126 F3128:F3130 F3132:F3133 F3135:F3136 F3138:F3139 F3141:F3145 F3147:F3151 F3153:F3154 F3156:F3157 F3159:F3160 F3162:F3164 F3166:F3168 F3170:F3171 F3173:F3175 F3177:F3179 F3181:F3182 F3184:F3188 F3190:F3193 F3195:F3196 F3198:F3200 N2812:N3199 F3202:F3210 F3212:F3213 F3215:F3216 F3218:F3219 F3221:F3222 F3224:F3232 F3234:F3235 F3237:F3238 F3240:F3241 F3243:F3244 F3246:F3247 F3249:F3251 F3253:F3254 F3256:F3258 F3260:F3262 F3264:F3266 F3268:F3269 F3271:F3273 F3275:F3277 N3202:N3280 N3284:N3285 F3279:F3282 N3282 F3289:F3290 F3284:F3287 N3287 F3292:F3293 N3289:N3299 F3303:F3305 F3295:F3301 N3301 F3307:F3309 F3311:F3313 F3315:F3319 F3321:F3325 F3327:F3328 F3330:F3332 F3334:F3335 F3337:F3338 F3340:F3341 F3343:F3344 F3346:F3348 F3350:F3351 F3353:F3354 F3356:F3357 F3359:F3360 F3362:F3363 N3303:N3367 F3373:F3375 F3365:F3371 N3370:N3371 F3377:F3381 F3383:F3385 F3387:F3389 F3391:F3397 F3399:F3403 F3405:F3409 F3411:F3412 F3414:F3419 F3421:F3423 F3425:F3427 F3429:F3430 F3432:F3433 F3435:F3436 F3438:F3439 F3441:F3442 N3373:N3442 F3444:F3446 F3448:F3450 F3452:F3454 F3456:F3460 F3462:F3464 F3466:F3467 F3469:F3473 F3475:F3479 F3481:F3483 F3485:F3487 F3489:F3491 F3493:F3495 F3497:F3499 F3501:F3503 F3505:F3509 F3511:F3515 F3517:F3519 F3521:F3525 F3527:F3531 F3533:F3535 F3537:F3539 F3541:F3542 F3544:F3548 F3550:F3554 F3556:F3558 F3560:F3562 F3564:F3578 F3580:F3590 F3592:F3618 F3620:F3642 F3644:F3646 F3648:F3649 F3651:F3654 F3656:F3661 F3663:F3664 F3666:F3676 F3678:F3688 F3690:F3691 F3693:F3695 F3697:F3699 F3701:F3702 F3704:F3705 F3707:F3708 F3710:F3712 F3714:F3716 F3718:F3720 F3722:F3724 F3726:F3728 F3730:F3732 F3734:F3738 F3740:F3742 F3744:F3745 F3747:F3748 F3750:F3751 F3753:F3754 F3756:F3757 F3766:F3768 F3770:F3771 F3773:F3775 F3777:F3778 F3780:F3782 F3787:F3789 F3791:F3792 F3794:F3796 F3798:F3800 F3802:F3803 F3805:F3807 F3809:F3811 F3813:F3814 F3816:F3818 F3820:F3822 F3824:F3825 F3827:F3828 F3830:F3831 F3833:F3835 F3837:F3838 F3840:F3841 F3843:F3844 F3846:F3848 F3850:F3852 F3854:F3855 F3857:F3859 F3861:F3863 F3865:F3867 F3869:F3876 F3878:F3880 F3882:F3884 F3886:F3887 F3889:F3893 F3895:F3897 F3899:F3900 F3902:F3903 F3905:F3906 F3908:F3909 F3911:F3912 F3914:F3916 F3918:F3925 F3927:F3931 F3933:F3934 F3936:F3938 F3940:F3941 F3943:F3944 F3946:F3951 F3953:F3958 N3791:N3957 F3960:F3962 N3960:N3961 N3964:N3965 F3972:F3976 N3967 F3964:F3970 N3969:N3970 F3978:F3979 F3981:F3985 F3987:F3991 F3993:F3995 F3997:F3998 F4000:F4002 F4004:F4006 F4008:F4010 F4012:F4014 F4016:F4018 F4020:F4022 F4024:F4026 F4028:F4030 F4032:F4033 F4035:F4037 F4039:F4041 F4043:F4044 F4046:F4048 F4050:F4052 F4054:F4056 F4058:F4060 F4062:F4063 F4065:F4071 F4073:F4083 F4085:F4103 F4105:F4117 F4119:F4121 F4123:F4128 F4130:F4133 F4135:F4137 F4139:F4141 F4143:F4148 F4150:F4155 F4157:F4159 F4161:F4163 F4165:F4166 F4168:F4172 F4174:F4178 F4180:F4182 F4184:F4185 F4187:F4189 F4191:F4193 F4195:F4200 F3784:F3785 F4202:F4204 F4206:F4208 F4210:F4212 F4214:F4216 F4218:F4220 F4222:F4387 N3972:N4387 F17:F22 N7:N66 F3759:F3764 N3444:N3788">
    <cfRule type="containsText" dxfId="997" priority="998" operator="containsText" text="TOTAL">
      <formula>NOT(ISERROR(SEARCH("TOTAL",F7)))</formula>
    </cfRule>
  </conditionalFormatting>
  <conditionalFormatting sqref="F8">
    <cfRule type="containsText" dxfId="996" priority="997" operator="containsText" text="TOTAL">
      <formula>NOT(ISERROR(SEARCH("TOTAL",F8)))</formula>
    </cfRule>
  </conditionalFormatting>
  <conditionalFormatting sqref="F12">
    <cfRule type="containsText" dxfId="995" priority="996" operator="containsText" text="TOTAL">
      <formula>NOT(ISERROR(SEARCH("TOTAL",F12)))</formula>
    </cfRule>
  </conditionalFormatting>
  <conditionalFormatting sqref="F16">
    <cfRule type="containsText" dxfId="994" priority="995" operator="containsText" text="TOTAL">
      <formula>NOT(ISERROR(SEARCH("TOTAL",F16)))</formula>
    </cfRule>
  </conditionalFormatting>
  <conditionalFormatting sqref="F23">
    <cfRule type="containsText" dxfId="993" priority="994" operator="containsText" text="TOTAL">
      <formula>NOT(ISERROR(SEARCH("TOTAL",F23)))</formula>
    </cfRule>
  </conditionalFormatting>
  <conditionalFormatting sqref="F27">
    <cfRule type="containsText" dxfId="992" priority="993" operator="containsText" text="TOTAL">
      <formula>NOT(ISERROR(SEARCH("TOTAL",F27)))</formula>
    </cfRule>
  </conditionalFormatting>
  <conditionalFormatting sqref="F31">
    <cfRule type="containsText" dxfId="991" priority="992" operator="containsText" text="TOTAL">
      <formula>NOT(ISERROR(SEARCH("TOTAL",F31)))</formula>
    </cfRule>
  </conditionalFormatting>
  <conditionalFormatting sqref="F35">
    <cfRule type="containsText" dxfId="990" priority="991" operator="containsText" text="TOTAL">
      <formula>NOT(ISERROR(SEARCH("TOTAL",F35)))</formula>
    </cfRule>
  </conditionalFormatting>
  <conditionalFormatting sqref="F38">
    <cfRule type="containsText" dxfId="989" priority="990" operator="containsText" text="TOTAL">
      <formula>NOT(ISERROR(SEARCH("TOTAL",F38)))</formula>
    </cfRule>
  </conditionalFormatting>
  <conditionalFormatting sqref="F44">
    <cfRule type="containsText" dxfId="988" priority="989" operator="containsText" text="TOTAL">
      <formula>NOT(ISERROR(SEARCH("TOTAL",F44)))</formula>
    </cfRule>
  </conditionalFormatting>
  <conditionalFormatting sqref="F50">
    <cfRule type="containsText" dxfId="987" priority="988" operator="containsText" text="TOTAL">
      <formula>NOT(ISERROR(SEARCH("TOTAL",F50)))</formula>
    </cfRule>
  </conditionalFormatting>
  <conditionalFormatting sqref="F53">
    <cfRule type="containsText" dxfId="986" priority="987" operator="containsText" text="TOTAL">
      <formula>NOT(ISERROR(SEARCH("TOTAL",F53)))</formula>
    </cfRule>
  </conditionalFormatting>
  <conditionalFormatting sqref="F57">
    <cfRule type="containsText" dxfId="985" priority="986" operator="containsText" text="TOTAL">
      <formula>NOT(ISERROR(SEARCH("TOTAL",F57)))</formula>
    </cfRule>
  </conditionalFormatting>
  <conditionalFormatting sqref="F61">
    <cfRule type="containsText" dxfId="984" priority="985" operator="containsText" text="TOTAL">
      <formula>NOT(ISERROR(SEARCH("TOTAL",F61)))</formula>
    </cfRule>
  </conditionalFormatting>
  <conditionalFormatting sqref="F64">
    <cfRule type="containsText" dxfId="983" priority="984" operator="containsText" text="TOTAL">
      <formula>NOT(ISERROR(SEARCH("TOTAL",F64)))</formula>
    </cfRule>
  </conditionalFormatting>
  <conditionalFormatting sqref="C67">
    <cfRule type="containsText" dxfId="982" priority="983" operator="containsText" text="defint">
      <formula>NOT(ISERROR(SEARCH("defint",C67)))</formula>
    </cfRule>
  </conditionalFormatting>
  <conditionalFormatting sqref="N67">
    <cfRule type="containsText" dxfId="981" priority="982" operator="containsText" text="TOTAL">
      <formula>NOT(ISERROR(SEARCH("TOTAL",N67)))</formula>
    </cfRule>
  </conditionalFormatting>
  <conditionalFormatting sqref="F210">
    <cfRule type="containsText" dxfId="980" priority="946" operator="containsText" text="TOTAL">
      <formula>NOT(ISERROR(SEARCH("TOTAL",F210)))</formula>
    </cfRule>
  </conditionalFormatting>
  <conditionalFormatting sqref="F67">
    <cfRule type="containsText" dxfId="979" priority="981" operator="containsText" text="TOTAL">
      <formula>NOT(ISERROR(SEARCH("TOTAL",F67)))</formula>
    </cfRule>
  </conditionalFormatting>
  <conditionalFormatting sqref="F71">
    <cfRule type="containsText" dxfId="978" priority="980" operator="containsText" text="TOTAL">
      <formula>NOT(ISERROR(SEARCH("TOTAL",F71)))</formula>
    </cfRule>
  </conditionalFormatting>
  <conditionalFormatting sqref="F75">
    <cfRule type="containsText" dxfId="977" priority="979" operator="containsText" text="TOTAL">
      <formula>NOT(ISERROR(SEARCH("TOTAL",F75)))</formula>
    </cfRule>
  </conditionalFormatting>
  <conditionalFormatting sqref="F80">
    <cfRule type="containsText" dxfId="976" priority="978" operator="containsText" text="TOTAL">
      <formula>NOT(ISERROR(SEARCH("TOTAL",F80)))</formula>
    </cfRule>
  </conditionalFormatting>
  <conditionalFormatting sqref="F85">
    <cfRule type="containsText" dxfId="975" priority="977" operator="containsText" text="TOTAL">
      <formula>NOT(ISERROR(SEARCH("TOTAL",F85)))</formula>
    </cfRule>
  </conditionalFormatting>
  <conditionalFormatting sqref="F89">
    <cfRule type="containsText" dxfId="974" priority="976" operator="containsText" text="TOTAL">
      <formula>NOT(ISERROR(SEARCH("TOTAL",F89)))</formula>
    </cfRule>
  </conditionalFormatting>
  <conditionalFormatting sqref="F93">
    <cfRule type="containsText" dxfId="973" priority="975" operator="containsText" text="TOTAL">
      <formula>NOT(ISERROR(SEARCH("TOTAL",F93)))</formula>
    </cfRule>
  </conditionalFormatting>
  <conditionalFormatting sqref="F101">
    <cfRule type="containsText" dxfId="972" priority="974" operator="containsText" text="TOTAL">
      <formula>NOT(ISERROR(SEARCH("TOTAL",F101)))</formula>
    </cfRule>
  </conditionalFormatting>
  <conditionalFormatting sqref="F109">
    <cfRule type="containsText" dxfId="971" priority="973" operator="containsText" text="TOTAL">
      <formula>NOT(ISERROR(SEARCH("TOTAL",F109)))</formula>
    </cfRule>
  </conditionalFormatting>
  <conditionalFormatting sqref="F112">
    <cfRule type="containsText" dxfId="970" priority="972" operator="containsText" text="TOTAL">
      <formula>NOT(ISERROR(SEARCH("TOTAL",F112)))</formula>
    </cfRule>
  </conditionalFormatting>
  <conditionalFormatting sqref="F116">
    <cfRule type="containsText" dxfId="969" priority="971" operator="containsText" text="TOTAL">
      <formula>NOT(ISERROR(SEARCH("TOTAL",F116)))</formula>
    </cfRule>
  </conditionalFormatting>
  <conditionalFormatting sqref="F120">
    <cfRule type="containsText" dxfId="968" priority="970" operator="containsText" text="TOTAL">
      <formula>NOT(ISERROR(SEARCH("TOTAL",F120)))</formula>
    </cfRule>
  </conditionalFormatting>
  <conditionalFormatting sqref="F124">
    <cfRule type="containsText" dxfId="967" priority="969" operator="containsText" text="TOTAL">
      <formula>NOT(ISERROR(SEARCH("TOTAL",F124)))</formula>
    </cfRule>
  </conditionalFormatting>
  <conditionalFormatting sqref="F128">
    <cfRule type="containsText" dxfId="966" priority="968" operator="containsText" text="TOTAL">
      <formula>NOT(ISERROR(SEARCH("TOTAL",F128)))</formula>
    </cfRule>
  </conditionalFormatting>
  <conditionalFormatting sqref="F132">
    <cfRule type="containsText" dxfId="965" priority="967" operator="containsText" text="TOTAL">
      <formula>NOT(ISERROR(SEARCH("TOTAL",F132)))</formula>
    </cfRule>
  </conditionalFormatting>
  <conditionalFormatting sqref="F135">
    <cfRule type="containsText" dxfId="964" priority="966" operator="containsText" text="TOTAL">
      <formula>NOT(ISERROR(SEARCH("TOTAL",F135)))</formula>
    </cfRule>
  </conditionalFormatting>
  <conditionalFormatting sqref="F141">
    <cfRule type="containsText" dxfId="963" priority="965" operator="containsText" text="TOTAL">
      <formula>NOT(ISERROR(SEARCH("TOTAL",F141)))</formula>
    </cfRule>
  </conditionalFormatting>
  <conditionalFormatting sqref="F147">
    <cfRule type="containsText" dxfId="962" priority="964" operator="containsText" text="TOTAL">
      <formula>NOT(ISERROR(SEARCH("TOTAL",F147)))</formula>
    </cfRule>
  </conditionalFormatting>
  <conditionalFormatting sqref="F150">
    <cfRule type="containsText" dxfId="961" priority="963" operator="containsText" text="TOTAL">
      <formula>NOT(ISERROR(SEARCH("TOTAL",F150)))</formula>
    </cfRule>
  </conditionalFormatting>
  <conditionalFormatting sqref="F153">
    <cfRule type="containsText" dxfId="960" priority="962" operator="containsText" text="TOTAL">
      <formula>NOT(ISERROR(SEARCH("TOTAL",F153)))</formula>
    </cfRule>
  </conditionalFormatting>
  <conditionalFormatting sqref="F156">
    <cfRule type="containsText" dxfId="959" priority="961" operator="containsText" text="TOTAL">
      <formula>NOT(ISERROR(SEARCH("TOTAL",F156)))</formula>
    </cfRule>
  </conditionalFormatting>
  <conditionalFormatting sqref="F159">
    <cfRule type="containsText" dxfId="958" priority="960" operator="containsText" text="TOTAL">
      <formula>NOT(ISERROR(SEARCH("TOTAL",F159)))</formula>
    </cfRule>
  </conditionalFormatting>
  <conditionalFormatting sqref="F163">
    <cfRule type="containsText" dxfId="957" priority="959" operator="containsText" text="TOTAL">
      <formula>NOT(ISERROR(SEARCH("TOTAL",F163)))</formula>
    </cfRule>
  </conditionalFormatting>
  <conditionalFormatting sqref="F166">
    <cfRule type="containsText" dxfId="956" priority="958" operator="containsText" text="TOTAL">
      <formula>NOT(ISERROR(SEARCH("TOTAL",F166)))</formula>
    </cfRule>
  </conditionalFormatting>
  <conditionalFormatting sqref="F170">
    <cfRule type="containsText" dxfId="955" priority="957" operator="containsText" text="TOTAL">
      <formula>NOT(ISERROR(SEARCH("TOTAL",F170)))</formula>
    </cfRule>
  </conditionalFormatting>
  <conditionalFormatting sqref="F174">
    <cfRule type="containsText" dxfId="954" priority="956" operator="containsText" text="TOTAL">
      <formula>NOT(ISERROR(SEARCH("TOTAL",F174)))</formula>
    </cfRule>
  </conditionalFormatting>
  <conditionalFormatting sqref="F178">
    <cfRule type="containsText" dxfId="953" priority="955" operator="containsText" text="TOTAL">
      <formula>NOT(ISERROR(SEARCH("TOTAL",F178)))</formula>
    </cfRule>
  </conditionalFormatting>
  <conditionalFormatting sqref="F181">
    <cfRule type="containsText" dxfId="952" priority="954" operator="containsText" text="TOTAL">
      <formula>NOT(ISERROR(SEARCH("TOTAL",F181)))</formula>
    </cfRule>
  </conditionalFormatting>
  <conditionalFormatting sqref="F185">
    <cfRule type="containsText" dxfId="951" priority="953" operator="containsText" text="TOTAL">
      <formula>NOT(ISERROR(SEARCH("TOTAL",F185)))</formula>
    </cfRule>
  </conditionalFormatting>
  <conditionalFormatting sqref="F189">
    <cfRule type="containsText" dxfId="950" priority="952" operator="containsText" text="TOTAL">
      <formula>NOT(ISERROR(SEARCH("TOTAL",F189)))</formula>
    </cfRule>
  </conditionalFormatting>
  <conditionalFormatting sqref="F193">
    <cfRule type="containsText" dxfId="949" priority="951" operator="containsText" text="TOTAL">
      <formula>NOT(ISERROR(SEARCH("TOTAL",F193)))</formula>
    </cfRule>
  </conditionalFormatting>
  <conditionalFormatting sqref="F197">
    <cfRule type="containsText" dxfId="948" priority="950" operator="containsText" text="TOTAL">
      <formula>NOT(ISERROR(SEARCH("TOTAL",F197)))</formula>
    </cfRule>
  </conditionalFormatting>
  <conditionalFormatting sqref="F200">
    <cfRule type="containsText" dxfId="947" priority="949" operator="containsText" text="TOTAL">
      <formula>NOT(ISERROR(SEARCH("TOTAL",F200)))</formula>
    </cfRule>
  </conditionalFormatting>
  <conditionalFormatting sqref="F204">
    <cfRule type="containsText" dxfId="946" priority="948" operator="containsText" text="TOTAL">
      <formula>NOT(ISERROR(SEARCH("TOTAL",F204)))</formula>
    </cfRule>
  </conditionalFormatting>
  <conditionalFormatting sqref="F207">
    <cfRule type="containsText" dxfId="945" priority="947" operator="containsText" text="TOTAL">
      <formula>NOT(ISERROR(SEARCH("TOTAL",F207)))</formula>
    </cfRule>
  </conditionalFormatting>
  <conditionalFormatting sqref="F214">
    <cfRule type="containsText" dxfId="944" priority="945" operator="containsText" text="TOTAL">
      <formula>NOT(ISERROR(SEARCH("TOTAL",F214)))</formula>
    </cfRule>
  </conditionalFormatting>
  <conditionalFormatting sqref="F217">
    <cfRule type="containsText" dxfId="943" priority="944" operator="containsText" text="TOTAL">
      <formula>NOT(ISERROR(SEARCH("TOTAL",F217)))</formula>
    </cfRule>
  </conditionalFormatting>
  <conditionalFormatting sqref="F221">
    <cfRule type="containsText" dxfId="942" priority="943" operator="containsText" text="TOTAL">
      <formula>NOT(ISERROR(SEARCH("TOTAL",F221)))</formula>
    </cfRule>
  </conditionalFormatting>
  <conditionalFormatting sqref="F225">
    <cfRule type="containsText" dxfId="941" priority="942" operator="containsText" text="TOTAL">
      <formula>NOT(ISERROR(SEARCH("TOTAL",F225)))</formula>
    </cfRule>
  </conditionalFormatting>
  <conditionalFormatting sqref="F229">
    <cfRule type="containsText" dxfId="940" priority="941" operator="containsText" text="TOTAL">
      <formula>NOT(ISERROR(SEARCH("TOTAL",F229)))</formula>
    </cfRule>
  </conditionalFormatting>
  <conditionalFormatting sqref="F233">
    <cfRule type="containsText" dxfId="939" priority="940" operator="containsText" text="TOTAL">
      <formula>NOT(ISERROR(SEARCH("TOTAL",F233)))</formula>
    </cfRule>
  </conditionalFormatting>
  <conditionalFormatting sqref="F236">
    <cfRule type="containsText" dxfId="938" priority="939" operator="containsText" text="TOTAL">
      <formula>NOT(ISERROR(SEARCH("TOTAL",F236)))</formula>
    </cfRule>
  </conditionalFormatting>
  <conditionalFormatting sqref="F244">
    <cfRule type="containsText" dxfId="937" priority="938" operator="containsText" text="TOTAL">
      <formula>NOT(ISERROR(SEARCH("TOTAL",F244)))</formula>
    </cfRule>
  </conditionalFormatting>
  <conditionalFormatting sqref="F248">
    <cfRule type="containsText" dxfId="936" priority="937" operator="containsText" text="TOTAL">
      <formula>NOT(ISERROR(SEARCH("TOTAL",F248)))</formula>
    </cfRule>
  </conditionalFormatting>
  <conditionalFormatting sqref="F256">
    <cfRule type="containsText" dxfId="935" priority="936" operator="containsText" text="TOTAL">
      <formula>NOT(ISERROR(SEARCH("TOTAL",F256)))</formula>
    </cfRule>
  </conditionalFormatting>
  <conditionalFormatting sqref="F261">
    <cfRule type="containsText" dxfId="934" priority="935" operator="containsText" text="TOTAL">
      <formula>NOT(ISERROR(SEARCH("TOTAL",F261)))</formula>
    </cfRule>
  </conditionalFormatting>
  <conditionalFormatting sqref="F267">
    <cfRule type="containsText" dxfId="933" priority="934" operator="containsText" text="TOTAL">
      <formula>NOT(ISERROR(SEARCH("TOTAL",F267)))</formula>
    </cfRule>
  </conditionalFormatting>
  <conditionalFormatting sqref="F271">
    <cfRule type="containsText" dxfId="932" priority="933" operator="containsText" text="TOTAL">
      <formula>NOT(ISERROR(SEARCH("TOTAL",F271)))</formula>
    </cfRule>
  </conditionalFormatting>
  <conditionalFormatting sqref="F274">
    <cfRule type="containsText" dxfId="931" priority="932" operator="containsText" text="TOTAL">
      <formula>NOT(ISERROR(SEARCH("TOTAL",F274)))</formula>
    </cfRule>
  </conditionalFormatting>
  <conditionalFormatting sqref="F277">
    <cfRule type="containsText" dxfId="930" priority="931" operator="containsText" text="TOTAL">
      <formula>NOT(ISERROR(SEARCH("TOTAL",F277)))</formula>
    </cfRule>
  </conditionalFormatting>
  <conditionalFormatting sqref="F280">
    <cfRule type="containsText" dxfId="929" priority="930" operator="containsText" text="TOTAL">
      <formula>NOT(ISERROR(SEARCH("TOTAL",F280)))</formula>
    </cfRule>
  </conditionalFormatting>
  <conditionalFormatting sqref="F283">
    <cfRule type="containsText" dxfId="928" priority="929" operator="containsText" text="TOTAL">
      <formula>NOT(ISERROR(SEARCH("TOTAL",F283)))</formula>
    </cfRule>
  </conditionalFormatting>
  <conditionalFormatting sqref="F287">
    <cfRule type="containsText" dxfId="927" priority="928" operator="containsText" text="TOTAL">
      <formula>NOT(ISERROR(SEARCH("TOTAL",F287)))</formula>
    </cfRule>
  </conditionalFormatting>
  <conditionalFormatting sqref="F291">
    <cfRule type="containsText" dxfId="926" priority="927" operator="containsText" text="TOTAL">
      <formula>NOT(ISERROR(SEARCH("TOTAL",F291)))</formula>
    </cfRule>
  </conditionalFormatting>
  <conditionalFormatting sqref="F294">
    <cfRule type="containsText" dxfId="925" priority="926" operator="containsText" text="TOTAL">
      <formula>NOT(ISERROR(SEARCH("TOTAL",F294)))</formula>
    </cfRule>
  </conditionalFormatting>
  <conditionalFormatting sqref="F298">
    <cfRule type="containsText" dxfId="924" priority="925" operator="containsText" text="TOTAL">
      <formula>NOT(ISERROR(SEARCH("TOTAL",F298)))</formula>
    </cfRule>
  </conditionalFormatting>
  <conditionalFormatting sqref="F302">
    <cfRule type="containsText" dxfId="923" priority="924" operator="containsText" text="TOTAL">
      <formula>NOT(ISERROR(SEARCH("TOTAL",F302)))</formula>
    </cfRule>
  </conditionalFormatting>
  <conditionalFormatting sqref="F305">
    <cfRule type="containsText" dxfId="922" priority="923" operator="containsText" text="TOTAL">
      <formula>NOT(ISERROR(SEARCH("TOTAL",F305)))</formula>
    </cfRule>
  </conditionalFormatting>
  <conditionalFormatting sqref="F308">
    <cfRule type="containsText" dxfId="921" priority="922" operator="containsText" text="TOTAL">
      <formula>NOT(ISERROR(SEARCH("TOTAL",F308)))</formula>
    </cfRule>
  </conditionalFormatting>
  <conditionalFormatting sqref="F311">
    <cfRule type="containsText" dxfId="920" priority="921" operator="containsText" text="TOTAL">
      <formula>NOT(ISERROR(SEARCH("TOTAL",F311)))</formula>
    </cfRule>
  </conditionalFormatting>
  <conditionalFormatting sqref="F315">
    <cfRule type="containsText" dxfId="919" priority="920" operator="containsText" text="TOTAL">
      <formula>NOT(ISERROR(SEARCH("TOTAL",F315)))</formula>
    </cfRule>
  </conditionalFormatting>
  <conditionalFormatting sqref="F319">
    <cfRule type="containsText" dxfId="918" priority="919" operator="containsText" text="TOTAL">
      <formula>NOT(ISERROR(SEARCH("TOTAL",F319)))</formula>
    </cfRule>
  </conditionalFormatting>
  <conditionalFormatting sqref="F323">
    <cfRule type="containsText" dxfId="917" priority="918" operator="containsText" text="TOTAL">
      <formula>NOT(ISERROR(SEARCH("TOTAL",F323)))</formula>
    </cfRule>
  </conditionalFormatting>
  <conditionalFormatting sqref="F332">
    <cfRule type="containsText" dxfId="916" priority="917" operator="containsText" text="TOTAL">
      <formula>NOT(ISERROR(SEARCH("TOTAL",F332)))</formula>
    </cfRule>
  </conditionalFormatting>
  <conditionalFormatting sqref="F345">
    <cfRule type="containsText" dxfId="915" priority="916" operator="containsText" text="TOTAL">
      <formula>NOT(ISERROR(SEARCH("TOTAL",F345)))</formula>
    </cfRule>
  </conditionalFormatting>
  <conditionalFormatting sqref="F355">
    <cfRule type="containsText" dxfId="914" priority="915" operator="containsText" text="TOTAL">
      <formula>NOT(ISERROR(SEARCH("TOTAL",F355)))</formula>
    </cfRule>
  </conditionalFormatting>
  <conditionalFormatting sqref="C362">
    <cfRule type="containsText" dxfId="913" priority="914" operator="containsText" text="defint">
      <formula>NOT(ISERROR(SEARCH("defint",C362)))</formula>
    </cfRule>
  </conditionalFormatting>
  <conditionalFormatting sqref="N362">
    <cfRule type="containsText" dxfId="912" priority="913" operator="containsText" text="TOTAL">
      <formula>NOT(ISERROR(SEARCH("TOTAL",N362)))</formula>
    </cfRule>
  </conditionalFormatting>
  <conditionalFormatting sqref="F362">
    <cfRule type="containsText" dxfId="911" priority="912" operator="containsText" text="TOTAL">
      <formula>NOT(ISERROR(SEARCH("TOTAL",F362)))</formula>
    </cfRule>
  </conditionalFormatting>
  <conditionalFormatting sqref="F365">
    <cfRule type="containsText" dxfId="910" priority="911" operator="containsText" text="TOTAL">
      <formula>NOT(ISERROR(SEARCH("TOTAL",F365)))</formula>
    </cfRule>
  </conditionalFormatting>
  <conditionalFormatting sqref="F368">
    <cfRule type="containsText" dxfId="909" priority="910" operator="containsText" text="TOTAL">
      <formula>NOT(ISERROR(SEARCH("TOTAL",F368)))</formula>
    </cfRule>
  </conditionalFormatting>
  <conditionalFormatting sqref="F372">
    <cfRule type="containsText" dxfId="908" priority="909" operator="containsText" text="TOTAL">
      <formula>NOT(ISERROR(SEARCH("TOTAL",F372)))</formula>
    </cfRule>
  </conditionalFormatting>
  <conditionalFormatting sqref="F376">
    <cfRule type="containsText" dxfId="907" priority="908" operator="containsText" text="TOTAL">
      <formula>NOT(ISERROR(SEARCH("TOTAL",F376)))</formula>
    </cfRule>
  </conditionalFormatting>
  <conditionalFormatting sqref="F380">
    <cfRule type="containsText" dxfId="906" priority="907" operator="containsText" text="TOTAL">
      <formula>NOT(ISERROR(SEARCH("TOTAL",F380)))</formula>
    </cfRule>
  </conditionalFormatting>
  <conditionalFormatting sqref="F384">
    <cfRule type="containsText" dxfId="905" priority="906" operator="containsText" text="TOTAL">
      <formula>NOT(ISERROR(SEARCH("TOTAL",F384)))</formula>
    </cfRule>
  </conditionalFormatting>
  <conditionalFormatting sqref="F387">
    <cfRule type="containsText" dxfId="904" priority="905" operator="containsText" text="TOTAL">
      <formula>NOT(ISERROR(SEARCH("TOTAL",F387)))</formula>
    </cfRule>
  </conditionalFormatting>
  <conditionalFormatting sqref="F391">
    <cfRule type="containsText" dxfId="903" priority="904" operator="containsText" text="TOTAL">
      <formula>NOT(ISERROR(SEARCH("TOTAL",F391)))</formula>
    </cfRule>
  </conditionalFormatting>
  <conditionalFormatting sqref="F395">
    <cfRule type="containsText" dxfId="902" priority="903" operator="containsText" text="TOTAL">
      <formula>NOT(ISERROR(SEARCH("TOTAL",F395)))</formula>
    </cfRule>
  </conditionalFormatting>
  <conditionalFormatting sqref="F398">
    <cfRule type="containsText" dxfId="901" priority="902" operator="containsText" text="TOTAL">
      <formula>NOT(ISERROR(SEARCH("TOTAL",F398)))</formula>
    </cfRule>
  </conditionalFormatting>
  <conditionalFormatting sqref="F402">
    <cfRule type="containsText" dxfId="900" priority="901" operator="containsText" text="TOTAL">
      <formula>NOT(ISERROR(SEARCH("TOTAL",F402)))</formula>
    </cfRule>
  </conditionalFormatting>
  <conditionalFormatting sqref="F405">
    <cfRule type="containsText" dxfId="899" priority="900" operator="containsText" text="TOTAL">
      <formula>NOT(ISERROR(SEARCH("TOTAL",F405)))</formula>
    </cfRule>
  </conditionalFormatting>
  <conditionalFormatting sqref="F408">
    <cfRule type="containsText" dxfId="898" priority="899" operator="containsText" text="TOTAL">
      <formula>NOT(ISERROR(SEARCH("TOTAL",F408)))</formula>
    </cfRule>
  </conditionalFormatting>
  <conditionalFormatting sqref="F411">
    <cfRule type="containsText" dxfId="897" priority="898" operator="containsText" text="TOTAL">
      <formula>NOT(ISERROR(SEARCH("TOTAL",F411)))</formula>
    </cfRule>
  </conditionalFormatting>
  <conditionalFormatting sqref="F414">
    <cfRule type="containsText" dxfId="896" priority="897" operator="containsText" text="TOTAL">
      <formula>NOT(ISERROR(SEARCH("TOTAL",F414)))</formula>
    </cfRule>
  </conditionalFormatting>
  <conditionalFormatting sqref="F417">
    <cfRule type="containsText" dxfId="895" priority="896" operator="containsText" text="TOTAL">
      <formula>NOT(ISERROR(SEARCH("TOTAL",F417)))</formula>
    </cfRule>
  </conditionalFormatting>
  <conditionalFormatting sqref="F420">
    <cfRule type="containsText" dxfId="894" priority="895" operator="containsText" text="TOTAL">
      <formula>NOT(ISERROR(SEARCH("TOTAL",F420)))</formula>
    </cfRule>
  </conditionalFormatting>
  <conditionalFormatting sqref="F423">
    <cfRule type="containsText" dxfId="893" priority="894" operator="containsText" text="TOTAL">
      <formula>NOT(ISERROR(SEARCH("TOTAL",F423)))</formula>
    </cfRule>
  </conditionalFormatting>
  <conditionalFormatting sqref="F432">
    <cfRule type="containsText" dxfId="892" priority="893" operator="containsText" text="TOTAL">
      <formula>NOT(ISERROR(SEARCH("TOTAL",F432)))</formula>
    </cfRule>
  </conditionalFormatting>
  <conditionalFormatting sqref="F441">
    <cfRule type="containsText" dxfId="891" priority="892" operator="containsText" text="TOTAL">
      <formula>NOT(ISERROR(SEARCH("TOTAL",F441)))</formula>
    </cfRule>
  </conditionalFormatting>
  <conditionalFormatting sqref="F445">
    <cfRule type="containsText" dxfId="890" priority="891" operator="containsText" text="TOTAL">
      <formula>NOT(ISERROR(SEARCH("TOTAL",F445)))</formula>
    </cfRule>
  </conditionalFormatting>
  <conditionalFormatting sqref="F449">
    <cfRule type="containsText" dxfId="889" priority="890" operator="containsText" text="TOTAL">
      <formula>NOT(ISERROR(SEARCH("TOTAL",F449)))</formula>
    </cfRule>
  </conditionalFormatting>
  <conditionalFormatting sqref="F453">
    <cfRule type="containsText" dxfId="888" priority="889" operator="containsText" text="TOTAL">
      <formula>NOT(ISERROR(SEARCH("TOTAL",F453)))</formula>
    </cfRule>
  </conditionalFormatting>
  <conditionalFormatting sqref="F457">
    <cfRule type="containsText" dxfId="887" priority="888" operator="containsText" text="TOTAL">
      <formula>NOT(ISERROR(SEARCH("TOTAL",F457)))</formula>
    </cfRule>
  </conditionalFormatting>
  <conditionalFormatting sqref="F461">
    <cfRule type="containsText" dxfId="886" priority="887" operator="containsText" text="TOTAL">
      <formula>NOT(ISERROR(SEARCH("TOTAL",F461)))</formula>
    </cfRule>
  </conditionalFormatting>
  <conditionalFormatting sqref="F464">
    <cfRule type="containsText" dxfId="885" priority="886" operator="containsText" text="TOTAL">
      <formula>NOT(ISERROR(SEARCH("TOTAL",F464)))</formula>
    </cfRule>
  </conditionalFormatting>
  <conditionalFormatting sqref="F467">
    <cfRule type="containsText" dxfId="884" priority="885" operator="containsText" text="TOTAL">
      <formula>NOT(ISERROR(SEARCH("TOTAL",F467)))</formula>
    </cfRule>
  </conditionalFormatting>
  <conditionalFormatting sqref="F470">
    <cfRule type="containsText" dxfId="883" priority="884" operator="containsText" text="TOTAL">
      <formula>NOT(ISERROR(SEARCH("TOTAL",F470)))</formula>
    </cfRule>
  </conditionalFormatting>
  <conditionalFormatting sqref="F474">
    <cfRule type="containsText" dxfId="882" priority="883" operator="containsText" text="TOTAL">
      <formula>NOT(ISERROR(SEARCH("TOTAL",F474)))</formula>
    </cfRule>
  </conditionalFormatting>
  <conditionalFormatting sqref="F481">
    <cfRule type="containsText" dxfId="881" priority="882" operator="containsText" text="TOTAL">
      <formula>NOT(ISERROR(SEARCH("TOTAL",F481)))</formula>
    </cfRule>
  </conditionalFormatting>
  <conditionalFormatting sqref="F485">
    <cfRule type="containsText" dxfId="880" priority="881" operator="containsText" text="TOTAL">
      <formula>NOT(ISERROR(SEARCH("TOTAL",F485)))</formula>
    </cfRule>
  </conditionalFormatting>
  <conditionalFormatting sqref="F489">
    <cfRule type="containsText" dxfId="879" priority="880" operator="containsText" text="TOTAL">
      <formula>NOT(ISERROR(SEARCH("TOTAL",F489)))</formula>
    </cfRule>
  </conditionalFormatting>
  <conditionalFormatting sqref="F493">
    <cfRule type="containsText" dxfId="878" priority="879" operator="containsText" text="TOTAL">
      <formula>NOT(ISERROR(SEARCH("TOTAL",F493)))</formula>
    </cfRule>
  </conditionalFormatting>
  <conditionalFormatting sqref="F497">
    <cfRule type="containsText" dxfId="877" priority="878" operator="containsText" text="TOTAL">
      <formula>NOT(ISERROR(SEARCH("TOTAL",F497)))</formula>
    </cfRule>
  </conditionalFormatting>
  <conditionalFormatting sqref="F501">
    <cfRule type="containsText" dxfId="876" priority="877" operator="containsText" text="TOTAL">
      <formula>NOT(ISERROR(SEARCH("TOTAL",F501)))</formula>
    </cfRule>
  </conditionalFormatting>
  <conditionalFormatting sqref="F505">
    <cfRule type="containsText" dxfId="875" priority="876" operator="containsText" text="TOTAL">
      <formula>NOT(ISERROR(SEARCH("TOTAL",F505)))</formula>
    </cfRule>
  </conditionalFormatting>
  <conditionalFormatting sqref="F509">
    <cfRule type="containsText" dxfId="874" priority="875" operator="containsText" text="TOTAL">
      <formula>NOT(ISERROR(SEARCH("TOTAL",F509)))</formula>
    </cfRule>
  </conditionalFormatting>
  <conditionalFormatting sqref="F513">
    <cfRule type="containsText" dxfId="873" priority="874" operator="containsText" text="TOTAL">
      <formula>NOT(ISERROR(SEARCH("TOTAL",F513)))</formula>
    </cfRule>
  </conditionalFormatting>
  <conditionalFormatting sqref="F517">
    <cfRule type="containsText" dxfId="872" priority="873" operator="containsText" text="TOTAL">
      <formula>NOT(ISERROR(SEARCH("TOTAL",F517)))</formula>
    </cfRule>
  </conditionalFormatting>
  <conditionalFormatting sqref="F521">
    <cfRule type="containsText" dxfId="871" priority="872" operator="containsText" text="TOTAL">
      <formula>NOT(ISERROR(SEARCH("TOTAL",F521)))</formula>
    </cfRule>
  </conditionalFormatting>
  <conditionalFormatting sqref="F524">
    <cfRule type="containsText" dxfId="870" priority="871" operator="containsText" text="TOTAL">
      <formula>NOT(ISERROR(SEARCH("TOTAL",F524)))</formula>
    </cfRule>
  </conditionalFormatting>
  <conditionalFormatting sqref="F527">
    <cfRule type="containsText" dxfId="869" priority="870" operator="containsText" text="TOTAL">
      <formula>NOT(ISERROR(SEARCH("TOTAL",F527)))</formula>
    </cfRule>
  </conditionalFormatting>
  <conditionalFormatting sqref="F530">
    <cfRule type="containsText" dxfId="868" priority="869" operator="containsText" text="TOTAL">
      <formula>NOT(ISERROR(SEARCH("TOTAL",F530)))</formula>
    </cfRule>
  </conditionalFormatting>
  <conditionalFormatting sqref="F534">
    <cfRule type="containsText" dxfId="867" priority="868" operator="containsText" text="TOTAL">
      <formula>NOT(ISERROR(SEARCH("TOTAL",F534)))</formula>
    </cfRule>
  </conditionalFormatting>
  <conditionalFormatting sqref="F538">
    <cfRule type="containsText" dxfId="866" priority="867" operator="containsText" text="TOTAL">
      <formula>NOT(ISERROR(SEARCH("TOTAL",F538)))</formula>
    </cfRule>
  </conditionalFormatting>
  <conditionalFormatting sqref="F541">
    <cfRule type="containsText" dxfId="865" priority="866" operator="containsText" text="TOTAL">
      <formula>NOT(ISERROR(SEARCH("TOTAL",F541)))</formula>
    </cfRule>
  </conditionalFormatting>
  <conditionalFormatting sqref="F545">
    <cfRule type="containsText" dxfId="864" priority="865" operator="containsText" text="TOTAL">
      <formula>NOT(ISERROR(SEARCH("TOTAL",F545)))</formula>
    </cfRule>
  </conditionalFormatting>
  <conditionalFormatting sqref="F552">
    <cfRule type="containsText" dxfId="863" priority="864" operator="containsText" text="TOTAL">
      <formula>NOT(ISERROR(SEARCH("TOTAL",F552)))</formula>
    </cfRule>
  </conditionalFormatting>
  <conditionalFormatting sqref="F556">
    <cfRule type="containsText" dxfId="862" priority="863" operator="containsText" text="TOTAL">
      <formula>NOT(ISERROR(SEARCH("TOTAL",F556)))</formula>
    </cfRule>
  </conditionalFormatting>
  <conditionalFormatting sqref="F562">
    <cfRule type="containsText" dxfId="861" priority="862" operator="containsText" text="TOTAL">
      <formula>NOT(ISERROR(SEARCH("TOTAL",F562)))</formula>
    </cfRule>
  </conditionalFormatting>
  <conditionalFormatting sqref="F566">
    <cfRule type="containsText" dxfId="860" priority="861" operator="containsText" text="TOTAL">
      <formula>NOT(ISERROR(SEARCH("TOTAL",F566)))</formula>
    </cfRule>
  </conditionalFormatting>
  <conditionalFormatting sqref="F569">
    <cfRule type="containsText" dxfId="859" priority="860" operator="containsText" text="TOTAL">
      <formula>NOT(ISERROR(SEARCH("TOTAL",F569)))</formula>
    </cfRule>
  </conditionalFormatting>
  <conditionalFormatting sqref="F572">
    <cfRule type="containsText" dxfId="858" priority="859" operator="containsText" text="TOTAL">
      <formula>NOT(ISERROR(SEARCH("TOTAL",F572)))</formula>
    </cfRule>
  </conditionalFormatting>
  <conditionalFormatting sqref="F575">
    <cfRule type="containsText" dxfId="857" priority="858" operator="containsText" text="TOTAL">
      <formula>NOT(ISERROR(SEARCH("TOTAL",F575)))</formula>
    </cfRule>
  </conditionalFormatting>
  <conditionalFormatting sqref="F581">
    <cfRule type="containsText" dxfId="856" priority="857" operator="containsText" text="TOTAL">
      <formula>NOT(ISERROR(SEARCH("TOTAL",F581)))</formula>
    </cfRule>
  </conditionalFormatting>
  <conditionalFormatting sqref="F585">
    <cfRule type="containsText" dxfId="855" priority="856" operator="containsText" text="TOTAL">
      <formula>NOT(ISERROR(SEARCH("TOTAL",F585)))</formula>
    </cfRule>
  </conditionalFormatting>
  <conditionalFormatting sqref="F589">
    <cfRule type="containsText" dxfId="854" priority="855" operator="containsText" text="TOTAL">
      <formula>NOT(ISERROR(SEARCH("TOTAL",F589)))</formula>
    </cfRule>
  </conditionalFormatting>
  <conditionalFormatting sqref="F593">
    <cfRule type="containsText" dxfId="853" priority="854" operator="containsText" text="TOTAL">
      <formula>NOT(ISERROR(SEARCH("TOTAL",F593)))</formula>
    </cfRule>
  </conditionalFormatting>
  <conditionalFormatting sqref="F596">
    <cfRule type="containsText" dxfId="852" priority="853" operator="containsText" text="TOTAL">
      <formula>NOT(ISERROR(SEARCH("TOTAL",F596)))</formula>
    </cfRule>
  </conditionalFormatting>
  <conditionalFormatting sqref="F600">
    <cfRule type="containsText" dxfId="851" priority="852" operator="containsText" text="TOTAL">
      <formula>NOT(ISERROR(SEARCH("TOTAL",F600)))</formula>
    </cfRule>
  </conditionalFormatting>
  <conditionalFormatting sqref="F604">
    <cfRule type="containsText" dxfId="850" priority="851" operator="containsText" text="TOTAL">
      <formula>NOT(ISERROR(SEARCH("TOTAL",F604)))</formula>
    </cfRule>
  </conditionalFormatting>
  <conditionalFormatting sqref="F608">
    <cfRule type="containsText" dxfId="849" priority="850" operator="containsText" text="TOTAL">
      <formula>NOT(ISERROR(SEARCH("TOTAL",F608)))</formula>
    </cfRule>
  </conditionalFormatting>
  <conditionalFormatting sqref="F612">
    <cfRule type="containsText" dxfId="848" priority="849" operator="containsText" text="TOTAL">
      <formula>NOT(ISERROR(SEARCH("TOTAL",F612)))</formula>
    </cfRule>
  </conditionalFormatting>
  <conditionalFormatting sqref="F616">
    <cfRule type="containsText" dxfId="847" priority="848" operator="containsText" text="TOTAL">
      <formula>NOT(ISERROR(SEARCH("TOTAL",F616)))</formula>
    </cfRule>
  </conditionalFormatting>
  <conditionalFormatting sqref="F619">
    <cfRule type="containsText" dxfId="846" priority="847" operator="containsText" text="TOTAL">
      <formula>NOT(ISERROR(SEARCH("TOTAL",F619)))</formula>
    </cfRule>
  </conditionalFormatting>
  <conditionalFormatting sqref="F623">
    <cfRule type="containsText" dxfId="845" priority="846" operator="containsText" text="TOTAL">
      <formula>NOT(ISERROR(SEARCH("TOTAL",F623)))</formula>
    </cfRule>
  </conditionalFormatting>
  <conditionalFormatting sqref="F627">
    <cfRule type="containsText" dxfId="844" priority="845" operator="containsText" text="TOTAL">
      <formula>NOT(ISERROR(SEARCH("TOTAL",F627)))</formula>
    </cfRule>
  </conditionalFormatting>
  <conditionalFormatting sqref="F631">
    <cfRule type="containsText" dxfId="843" priority="844" operator="containsText" text="TOTAL">
      <formula>NOT(ISERROR(SEARCH("TOTAL",F631)))</formula>
    </cfRule>
  </conditionalFormatting>
  <conditionalFormatting sqref="F634">
    <cfRule type="containsText" dxfId="842" priority="843" operator="containsText" text="TOTAL">
      <formula>NOT(ISERROR(SEARCH("TOTAL",F634)))</formula>
    </cfRule>
  </conditionalFormatting>
  <conditionalFormatting sqref="F638">
    <cfRule type="containsText" dxfId="841" priority="842" operator="containsText" text="TOTAL">
      <formula>NOT(ISERROR(SEARCH("TOTAL",F638)))</formula>
    </cfRule>
  </conditionalFormatting>
  <conditionalFormatting sqref="F642">
    <cfRule type="containsText" dxfId="840" priority="841" operator="containsText" text="TOTAL">
      <formula>NOT(ISERROR(SEARCH("TOTAL",F642)))</formula>
    </cfRule>
  </conditionalFormatting>
  <conditionalFormatting sqref="F645">
    <cfRule type="containsText" dxfId="839" priority="840" operator="containsText" text="TOTAL">
      <formula>NOT(ISERROR(SEARCH("TOTAL",F645)))</formula>
    </cfRule>
  </conditionalFormatting>
  <conditionalFormatting sqref="F648">
    <cfRule type="containsText" dxfId="838" priority="839" operator="containsText" text="TOTAL">
      <formula>NOT(ISERROR(SEARCH("TOTAL",F648)))</formula>
    </cfRule>
  </conditionalFormatting>
  <conditionalFormatting sqref="F652">
    <cfRule type="containsText" dxfId="837" priority="838" operator="containsText" text="TOTAL">
      <formula>NOT(ISERROR(SEARCH("TOTAL",F652)))</formula>
    </cfRule>
  </conditionalFormatting>
  <conditionalFormatting sqref="F656">
    <cfRule type="containsText" dxfId="836" priority="837" operator="containsText" text="TOTAL">
      <formula>NOT(ISERROR(SEARCH("TOTAL",F656)))</formula>
    </cfRule>
  </conditionalFormatting>
  <conditionalFormatting sqref="F660">
    <cfRule type="containsText" dxfId="835" priority="836" operator="containsText" text="TOTAL">
      <formula>NOT(ISERROR(SEARCH("TOTAL",F660)))</formula>
    </cfRule>
  </conditionalFormatting>
  <conditionalFormatting sqref="F664">
    <cfRule type="containsText" dxfId="834" priority="835" operator="containsText" text="TOTAL">
      <formula>NOT(ISERROR(SEARCH("TOTAL",F664)))</formula>
    </cfRule>
  </conditionalFormatting>
  <conditionalFormatting sqref="F667">
    <cfRule type="containsText" dxfId="833" priority="834" operator="containsText" text="TOTAL">
      <formula>NOT(ISERROR(SEARCH("TOTAL",F667)))</formula>
    </cfRule>
  </conditionalFormatting>
  <conditionalFormatting sqref="F671">
    <cfRule type="containsText" dxfId="832" priority="833" operator="containsText" text="TOTAL">
      <formula>NOT(ISERROR(SEARCH("TOTAL",F671)))</formula>
    </cfRule>
  </conditionalFormatting>
  <conditionalFormatting sqref="F675">
    <cfRule type="containsText" dxfId="831" priority="832" operator="containsText" text="TOTAL">
      <formula>NOT(ISERROR(SEARCH("TOTAL",F675)))</formula>
    </cfRule>
  </conditionalFormatting>
  <conditionalFormatting sqref="F678">
    <cfRule type="containsText" dxfId="830" priority="831" operator="containsText" text="TOTAL">
      <formula>NOT(ISERROR(SEARCH("TOTAL",F678)))</formula>
    </cfRule>
  </conditionalFormatting>
  <conditionalFormatting sqref="F682">
    <cfRule type="containsText" dxfId="829" priority="830" operator="containsText" text="TOTAL">
      <formula>NOT(ISERROR(SEARCH("TOTAL",F682)))</formula>
    </cfRule>
  </conditionalFormatting>
  <conditionalFormatting sqref="F686">
    <cfRule type="containsText" dxfId="828" priority="829" operator="containsText" text="TOTAL">
      <formula>NOT(ISERROR(SEARCH("TOTAL",F686)))</formula>
    </cfRule>
  </conditionalFormatting>
  <conditionalFormatting sqref="F692">
    <cfRule type="containsText" dxfId="827" priority="828" operator="containsText" text="TOTAL">
      <formula>NOT(ISERROR(SEARCH("TOTAL",F692)))</formula>
    </cfRule>
  </conditionalFormatting>
  <conditionalFormatting sqref="F696">
    <cfRule type="containsText" dxfId="826" priority="827" operator="containsText" text="TOTAL">
      <formula>NOT(ISERROR(SEARCH("TOTAL",F696)))</formula>
    </cfRule>
  </conditionalFormatting>
  <conditionalFormatting sqref="F699">
    <cfRule type="containsText" dxfId="825" priority="826" operator="containsText" text="TOTAL">
      <formula>NOT(ISERROR(SEARCH("TOTAL",F699)))</formula>
    </cfRule>
  </conditionalFormatting>
  <conditionalFormatting sqref="F703">
    <cfRule type="containsText" dxfId="824" priority="825" operator="containsText" text="TOTAL">
      <formula>NOT(ISERROR(SEARCH("TOTAL",F703)))</formula>
    </cfRule>
  </conditionalFormatting>
  <conditionalFormatting sqref="F707">
    <cfRule type="containsText" dxfId="823" priority="824" operator="containsText" text="TOTAL">
      <formula>NOT(ISERROR(SEARCH("TOTAL",F707)))</formula>
    </cfRule>
  </conditionalFormatting>
  <conditionalFormatting sqref="F711">
    <cfRule type="containsText" dxfId="822" priority="823" operator="containsText" text="TOTAL">
      <formula>NOT(ISERROR(SEARCH("TOTAL",F711)))</formula>
    </cfRule>
  </conditionalFormatting>
  <conditionalFormatting sqref="F714">
    <cfRule type="containsText" dxfId="821" priority="822" operator="containsText" text="TOTAL">
      <formula>NOT(ISERROR(SEARCH("TOTAL",F714)))</formula>
    </cfRule>
  </conditionalFormatting>
  <conditionalFormatting sqref="F717">
    <cfRule type="containsText" dxfId="820" priority="821" operator="containsText" text="TOTAL">
      <formula>NOT(ISERROR(SEARCH("TOTAL",F717)))</formula>
    </cfRule>
  </conditionalFormatting>
  <conditionalFormatting sqref="F722">
    <cfRule type="containsText" dxfId="819" priority="820" operator="containsText" text="TOTAL">
      <formula>NOT(ISERROR(SEARCH("TOTAL",F722)))</formula>
    </cfRule>
  </conditionalFormatting>
  <conditionalFormatting sqref="F726">
    <cfRule type="containsText" dxfId="818" priority="819" operator="containsText" text="TOTAL">
      <formula>NOT(ISERROR(SEARCH("TOTAL",F726)))</formula>
    </cfRule>
  </conditionalFormatting>
  <conditionalFormatting sqref="F729">
    <cfRule type="containsText" dxfId="817" priority="818" operator="containsText" text="TOTAL">
      <formula>NOT(ISERROR(SEARCH("TOTAL",F729)))</formula>
    </cfRule>
  </conditionalFormatting>
  <conditionalFormatting sqref="F732">
    <cfRule type="containsText" dxfId="816" priority="817" operator="containsText" text="TOTAL">
      <formula>NOT(ISERROR(SEARCH("TOTAL",F732)))</formula>
    </cfRule>
  </conditionalFormatting>
  <conditionalFormatting sqref="F735">
    <cfRule type="containsText" dxfId="815" priority="816" operator="containsText" text="TOTAL">
      <formula>NOT(ISERROR(SEARCH("TOTAL",F735)))</formula>
    </cfRule>
  </conditionalFormatting>
  <conditionalFormatting sqref="F739">
    <cfRule type="containsText" dxfId="814" priority="815" operator="containsText" text="TOTAL">
      <formula>NOT(ISERROR(SEARCH("TOTAL",F739)))</formula>
    </cfRule>
  </conditionalFormatting>
  <conditionalFormatting sqref="F743">
    <cfRule type="containsText" dxfId="813" priority="814" operator="containsText" text="TOTAL">
      <formula>NOT(ISERROR(SEARCH("TOTAL",F743)))</formula>
    </cfRule>
  </conditionalFormatting>
  <conditionalFormatting sqref="F746">
    <cfRule type="containsText" dxfId="812" priority="813" operator="containsText" text="TOTAL">
      <formula>NOT(ISERROR(SEARCH("TOTAL",F746)))</formula>
    </cfRule>
  </conditionalFormatting>
  <conditionalFormatting sqref="F750">
    <cfRule type="containsText" dxfId="811" priority="812" operator="containsText" text="TOTAL">
      <formula>NOT(ISERROR(SEARCH("TOTAL",F750)))</formula>
    </cfRule>
  </conditionalFormatting>
  <conditionalFormatting sqref="F754">
    <cfRule type="containsText" dxfId="810" priority="811" operator="containsText" text="TOTAL">
      <formula>NOT(ISERROR(SEARCH("TOTAL",F754)))</formula>
    </cfRule>
  </conditionalFormatting>
  <conditionalFormatting sqref="F757">
    <cfRule type="containsText" dxfId="809" priority="810" operator="containsText" text="TOTAL">
      <formula>NOT(ISERROR(SEARCH("TOTAL",F757)))</formula>
    </cfRule>
  </conditionalFormatting>
  <conditionalFormatting sqref="F761">
    <cfRule type="containsText" dxfId="808" priority="809" operator="containsText" text="TOTAL">
      <formula>NOT(ISERROR(SEARCH("TOTAL",F761)))</formula>
    </cfRule>
  </conditionalFormatting>
  <conditionalFormatting sqref="F764">
    <cfRule type="containsText" dxfId="807" priority="808" operator="containsText" text="TOTAL">
      <formula>NOT(ISERROR(SEARCH("TOTAL",F764)))</formula>
    </cfRule>
  </conditionalFormatting>
  <conditionalFormatting sqref="F767">
    <cfRule type="containsText" dxfId="806" priority="807" operator="containsText" text="TOTAL">
      <formula>NOT(ISERROR(SEARCH("TOTAL",F767)))</formula>
    </cfRule>
  </conditionalFormatting>
  <conditionalFormatting sqref="F770">
    <cfRule type="containsText" dxfId="805" priority="806" operator="containsText" text="TOTAL">
      <formula>NOT(ISERROR(SEARCH("TOTAL",F770)))</formula>
    </cfRule>
  </conditionalFormatting>
  <conditionalFormatting sqref="F773">
    <cfRule type="containsText" dxfId="804" priority="805" operator="containsText" text="TOTAL">
      <formula>NOT(ISERROR(SEARCH("TOTAL",F773)))</formula>
    </cfRule>
  </conditionalFormatting>
  <conditionalFormatting sqref="F776">
    <cfRule type="containsText" dxfId="803" priority="804" operator="containsText" text="TOTAL">
      <formula>NOT(ISERROR(SEARCH("TOTAL",F776)))</formula>
    </cfRule>
  </conditionalFormatting>
  <conditionalFormatting sqref="F779">
    <cfRule type="containsText" dxfId="802" priority="803" operator="containsText" text="TOTAL">
      <formula>NOT(ISERROR(SEARCH("TOTAL",F779)))</formula>
    </cfRule>
  </conditionalFormatting>
  <conditionalFormatting sqref="F782">
    <cfRule type="containsText" dxfId="801" priority="802" operator="containsText" text="TOTAL">
      <formula>NOT(ISERROR(SEARCH("TOTAL",F782)))</formula>
    </cfRule>
  </conditionalFormatting>
  <conditionalFormatting sqref="F786">
    <cfRule type="containsText" dxfId="800" priority="801" operator="containsText" text="TOTAL">
      <formula>NOT(ISERROR(SEARCH("TOTAL",F786)))</formula>
    </cfRule>
  </conditionalFormatting>
  <conditionalFormatting sqref="F790">
    <cfRule type="containsText" dxfId="799" priority="800" operator="containsText" text="TOTAL">
      <formula>NOT(ISERROR(SEARCH("TOTAL",F790)))</formula>
    </cfRule>
  </conditionalFormatting>
  <conditionalFormatting sqref="F794">
    <cfRule type="containsText" dxfId="798" priority="799" operator="containsText" text="TOTAL">
      <formula>NOT(ISERROR(SEARCH("TOTAL",F794)))</formula>
    </cfRule>
  </conditionalFormatting>
  <conditionalFormatting sqref="F798">
    <cfRule type="containsText" dxfId="797" priority="798" operator="containsText" text="TOTAL">
      <formula>NOT(ISERROR(SEARCH("TOTAL",F798)))</formula>
    </cfRule>
  </conditionalFormatting>
  <conditionalFormatting sqref="F801">
    <cfRule type="containsText" dxfId="796" priority="797" operator="containsText" text="TOTAL">
      <formula>NOT(ISERROR(SEARCH("TOTAL",F801)))</formula>
    </cfRule>
  </conditionalFormatting>
  <conditionalFormatting sqref="F805">
    <cfRule type="containsText" dxfId="795" priority="796" operator="containsText" text="TOTAL">
      <formula>NOT(ISERROR(SEARCH("TOTAL",F805)))</formula>
    </cfRule>
  </conditionalFormatting>
  <conditionalFormatting sqref="F809">
    <cfRule type="containsText" dxfId="794" priority="795" operator="containsText" text="TOTAL">
      <formula>NOT(ISERROR(SEARCH("TOTAL",F809)))</formula>
    </cfRule>
  </conditionalFormatting>
  <conditionalFormatting sqref="F813">
    <cfRule type="containsText" dxfId="793" priority="794" operator="containsText" text="TOTAL">
      <formula>NOT(ISERROR(SEARCH("TOTAL",F813)))</formula>
    </cfRule>
  </conditionalFormatting>
  <conditionalFormatting sqref="F817">
    <cfRule type="containsText" dxfId="792" priority="793" operator="containsText" text="TOTAL">
      <formula>NOT(ISERROR(SEARCH("TOTAL",F817)))</formula>
    </cfRule>
  </conditionalFormatting>
  <conditionalFormatting sqref="F820">
    <cfRule type="containsText" dxfId="791" priority="792" operator="containsText" text="TOTAL">
      <formula>NOT(ISERROR(SEARCH("TOTAL",F820)))</formula>
    </cfRule>
  </conditionalFormatting>
  <conditionalFormatting sqref="F824">
    <cfRule type="containsText" dxfId="790" priority="791" operator="containsText" text="TOTAL">
      <formula>NOT(ISERROR(SEARCH("TOTAL",F824)))</formula>
    </cfRule>
  </conditionalFormatting>
  <conditionalFormatting sqref="F828">
    <cfRule type="containsText" dxfId="789" priority="790" operator="containsText" text="TOTAL">
      <formula>NOT(ISERROR(SEARCH("TOTAL",F828)))</formula>
    </cfRule>
  </conditionalFormatting>
  <conditionalFormatting sqref="F832">
    <cfRule type="containsText" dxfId="788" priority="789" operator="containsText" text="TOTAL">
      <formula>NOT(ISERROR(SEARCH("TOTAL",F832)))</formula>
    </cfRule>
  </conditionalFormatting>
  <conditionalFormatting sqref="F836">
    <cfRule type="containsText" dxfId="787" priority="788" operator="containsText" text="TOTAL">
      <formula>NOT(ISERROR(SEARCH("TOTAL",F836)))</formula>
    </cfRule>
  </conditionalFormatting>
  <conditionalFormatting sqref="F839">
    <cfRule type="containsText" dxfId="786" priority="787" operator="containsText" text="TOTAL">
      <formula>NOT(ISERROR(SEARCH("TOTAL",F839)))</formula>
    </cfRule>
  </conditionalFormatting>
  <conditionalFormatting sqref="F845">
    <cfRule type="containsText" dxfId="785" priority="786" operator="containsText" text="TOTAL">
      <formula>NOT(ISERROR(SEARCH("TOTAL",F845)))</formula>
    </cfRule>
  </conditionalFormatting>
  <conditionalFormatting sqref="F851">
    <cfRule type="containsText" dxfId="784" priority="785" operator="containsText" text="TOTAL">
      <formula>NOT(ISERROR(SEARCH("TOTAL",F851)))</formula>
    </cfRule>
  </conditionalFormatting>
  <conditionalFormatting sqref="F855">
    <cfRule type="containsText" dxfId="783" priority="784" operator="containsText" text="TOTAL">
      <formula>NOT(ISERROR(SEARCH("TOTAL",F855)))</formula>
    </cfRule>
  </conditionalFormatting>
  <conditionalFormatting sqref="F859">
    <cfRule type="containsText" dxfId="782" priority="783" operator="containsText" text="TOTAL">
      <formula>NOT(ISERROR(SEARCH("TOTAL",F859)))</formula>
    </cfRule>
  </conditionalFormatting>
  <conditionalFormatting sqref="F862">
    <cfRule type="containsText" dxfId="781" priority="782" operator="containsText" text="TOTAL">
      <formula>NOT(ISERROR(SEARCH("TOTAL",F862)))</formula>
    </cfRule>
  </conditionalFormatting>
  <conditionalFormatting sqref="F868">
    <cfRule type="containsText" dxfId="780" priority="781" operator="containsText" text="TOTAL">
      <formula>NOT(ISERROR(SEARCH("TOTAL",F868)))</formula>
    </cfRule>
  </conditionalFormatting>
  <conditionalFormatting sqref="F871">
    <cfRule type="containsText" dxfId="779" priority="780" operator="containsText" text="TOTAL">
      <formula>NOT(ISERROR(SEARCH("TOTAL",F871)))</formula>
    </cfRule>
  </conditionalFormatting>
  <conditionalFormatting sqref="F874">
    <cfRule type="containsText" dxfId="778" priority="779" operator="containsText" text="TOTAL">
      <formula>NOT(ISERROR(SEARCH("TOTAL",F874)))</formula>
    </cfRule>
  </conditionalFormatting>
  <conditionalFormatting sqref="F877">
    <cfRule type="containsText" dxfId="777" priority="778" operator="containsText" text="TOTAL">
      <formula>NOT(ISERROR(SEARCH("TOTAL",F877)))</formula>
    </cfRule>
  </conditionalFormatting>
  <conditionalFormatting sqref="F880">
    <cfRule type="containsText" dxfId="776" priority="777" operator="containsText" text="TOTAL">
      <formula>NOT(ISERROR(SEARCH("TOTAL",F880)))</formula>
    </cfRule>
  </conditionalFormatting>
  <conditionalFormatting sqref="F883">
    <cfRule type="containsText" dxfId="775" priority="776" operator="containsText" text="TOTAL">
      <formula>NOT(ISERROR(SEARCH("TOTAL",F883)))</formula>
    </cfRule>
  </conditionalFormatting>
  <conditionalFormatting sqref="F886">
    <cfRule type="containsText" dxfId="774" priority="775" operator="containsText" text="TOTAL">
      <formula>NOT(ISERROR(SEARCH("TOTAL",F886)))</formula>
    </cfRule>
  </conditionalFormatting>
  <conditionalFormatting sqref="F889">
    <cfRule type="containsText" dxfId="773" priority="774" operator="containsText" text="TOTAL">
      <formula>NOT(ISERROR(SEARCH("TOTAL",F889)))</formula>
    </cfRule>
  </conditionalFormatting>
  <conditionalFormatting sqref="F893">
    <cfRule type="containsText" dxfId="772" priority="773" operator="containsText" text="TOTAL">
      <formula>NOT(ISERROR(SEARCH("TOTAL",F893)))</formula>
    </cfRule>
  </conditionalFormatting>
  <conditionalFormatting sqref="F897">
    <cfRule type="containsText" dxfId="771" priority="772" operator="containsText" text="TOTAL">
      <formula>NOT(ISERROR(SEARCH("TOTAL",F897)))</formula>
    </cfRule>
  </conditionalFormatting>
  <conditionalFormatting sqref="F901">
    <cfRule type="containsText" dxfId="770" priority="771" operator="containsText" text="TOTAL">
      <formula>NOT(ISERROR(SEARCH("TOTAL",F901)))</formula>
    </cfRule>
  </conditionalFormatting>
  <conditionalFormatting sqref="F905">
    <cfRule type="containsText" dxfId="769" priority="770" operator="containsText" text="TOTAL">
      <formula>NOT(ISERROR(SEARCH("TOTAL",F905)))</formula>
    </cfRule>
  </conditionalFormatting>
  <conditionalFormatting sqref="F909">
    <cfRule type="containsText" dxfId="768" priority="769" operator="containsText" text="TOTAL">
      <formula>NOT(ISERROR(SEARCH("TOTAL",F909)))</formula>
    </cfRule>
  </conditionalFormatting>
  <conditionalFormatting sqref="F912">
    <cfRule type="containsText" dxfId="767" priority="768" operator="containsText" text="TOTAL">
      <formula>NOT(ISERROR(SEARCH("TOTAL",F912)))</formula>
    </cfRule>
  </conditionalFormatting>
  <conditionalFormatting sqref="F916">
    <cfRule type="containsText" dxfId="766" priority="767" operator="containsText" text="TOTAL">
      <formula>NOT(ISERROR(SEARCH("TOTAL",F916)))</formula>
    </cfRule>
  </conditionalFormatting>
  <conditionalFormatting sqref="F920">
    <cfRule type="containsText" dxfId="765" priority="766" operator="containsText" text="TOTAL">
      <formula>NOT(ISERROR(SEARCH("TOTAL",F920)))</formula>
    </cfRule>
  </conditionalFormatting>
  <conditionalFormatting sqref="F924">
    <cfRule type="containsText" dxfId="764" priority="765" operator="containsText" text="TOTAL">
      <formula>NOT(ISERROR(SEARCH("TOTAL",F924)))</formula>
    </cfRule>
  </conditionalFormatting>
  <conditionalFormatting sqref="F928">
    <cfRule type="containsText" dxfId="763" priority="764" operator="containsText" text="TOTAL">
      <formula>NOT(ISERROR(SEARCH("TOTAL",F928)))</formula>
    </cfRule>
  </conditionalFormatting>
  <conditionalFormatting sqref="F932">
    <cfRule type="containsText" dxfId="762" priority="763" operator="containsText" text="TOTAL">
      <formula>NOT(ISERROR(SEARCH("TOTAL",F932)))</formula>
    </cfRule>
  </conditionalFormatting>
  <conditionalFormatting sqref="F935">
    <cfRule type="containsText" dxfId="761" priority="762" operator="containsText" text="TOTAL">
      <formula>NOT(ISERROR(SEARCH("TOTAL",F935)))</formula>
    </cfRule>
  </conditionalFormatting>
  <conditionalFormatting sqref="F941">
    <cfRule type="containsText" dxfId="760" priority="761" operator="containsText" text="TOTAL">
      <formula>NOT(ISERROR(SEARCH("TOTAL",F941)))</formula>
    </cfRule>
  </conditionalFormatting>
  <conditionalFormatting sqref="F945">
    <cfRule type="containsText" dxfId="759" priority="760" operator="containsText" text="TOTAL">
      <formula>NOT(ISERROR(SEARCH("TOTAL",F945)))</formula>
    </cfRule>
  </conditionalFormatting>
  <conditionalFormatting sqref="F950">
    <cfRule type="containsText" dxfId="758" priority="759" operator="containsText" text="TOTAL">
      <formula>NOT(ISERROR(SEARCH("TOTAL",F950)))</formula>
    </cfRule>
  </conditionalFormatting>
  <conditionalFormatting sqref="F955">
    <cfRule type="containsText" dxfId="757" priority="758" operator="containsText" text="TOTAL">
      <formula>NOT(ISERROR(SEARCH("TOTAL",F955)))</formula>
    </cfRule>
  </conditionalFormatting>
  <conditionalFormatting sqref="F959">
    <cfRule type="containsText" dxfId="756" priority="757" operator="containsText" text="TOTAL">
      <formula>NOT(ISERROR(SEARCH("TOTAL",F959)))</formula>
    </cfRule>
  </conditionalFormatting>
  <conditionalFormatting sqref="F963">
    <cfRule type="containsText" dxfId="755" priority="756" operator="containsText" text="TOTAL">
      <formula>NOT(ISERROR(SEARCH("TOTAL",F963)))</formula>
    </cfRule>
  </conditionalFormatting>
  <conditionalFormatting sqref="F969">
    <cfRule type="containsText" dxfId="754" priority="755" operator="containsText" text="TOTAL">
      <formula>NOT(ISERROR(SEARCH("TOTAL",F969)))</formula>
    </cfRule>
  </conditionalFormatting>
  <conditionalFormatting sqref="F975">
    <cfRule type="containsText" dxfId="753" priority="754" operator="containsText" text="TOTAL">
      <formula>NOT(ISERROR(SEARCH("TOTAL",F975)))</formula>
    </cfRule>
  </conditionalFormatting>
  <conditionalFormatting sqref="F978">
    <cfRule type="containsText" dxfId="752" priority="753" operator="containsText" text="TOTAL">
      <formula>NOT(ISERROR(SEARCH("TOTAL",F978)))</formula>
    </cfRule>
  </conditionalFormatting>
  <conditionalFormatting sqref="F984">
    <cfRule type="containsText" dxfId="751" priority="752" operator="containsText" text="TOTAL">
      <formula>NOT(ISERROR(SEARCH("TOTAL",F984)))</formula>
    </cfRule>
  </conditionalFormatting>
  <conditionalFormatting sqref="F990">
    <cfRule type="containsText" dxfId="750" priority="751" operator="containsText" text="TOTAL">
      <formula>NOT(ISERROR(SEARCH("TOTAL",F990)))</formula>
    </cfRule>
  </conditionalFormatting>
  <conditionalFormatting sqref="F994">
    <cfRule type="containsText" dxfId="749" priority="750" operator="containsText" text="TOTAL">
      <formula>NOT(ISERROR(SEARCH("TOTAL",F994)))</formula>
    </cfRule>
  </conditionalFormatting>
  <conditionalFormatting sqref="F998">
    <cfRule type="containsText" dxfId="748" priority="749" operator="containsText" text="TOTAL">
      <formula>NOT(ISERROR(SEARCH("TOTAL",F998)))</formula>
    </cfRule>
  </conditionalFormatting>
  <conditionalFormatting sqref="F1002">
    <cfRule type="containsText" dxfId="747" priority="748" operator="containsText" text="TOTAL">
      <formula>NOT(ISERROR(SEARCH("TOTAL",F1002)))</formula>
    </cfRule>
  </conditionalFormatting>
  <conditionalFormatting sqref="F1006">
    <cfRule type="containsText" dxfId="746" priority="747" operator="containsText" text="TOTAL">
      <formula>NOT(ISERROR(SEARCH("TOTAL",F1006)))</formula>
    </cfRule>
  </conditionalFormatting>
  <conditionalFormatting sqref="F1013">
    <cfRule type="containsText" dxfId="745" priority="746" operator="containsText" text="TOTAL">
      <formula>NOT(ISERROR(SEARCH("TOTAL",F1013)))</formula>
    </cfRule>
  </conditionalFormatting>
  <conditionalFormatting sqref="F1020">
    <cfRule type="containsText" dxfId="744" priority="745" operator="containsText" text="TOTAL">
      <formula>NOT(ISERROR(SEARCH("TOTAL",F1020)))</formula>
    </cfRule>
  </conditionalFormatting>
  <conditionalFormatting sqref="F1024">
    <cfRule type="containsText" dxfId="743" priority="744" operator="containsText" text="TOTAL">
      <formula>NOT(ISERROR(SEARCH("TOTAL",F1024)))</formula>
    </cfRule>
  </conditionalFormatting>
  <conditionalFormatting sqref="F1027">
    <cfRule type="containsText" dxfId="742" priority="743" operator="containsText" text="TOTAL">
      <formula>NOT(ISERROR(SEARCH("TOTAL",F1027)))</formula>
    </cfRule>
  </conditionalFormatting>
  <conditionalFormatting sqref="F1031">
    <cfRule type="containsText" dxfId="741" priority="742" operator="containsText" text="TOTAL">
      <formula>NOT(ISERROR(SEARCH("TOTAL",F1031)))</formula>
    </cfRule>
  </conditionalFormatting>
  <conditionalFormatting sqref="F1035">
    <cfRule type="containsText" dxfId="740" priority="741" operator="containsText" text="TOTAL">
      <formula>NOT(ISERROR(SEARCH("TOTAL",F1035)))</formula>
    </cfRule>
  </conditionalFormatting>
  <conditionalFormatting sqref="F1038">
    <cfRule type="containsText" dxfId="739" priority="740" operator="containsText" text="TOTAL">
      <formula>NOT(ISERROR(SEARCH("TOTAL",F1038)))</formula>
    </cfRule>
  </conditionalFormatting>
  <conditionalFormatting sqref="F1042">
    <cfRule type="containsText" dxfId="738" priority="739" operator="containsText" text="TOTAL">
      <formula>NOT(ISERROR(SEARCH("TOTAL",F1042)))</formula>
    </cfRule>
  </conditionalFormatting>
  <conditionalFormatting sqref="F1046">
    <cfRule type="containsText" dxfId="737" priority="738" operator="containsText" text="TOTAL">
      <formula>NOT(ISERROR(SEARCH("TOTAL",F1046)))</formula>
    </cfRule>
  </conditionalFormatting>
  <conditionalFormatting sqref="F1050">
    <cfRule type="containsText" dxfId="736" priority="737" operator="containsText" text="TOTAL">
      <formula>NOT(ISERROR(SEARCH("TOTAL",F1050)))</formula>
    </cfRule>
  </conditionalFormatting>
  <conditionalFormatting sqref="F1054">
    <cfRule type="containsText" dxfId="735" priority="736" operator="containsText" text="TOTAL">
      <formula>NOT(ISERROR(SEARCH("TOTAL",F1054)))</formula>
    </cfRule>
  </conditionalFormatting>
  <conditionalFormatting sqref="F1058">
    <cfRule type="containsText" dxfId="734" priority="735" operator="containsText" text="TOTAL">
      <formula>NOT(ISERROR(SEARCH("TOTAL",F1058)))</formula>
    </cfRule>
  </conditionalFormatting>
  <conditionalFormatting sqref="F1062">
    <cfRule type="containsText" dxfId="733" priority="734" operator="containsText" text="TOTAL">
      <formula>NOT(ISERROR(SEARCH("TOTAL",F1062)))</formula>
    </cfRule>
  </conditionalFormatting>
  <conditionalFormatting sqref="F1068">
    <cfRule type="containsText" dxfId="732" priority="733" operator="containsText" text="TOTAL">
      <formula>NOT(ISERROR(SEARCH("TOTAL",F1068)))</formula>
    </cfRule>
  </conditionalFormatting>
  <conditionalFormatting sqref="F1074">
    <cfRule type="containsText" dxfId="731" priority="732" operator="containsText" text="TOTAL">
      <formula>NOT(ISERROR(SEARCH("TOTAL",F1074)))</formula>
    </cfRule>
  </conditionalFormatting>
  <conditionalFormatting sqref="F1077">
    <cfRule type="containsText" dxfId="730" priority="731" operator="containsText" text="TOTAL">
      <formula>NOT(ISERROR(SEARCH("TOTAL",F1077)))</formula>
    </cfRule>
  </conditionalFormatting>
  <conditionalFormatting sqref="F1080">
    <cfRule type="containsText" dxfId="729" priority="730" operator="containsText" text="TOTAL">
      <formula>NOT(ISERROR(SEARCH("TOTAL",F1080)))</formula>
    </cfRule>
  </conditionalFormatting>
  <conditionalFormatting sqref="F1083">
    <cfRule type="containsText" dxfId="728" priority="729" operator="containsText" text="TOTAL">
      <formula>NOT(ISERROR(SEARCH("TOTAL",F1083)))</formula>
    </cfRule>
  </conditionalFormatting>
  <conditionalFormatting sqref="F1086">
    <cfRule type="containsText" dxfId="727" priority="728" operator="containsText" text="TOTAL">
      <formula>NOT(ISERROR(SEARCH("TOTAL",F1086)))</formula>
    </cfRule>
  </conditionalFormatting>
  <conditionalFormatting sqref="F1089">
    <cfRule type="containsText" dxfId="726" priority="727" operator="containsText" text="TOTAL">
      <formula>NOT(ISERROR(SEARCH("TOTAL",F1089)))</formula>
    </cfRule>
  </conditionalFormatting>
  <conditionalFormatting sqref="F1092">
    <cfRule type="containsText" dxfId="725" priority="726" operator="containsText" text="TOTAL">
      <formula>NOT(ISERROR(SEARCH("TOTAL",F1092)))</formula>
    </cfRule>
  </conditionalFormatting>
  <conditionalFormatting sqref="F1095">
    <cfRule type="containsText" dxfId="724" priority="725" operator="containsText" text="TOTAL">
      <formula>NOT(ISERROR(SEARCH("TOTAL",F1095)))</formula>
    </cfRule>
  </conditionalFormatting>
  <conditionalFormatting sqref="F1099">
    <cfRule type="containsText" dxfId="723" priority="724" operator="containsText" text="TOTAL">
      <formula>NOT(ISERROR(SEARCH("TOTAL",F1099)))</formula>
    </cfRule>
  </conditionalFormatting>
  <conditionalFormatting sqref="F1103">
    <cfRule type="containsText" dxfId="722" priority="723" operator="containsText" text="TOTAL">
      <formula>NOT(ISERROR(SEARCH("TOTAL",F1103)))</formula>
    </cfRule>
  </conditionalFormatting>
  <conditionalFormatting sqref="F1106">
    <cfRule type="containsText" dxfId="721" priority="722" operator="containsText" text="TOTAL">
      <formula>NOT(ISERROR(SEARCH("TOTAL",F1106)))</formula>
    </cfRule>
  </conditionalFormatting>
  <conditionalFormatting sqref="F1109">
    <cfRule type="containsText" dxfId="720" priority="721" operator="containsText" text="TOTAL">
      <formula>NOT(ISERROR(SEARCH("TOTAL",F1109)))</formula>
    </cfRule>
  </conditionalFormatting>
  <conditionalFormatting sqref="F1113">
    <cfRule type="containsText" dxfId="719" priority="720" operator="containsText" text="TOTAL">
      <formula>NOT(ISERROR(SEARCH("TOTAL",F1113)))</formula>
    </cfRule>
  </conditionalFormatting>
  <conditionalFormatting sqref="F1117">
    <cfRule type="containsText" dxfId="718" priority="719" operator="containsText" text="TOTAL">
      <formula>NOT(ISERROR(SEARCH("TOTAL",F1117)))</formula>
    </cfRule>
  </conditionalFormatting>
  <conditionalFormatting sqref="F1120">
    <cfRule type="containsText" dxfId="717" priority="718" operator="containsText" text="TOTAL">
      <formula>NOT(ISERROR(SEARCH("TOTAL",F1120)))</formula>
    </cfRule>
  </conditionalFormatting>
  <conditionalFormatting sqref="F1123">
    <cfRule type="containsText" dxfId="716" priority="717" operator="containsText" text="TOTAL">
      <formula>NOT(ISERROR(SEARCH("TOTAL",F1123)))</formula>
    </cfRule>
  </conditionalFormatting>
  <conditionalFormatting sqref="F1127">
    <cfRule type="containsText" dxfId="715" priority="716" operator="containsText" text="TOTAL">
      <formula>NOT(ISERROR(SEARCH("TOTAL",F1127)))</formula>
    </cfRule>
  </conditionalFormatting>
  <conditionalFormatting sqref="F1131">
    <cfRule type="containsText" dxfId="714" priority="715" operator="containsText" text="TOTAL">
      <formula>NOT(ISERROR(SEARCH("TOTAL",F1131)))</formula>
    </cfRule>
  </conditionalFormatting>
  <conditionalFormatting sqref="F1135">
    <cfRule type="containsText" dxfId="713" priority="714" operator="containsText" text="TOTAL">
      <formula>NOT(ISERROR(SEARCH("TOTAL",F1135)))</formula>
    </cfRule>
  </conditionalFormatting>
  <conditionalFormatting sqref="F1139">
    <cfRule type="containsText" dxfId="712" priority="713" operator="containsText" text="TOTAL">
      <formula>NOT(ISERROR(SEARCH("TOTAL",F1139)))</formula>
    </cfRule>
  </conditionalFormatting>
  <conditionalFormatting sqref="F1143">
    <cfRule type="containsText" dxfId="711" priority="712" operator="containsText" text="TOTAL">
      <formula>NOT(ISERROR(SEARCH("TOTAL",F1143)))</formula>
    </cfRule>
  </conditionalFormatting>
  <conditionalFormatting sqref="F1148">
    <cfRule type="containsText" dxfId="710" priority="711" operator="containsText" text="TOTAL">
      <formula>NOT(ISERROR(SEARCH("TOTAL",F1148)))</formula>
    </cfRule>
  </conditionalFormatting>
  <conditionalFormatting sqref="F1153">
    <cfRule type="containsText" dxfId="709" priority="710" operator="containsText" text="TOTAL">
      <formula>NOT(ISERROR(SEARCH("TOTAL",F1153)))</formula>
    </cfRule>
  </conditionalFormatting>
  <conditionalFormatting sqref="F1157">
    <cfRule type="containsText" dxfId="708" priority="709" operator="containsText" text="TOTAL">
      <formula>NOT(ISERROR(SEARCH("TOTAL",F1157)))</formula>
    </cfRule>
  </conditionalFormatting>
  <conditionalFormatting sqref="F1160">
    <cfRule type="containsText" dxfId="707" priority="708" operator="containsText" text="TOTAL">
      <formula>NOT(ISERROR(SEARCH("TOTAL",F1160)))</formula>
    </cfRule>
  </conditionalFormatting>
  <conditionalFormatting sqref="F1165">
    <cfRule type="containsText" dxfId="706" priority="707" operator="containsText" text="TOTAL">
      <formula>NOT(ISERROR(SEARCH("TOTAL",F1165)))</formula>
    </cfRule>
  </conditionalFormatting>
  <conditionalFormatting sqref="F1170">
    <cfRule type="containsText" dxfId="705" priority="706" operator="containsText" text="TOTAL">
      <formula>NOT(ISERROR(SEARCH("TOTAL",F1170)))</formula>
    </cfRule>
  </conditionalFormatting>
  <conditionalFormatting sqref="F1173">
    <cfRule type="containsText" dxfId="704" priority="705" operator="containsText" text="TOTAL">
      <formula>NOT(ISERROR(SEARCH("TOTAL",F1173)))</formula>
    </cfRule>
  </conditionalFormatting>
  <conditionalFormatting sqref="F1176">
    <cfRule type="containsText" dxfId="703" priority="704" operator="containsText" text="TOTAL">
      <formula>NOT(ISERROR(SEARCH("TOTAL",F1176)))</formula>
    </cfRule>
  </conditionalFormatting>
  <conditionalFormatting sqref="F1179">
    <cfRule type="containsText" dxfId="702" priority="703" operator="containsText" text="TOTAL">
      <formula>NOT(ISERROR(SEARCH("TOTAL",F1179)))</formula>
    </cfRule>
  </conditionalFormatting>
  <conditionalFormatting sqref="F1182">
    <cfRule type="containsText" dxfId="701" priority="702" operator="containsText" text="TOTAL">
      <formula>NOT(ISERROR(SEARCH("TOTAL",F1182)))</formula>
    </cfRule>
  </conditionalFormatting>
  <conditionalFormatting sqref="F1185">
    <cfRule type="containsText" dxfId="700" priority="701" operator="containsText" text="TOTAL">
      <formula>NOT(ISERROR(SEARCH("TOTAL",F1185)))</formula>
    </cfRule>
  </conditionalFormatting>
  <conditionalFormatting sqref="F1189">
    <cfRule type="containsText" dxfId="699" priority="700" operator="containsText" text="TOTAL">
      <formula>NOT(ISERROR(SEARCH("TOTAL",F1189)))</formula>
    </cfRule>
  </conditionalFormatting>
  <conditionalFormatting sqref="F1193">
    <cfRule type="containsText" dxfId="698" priority="699" operator="containsText" text="TOTAL">
      <formula>NOT(ISERROR(SEARCH("TOTAL",F1193)))</formula>
    </cfRule>
  </conditionalFormatting>
  <conditionalFormatting sqref="F1196">
    <cfRule type="containsText" dxfId="697" priority="698" operator="containsText" text="TOTAL">
      <formula>NOT(ISERROR(SEARCH("TOTAL",F1196)))</formula>
    </cfRule>
  </conditionalFormatting>
  <conditionalFormatting sqref="F1200">
    <cfRule type="containsText" dxfId="696" priority="697" operator="containsText" text="TOTAL">
      <formula>NOT(ISERROR(SEARCH("TOTAL",F1200)))</formula>
    </cfRule>
  </conditionalFormatting>
  <conditionalFormatting sqref="F1204">
    <cfRule type="containsText" dxfId="695" priority="696" operator="containsText" text="TOTAL">
      <formula>NOT(ISERROR(SEARCH("TOTAL",F1204)))</formula>
    </cfRule>
  </conditionalFormatting>
  <conditionalFormatting sqref="F1208">
    <cfRule type="containsText" dxfId="694" priority="695" operator="containsText" text="TOTAL">
      <formula>NOT(ISERROR(SEARCH("TOTAL",F1208)))</formula>
    </cfRule>
  </conditionalFormatting>
  <conditionalFormatting sqref="F1212">
    <cfRule type="containsText" dxfId="693" priority="694" operator="containsText" text="TOTAL">
      <formula>NOT(ISERROR(SEARCH("TOTAL",F1212)))</formula>
    </cfRule>
  </conditionalFormatting>
  <conditionalFormatting sqref="F1215">
    <cfRule type="containsText" dxfId="692" priority="693" operator="containsText" text="TOTAL">
      <formula>NOT(ISERROR(SEARCH("TOTAL",F1215)))</formula>
    </cfRule>
  </conditionalFormatting>
  <conditionalFormatting sqref="F1218">
    <cfRule type="containsText" dxfId="691" priority="692" operator="containsText" text="TOTAL">
      <formula>NOT(ISERROR(SEARCH("TOTAL",F1218)))</formula>
    </cfRule>
  </conditionalFormatting>
  <conditionalFormatting sqref="F1221">
    <cfRule type="containsText" dxfId="690" priority="691" operator="containsText" text="TOTAL">
      <formula>NOT(ISERROR(SEARCH("TOTAL",F1221)))</formula>
    </cfRule>
  </conditionalFormatting>
  <conditionalFormatting sqref="F1224">
    <cfRule type="containsText" dxfId="689" priority="690" operator="containsText" text="TOTAL">
      <formula>NOT(ISERROR(SEARCH("TOTAL",F1224)))</formula>
    </cfRule>
  </conditionalFormatting>
  <conditionalFormatting sqref="F1227">
    <cfRule type="containsText" dxfId="688" priority="689" operator="containsText" text="TOTAL">
      <formula>NOT(ISERROR(SEARCH("TOTAL",F1227)))</formula>
    </cfRule>
  </conditionalFormatting>
  <conditionalFormatting sqref="F1230">
    <cfRule type="containsText" dxfId="687" priority="688" operator="containsText" text="TOTAL">
      <formula>NOT(ISERROR(SEARCH("TOTAL",F1230)))</formula>
    </cfRule>
  </conditionalFormatting>
  <conditionalFormatting sqref="F1234">
    <cfRule type="containsText" dxfId="686" priority="687" operator="containsText" text="TOTAL">
      <formula>NOT(ISERROR(SEARCH("TOTAL",F1234)))</formula>
    </cfRule>
  </conditionalFormatting>
  <conditionalFormatting sqref="F1238">
    <cfRule type="containsText" dxfId="685" priority="686" operator="containsText" text="TOTAL">
      <formula>NOT(ISERROR(SEARCH("TOTAL",F1238)))</formula>
    </cfRule>
  </conditionalFormatting>
  <conditionalFormatting sqref="F1241">
    <cfRule type="containsText" dxfId="684" priority="685" operator="containsText" text="TOTAL">
      <formula>NOT(ISERROR(SEARCH("TOTAL",F1241)))</formula>
    </cfRule>
  </conditionalFormatting>
  <conditionalFormatting sqref="F1244">
    <cfRule type="containsText" dxfId="683" priority="684" operator="containsText" text="TOTAL">
      <formula>NOT(ISERROR(SEARCH("TOTAL",F1244)))</formula>
    </cfRule>
  </conditionalFormatting>
  <conditionalFormatting sqref="F1247">
    <cfRule type="containsText" dxfId="682" priority="683" operator="containsText" text="TOTAL">
      <formula>NOT(ISERROR(SEARCH("TOTAL",F1247)))</formula>
    </cfRule>
  </conditionalFormatting>
  <conditionalFormatting sqref="F1251">
    <cfRule type="containsText" dxfId="681" priority="682" operator="containsText" text="TOTAL">
      <formula>NOT(ISERROR(SEARCH("TOTAL",F1251)))</formula>
    </cfRule>
  </conditionalFormatting>
  <conditionalFormatting sqref="F1254">
    <cfRule type="containsText" dxfId="680" priority="681" operator="containsText" text="TOTAL">
      <formula>NOT(ISERROR(SEARCH("TOTAL",F1254)))</formula>
    </cfRule>
  </conditionalFormatting>
  <conditionalFormatting sqref="F1261">
    <cfRule type="containsText" dxfId="679" priority="680" operator="containsText" text="TOTAL">
      <formula>NOT(ISERROR(SEARCH("TOTAL",F1261)))</formula>
    </cfRule>
  </conditionalFormatting>
  <conditionalFormatting sqref="F1268">
    <cfRule type="containsText" dxfId="678" priority="679" operator="containsText" text="TOTAL">
      <formula>NOT(ISERROR(SEARCH("TOTAL",F1268)))</formula>
    </cfRule>
  </conditionalFormatting>
  <conditionalFormatting sqref="F1272">
    <cfRule type="containsText" dxfId="677" priority="678" operator="containsText" text="TOTAL">
      <formula>NOT(ISERROR(SEARCH("TOTAL",F1272)))</formula>
    </cfRule>
  </conditionalFormatting>
  <conditionalFormatting sqref="F1276">
    <cfRule type="containsText" dxfId="676" priority="677" operator="containsText" text="TOTAL">
      <formula>NOT(ISERROR(SEARCH("TOTAL",F1276)))</formula>
    </cfRule>
  </conditionalFormatting>
  <conditionalFormatting sqref="F1279">
    <cfRule type="containsText" dxfId="675" priority="676" operator="containsText" text="TOTAL">
      <formula>NOT(ISERROR(SEARCH("TOTAL",F1279)))</formula>
    </cfRule>
  </conditionalFormatting>
  <conditionalFormatting sqref="F1285">
    <cfRule type="containsText" dxfId="674" priority="675" operator="containsText" text="TOTAL">
      <formula>NOT(ISERROR(SEARCH("TOTAL",F1285)))</formula>
    </cfRule>
  </conditionalFormatting>
  <conditionalFormatting sqref="F1293">
    <cfRule type="containsText" dxfId="673" priority="674" operator="containsText" text="TOTAL">
      <formula>NOT(ISERROR(SEARCH("TOTAL",F1293)))</formula>
    </cfRule>
  </conditionalFormatting>
  <conditionalFormatting sqref="F1299">
    <cfRule type="containsText" dxfId="672" priority="673" operator="containsText" text="TOTAL">
      <formula>NOT(ISERROR(SEARCH("TOTAL",F1299)))</formula>
    </cfRule>
  </conditionalFormatting>
  <conditionalFormatting sqref="F1308">
    <cfRule type="containsText" dxfId="671" priority="672" operator="containsText" text="TOTAL">
      <formula>NOT(ISERROR(SEARCH("TOTAL",F1308)))</formula>
    </cfRule>
  </conditionalFormatting>
  <conditionalFormatting sqref="F1311">
    <cfRule type="containsText" dxfId="670" priority="671" operator="containsText" text="TOTAL">
      <formula>NOT(ISERROR(SEARCH("TOTAL",F1311)))</formula>
    </cfRule>
  </conditionalFormatting>
  <conditionalFormatting sqref="F1317">
    <cfRule type="containsText" dxfId="669" priority="670" operator="containsText" text="TOTAL">
      <formula>NOT(ISERROR(SEARCH("TOTAL",F1317)))</formula>
    </cfRule>
  </conditionalFormatting>
  <conditionalFormatting sqref="F1323">
    <cfRule type="containsText" dxfId="668" priority="669" operator="containsText" text="TOTAL">
      <formula>NOT(ISERROR(SEARCH("TOTAL",F1323)))</formula>
    </cfRule>
  </conditionalFormatting>
  <conditionalFormatting sqref="F1327">
    <cfRule type="containsText" dxfId="667" priority="668" operator="containsText" text="TOTAL">
      <formula>NOT(ISERROR(SEARCH("TOTAL",F1327)))</formula>
    </cfRule>
  </conditionalFormatting>
  <conditionalFormatting sqref="F1334">
    <cfRule type="containsText" dxfId="666" priority="667" operator="containsText" text="TOTAL">
      <formula>NOT(ISERROR(SEARCH("TOTAL",F1334)))</formula>
    </cfRule>
  </conditionalFormatting>
  <conditionalFormatting sqref="F1337">
    <cfRule type="containsText" dxfId="665" priority="666" operator="containsText" text="TOTAL">
      <formula>NOT(ISERROR(SEARCH("TOTAL",F1337)))</formula>
    </cfRule>
  </conditionalFormatting>
  <conditionalFormatting sqref="F1341">
    <cfRule type="containsText" dxfId="664" priority="665" operator="containsText" text="TOTAL">
      <formula>NOT(ISERROR(SEARCH("TOTAL",F1341)))</formula>
    </cfRule>
  </conditionalFormatting>
  <conditionalFormatting sqref="F1345">
    <cfRule type="containsText" dxfId="663" priority="664" operator="containsText" text="TOTAL">
      <formula>NOT(ISERROR(SEARCH("TOTAL",F1345)))</formula>
    </cfRule>
  </conditionalFormatting>
  <conditionalFormatting sqref="F1349">
    <cfRule type="containsText" dxfId="662" priority="663" operator="containsText" text="TOTAL">
      <formula>NOT(ISERROR(SEARCH("TOTAL",F1349)))</formula>
    </cfRule>
  </conditionalFormatting>
  <conditionalFormatting sqref="F1353">
    <cfRule type="containsText" dxfId="661" priority="662" operator="containsText" text="TOTAL">
      <formula>NOT(ISERROR(SEARCH("TOTAL",F1353)))</formula>
    </cfRule>
  </conditionalFormatting>
  <conditionalFormatting sqref="F1359">
    <cfRule type="containsText" dxfId="660" priority="661" operator="containsText" text="TOTAL">
      <formula>NOT(ISERROR(SEARCH("TOTAL",F1359)))</formula>
    </cfRule>
  </conditionalFormatting>
  <conditionalFormatting sqref="F1365">
    <cfRule type="containsText" dxfId="659" priority="660" operator="containsText" text="TOTAL">
      <formula>NOT(ISERROR(SEARCH("TOTAL",F1365)))</formula>
    </cfRule>
  </conditionalFormatting>
  <conditionalFormatting sqref="F1368">
    <cfRule type="containsText" dxfId="658" priority="659" operator="containsText" text="TOTAL">
      <formula>NOT(ISERROR(SEARCH("TOTAL",F1368)))</formula>
    </cfRule>
  </conditionalFormatting>
  <conditionalFormatting sqref="F1372">
    <cfRule type="containsText" dxfId="657" priority="658" operator="containsText" text="TOTAL">
      <formula>NOT(ISERROR(SEARCH("TOTAL",F1372)))</formula>
    </cfRule>
  </conditionalFormatting>
  <conditionalFormatting sqref="F1375">
    <cfRule type="containsText" dxfId="656" priority="657" operator="containsText" text="TOTAL">
      <formula>NOT(ISERROR(SEARCH("TOTAL",F1375)))</formula>
    </cfRule>
  </conditionalFormatting>
  <conditionalFormatting sqref="F1378">
    <cfRule type="containsText" dxfId="655" priority="656" operator="containsText" text="TOTAL">
      <formula>NOT(ISERROR(SEARCH("TOTAL",F1378)))</formula>
    </cfRule>
  </conditionalFormatting>
  <conditionalFormatting sqref="F1381">
    <cfRule type="containsText" dxfId="654" priority="655" operator="containsText" text="TOTAL">
      <formula>NOT(ISERROR(SEARCH("TOTAL",F1381)))</formula>
    </cfRule>
  </conditionalFormatting>
  <conditionalFormatting sqref="F1388">
    <cfRule type="containsText" dxfId="653" priority="654" operator="containsText" text="TOTAL">
      <formula>NOT(ISERROR(SEARCH("TOTAL",F1388)))</formula>
    </cfRule>
  </conditionalFormatting>
  <conditionalFormatting sqref="F1391">
    <cfRule type="containsText" dxfId="652" priority="653" operator="containsText" text="TOTAL">
      <formula>NOT(ISERROR(SEARCH("TOTAL",F1391)))</formula>
    </cfRule>
  </conditionalFormatting>
  <conditionalFormatting sqref="F1395">
    <cfRule type="containsText" dxfId="651" priority="652" operator="containsText" text="TOTAL">
      <formula>NOT(ISERROR(SEARCH("TOTAL",F1395)))</formula>
    </cfRule>
  </conditionalFormatting>
  <conditionalFormatting sqref="F1398">
    <cfRule type="containsText" dxfId="650" priority="651" operator="containsText" text="TOTAL">
      <formula>NOT(ISERROR(SEARCH("TOTAL",F1398)))</formula>
    </cfRule>
  </conditionalFormatting>
  <conditionalFormatting sqref="F1402">
    <cfRule type="containsText" dxfId="649" priority="650" operator="containsText" text="TOTAL">
      <formula>NOT(ISERROR(SEARCH("TOTAL",F1402)))</formula>
    </cfRule>
  </conditionalFormatting>
  <conditionalFormatting sqref="F1406">
    <cfRule type="containsText" dxfId="648" priority="649" operator="containsText" text="TOTAL">
      <formula>NOT(ISERROR(SEARCH("TOTAL",F1406)))</formula>
    </cfRule>
  </conditionalFormatting>
  <conditionalFormatting sqref="F1409">
    <cfRule type="containsText" dxfId="647" priority="648" operator="containsText" text="TOTAL">
      <formula>NOT(ISERROR(SEARCH("TOTAL",F1409)))</formula>
    </cfRule>
  </conditionalFormatting>
  <conditionalFormatting sqref="F1412">
    <cfRule type="containsText" dxfId="646" priority="647" operator="containsText" text="TOTAL">
      <formula>NOT(ISERROR(SEARCH("TOTAL",F1412)))</formula>
    </cfRule>
  </conditionalFormatting>
  <conditionalFormatting sqref="F1416">
    <cfRule type="containsText" dxfId="645" priority="646" operator="containsText" text="TOTAL">
      <formula>NOT(ISERROR(SEARCH("TOTAL",F1416)))</formula>
    </cfRule>
  </conditionalFormatting>
  <conditionalFormatting sqref="F1419">
    <cfRule type="containsText" dxfId="644" priority="645" operator="containsText" text="TOTAL">
      <formula>NOT(ISERROR(SEARCH("TOTAL",F1419)))</formula>
    </cfRule>
  </conditionalFormatting>
  <conditionalFormatting sqref="F1423">
    <cfRule type="containsText" dxfId="643" priority="644" operator="containsText" text="TOTAL">
      <formula>NOT(ISERROR(SEARCH("TOTAL",F1423)))</formula>
    </cfRule>
  </conditionalFormatting>
  <conditionalFormatting sqref="F1427">
    <cfRule type="containsText" dxfId="642" priority="643" operator="containsText" text="TOTAL">
      <formula>NOT(ISERROR(SEARCH("TOTAL",F1427)))</formula>
    </cfRule>
  </conditionalFormatting>
  <conditionalFormatting sqref="F1433">
    <cfRule type="containsText" dxfId="641" priority="642" operator="containsText" text="TOTAL">
      <formula>NOT(ISERROR(SEARCH("TOTAL",F1433)))</formula>
    </cfRule>
  </conditionalFormatting>
  <conditionalFormatting sqref="F1439">
    <cfRule type="containsText" dxfId="640" priority="641" operator="containsText" text="TOTAL">
      <formula>NOT(ISERROR(SEARCH("TOTAL",F1439)))</formula>
    </cfRule>
  </conditionalFormatting>
  <conditionalFormatting sqref="F1444">
    <cfRule type="containsText" dxfId="639" priority="640" operator="containsText" text="TOTAL">
      <formula>NOT(ISERROR(SEARCH("TOTAL",F1444)))</formula>
    </cfRule>
  </conditionalFormatting>
  <conditionalFormatting sqref="F1454">
    <cfRule type="containsText" dxfId="638" priority="639" operator="containsText" text="TOTAL">
      <formula>NOT(ISERROR(SEARCH("TOTAL",F1454)))</formula>
    </cfRule>
  </conditionalFormatting>
  <conditionalFormatting sqref="F1462">
    <cfRule type="containsText" dxfId="637" priority="638" operator="containsText" text="TOTAL">
      <formula>NOT(ISERROR(SEARCH("TOTAL",F1462)))</formula>
    </cfRule>
  </conditionalFormatting>
  <conditionalFormatting sqref="F1466">
    <cfRule type="containsText" dxfId="636" priority="637" operator="containsText" text="TOTAL">
      <formula>NOT(ISERROR(SEARCH("TOTAL",F1466)))</formula>
    </cfRule>
  </conditionalFormatting>
  <conditionalFormatting sqref="F1470">
    <cfRule type="containsText" dxfId="635" priority="636" operator="containsText" text="TOTAL">
      <formula>NOT(ISERROR(SEARCH("TOTAL",F1470)))</formula>
    </cfRule>
  </conditionalFormatting>
  <conditionalFormatting sqref="F1473">
    <cfRule type="containsText" dxfId="634" priority="635" operator="containsText" text="TOTAL">
      <formula>NOT(ISERROR(SEARCH("TOTAL",F1473)))</formula>
    </cfRule>
  </conditionalFormatting>
  <conditionalFormatting sqref="F1477">
    <cfRule type="containsText" dxfId="633" priority="634" operator="containsText" text="TOTAL">
      <formula>NOT(ISERROR(SEARCH("TOTAL",F1477)))</formula>
    </cfRule>
  </conditionalFormatting>
  <conditionalFormatting sqref="F1481">
    <cfRule type="containsText" dxfId="632" priority="633" operator="containsText" text="TOTAL">
      <formula>NOT(ISERROR(SEARCH("TOTAL",F1481)))</formula>
    </cfRule>
  </conditionalFormatting>
  <conditionalFormatting sqref="F1484">
    <cfRule type="containsText" dxfId="631" priority="632" operator="containsText" text="TOTAL">
      <formula>NOT(ISERROR(SEARCH("TOTAL",F1484)))</formula>
    </cfRule>
  </conditionalFormatting>
  <conditionalFormatting sqref="F1489">
    <cfRule type="containsText" dxfId="630" priority="631" operator="containsText" text="TOTAL">
      <formula>NOT(ISERROR(SEARCH("TOTAL",F1489)))</formula>
    </cfRule>
  </conditionalFormatting>
  <conditionalFormatting sqref="F1496">
    <cfRule type="containsText" dxfId="629" priority="630" operator="containsText" text="TOTAL">
      <formula>NOT(ISERROR(SEARCH("TOTAL",F1496)))</formula>
    </cfRule>
  </conditionalFormatting>
  <conditionalFormatting sqref="F1499">
    <cfRule type="containsText" dxfId="628" priority="629" operator="containsText" text="TOTAL">
      <formula>NOT(ISERROR(SEARCH("TOTAL",F1499)))</formula>
    </cfRule>
  </conditionalFormatting>
  <conditionalFormatting sqref="F1502">
    <cfRule type="containsText" dxfId="627" priority="628" operator="containsText" text="TOTAL">
      <formula>NOT(ISERROR(SEARCH("TOTAL",F1502)))</formula>
    </cfRule>
  </conditionalFormatting>
  <conditionalFormatting sqref="F1508">
    <cfRule type="containsText" dxfId="626" priority="627" operator="containsText" text="TOTAL">
      <formula>NOT(ISERROR(SEARCH("TOTAL",F1508)))</formula>
    </cfRule>
  </conditionalFormatting>
  <conditionalFormatting sqref="F1512">
    <cfRule type="containsText" dxfId="625" priority="626" operator="containsText" text="TOTAL">
      <formula>NOT(ISERROR(SEARCH("TOTAL",F1512)))</formula>
    </cfRule>
  </conditionalFormatting>
  <conditionalFormatting sqref="F1515">
    <cfRule type="containsText" dxfId="624" priority="625" operator="containsText" text="TOTAL">
      <formula>NOT(ISERROR(SEARCH("TOTAL",F1515)))</formula>
    </cfRule>
  </conditionalFormatting>
  <conditionalFormatting sqref="F1521">
    <cfRule type="containsText" dxfId="623" priority="624" operator="containsText" text="TOTAL">
      <formula>NOT(ISERROR(SEARCH("TOTAL",F1521)))</formula>
    </cfRule>
  </conditionalFormatting>
  <conditionalFormatting sqref="F1525">
    <cfRule type="containsText" dxfId="622" priority="623" operator="containsText" text="TOTAL">
      <formula>NOT(ISERROR(SEARCH("TOTAL",F1525)))</formula>
    </cfRule>
  </conditionalFormatting>
  <conditionalFormatting sqref="F1529">
    <cfRule type="containsText" dxfId="621" priority="622" operator="containsText" text="TOTAL">
      <formula>NOT(ISERROR(SEARCH("TOTAL",F1529)))</formula>
    </cfRule>
  </conditionalFormatting>
  <conditionalFormatting sqref="F1532">
    <cfRule type="containsText" dxfId="620" priority="621" operator="containsText" text="TOTAL">
      <formula>NOT(ISERROR(SEARCH("TOTAL",F1532)))</formula>
    </cfRule>
  </conditionalFormatting>
  <conditionalFormatting sqref="F1536">
    <cfRule type="containsText" dxfId="619" priority="620" operator="containsText" text="TOTAL">
      <formula>NOT(ISERROR(SEARCH("TOTAL",F1536)))</formula>
    </cfRule>
  </conditionalFormatting>
  <conditionalFormatting sqref="F1540">
    <cfRule type="containsText" dxfId="618" priority="619" operator="containsText" text="TOTAL">
      <formula>NOT(ISERROR(SEARCH("TOTAL",F1540)))</formula>
    </cfRule>
  </conditionalFormatting>
  <conditionalFormatting sqref="F1543">
    <cfRule type="containsText" dxfId="617" priority="618" operator="containsText" text="TOTAL">
      <formula>NOT(ISERROR(SEARCH("TOTAL",F1543)))</formula>
    </cfRule>
  </conditionalFormatting>
  <conditionalFormatting sqref="F1546">
    <cfRule type="containsText" dxfId="616" priority="617" operator="containsText" text="TOTAL">
      <formula>NOT(ISERROR(SEARCH("TOTAL",F1546)))</formula>
    </cfRule>
  </conditionalFormatting>
  <conditionalFormatting sqref="F1550">
    <cfRule type="containsText" dxfId="615" priority="616" operator="containsText" text="TOTAL">
      <formula>NOT(ISERROR(SEARCH("TOTAL",F1550)))</formula>
    </cfRule>
  </conditionalFormatting>
  <conditionalFormatting sqref="F1554">
    <cfRule type="containsText" dxfId="614" priority="615" operator="containsText" text="TOTAL">
      <formula>NOT(ISERROR(SEARCH("TOTAL",F1554)))</formula>
    </cfRule>
  </conditionalFormatting>
  <conditionalFormatting sqref="F1558">
    <cfRule type="containsText" dxfId="613" priority="614" operator="containsText" text="TOTAL">
      <formula>NOT(ISERROR(SEARCH("TOTAL",F1558)))</formula>
    </cfRule>
  </conditionalFormatting>
  <conditionalFormatting sqref="F1564">
    <cfRule type="containsText" dxfId="612" priority="613" operator="containsText" text="TOTAL">
      <formula>NOT(ISERROR(SEARCH("TOTAL",F1564)))</formula>
    </cfRule>
  </conditionalFormatting>
  <conditionalFormatting sqref="F1570">
    <cfRule type="containsText" dxfId="611" priority="612" operator="containsText" text="TOTAL">
      <formula>NOT(ISERROR(SEARCH("TOTAL",F1570)))</formula>
    </cfRule>
  </conditionalFormatting>
  <conditionalFormatting sqref="F1574">
    <cfRule type="containsText" dxfId="610" priority="611" operator="containsText" text="TOTAL">
      <formula>NOT(ISERROR(SEARCH("TOTAL",F1574)))</formula>
    </cfRule>
  </conditionalFormatting>
  <conditionalFormatting sqref="F1578">
    <cfRule type="containsText" dxfId="609" priority="610" operator="containsText" text="TOTAL">
      <formula>NOT(ISERROR(SEARCH("TOTAL",F1578)))</formula>
    </cfRule>
  </conditionalFormatting>
  <conditionalFormatting sqref="F1581">
    <cfRule type="containsText" dxfId="608" priority="609" operator="containsText" text="TOTAL">
      <formula>NOT(ISERROR(SEARCH("TOTAL",F1581)))</formula>
    </cfRule>
  </conditionalFormatting>
  <conditionalFormatting sqref="F1587">
    <cfRule type="containsText" dxfId="607" priority="608" operator="containsText" text="TOTAL">
      <formula>NOT(ISERROR(SEARCH("TOTAL",F1587)))</formula>
    </cfRule>
  </conditionalFormatting>
  <conditionalFormatting sqref="F1591">
    <cfRule type="containsText" dxfId="606" priority="607" operator="containsText" text="TOTAL">
      <formula>NOT(ISERROR(SEARCH("TOTAL",F1591)))</formula>
    </cfRule>
  </conditionalFormatting>
  <conditionalFormatting sqref="F1599">
    <cfRule type="containsText" dxfId="605" priority="606" operator="containsText" text="TOTAL">
      <formula>NOT(ISERROR(SEARCH("TOTAL",F1599)))</formula>
    </cfRule>
  </conditionalFormatting>
  <conditionalFormatting sqref="F1604">
    <cfRule type="containsText" dxfId="604" priority="605" operator="containsText" text="TOTAL">
      <formula>NOT(ISERROR(SEARCH("TOTAL",F1604)))</formula>
    </cfRule>
  </conditionalFormatting>
  <conditionalFormatting sqref="F1608">
    <cfRule type="containsText" dxfId="603" priority="604" operator="containsText" text="TOTAL">
      <formula>NOT(ISERROR(SEARCH("TOTAL",F1608)))</formula>
    </cfRule>
  </conditionalFormatting>
  <conditionalFormatting sqref="F1612">
    <cfRule type="containsText" dxfId="602" priority="603" operator="containsText" text="TOTAL">
      <formula>NOT(ISERROR(SEARCH("TOTAL",F1612)))</formula>
    </cfRule>
  </conditionalFormatting>
  <conditionalFormatting sqref="F1615">
    <cfRule type="containsText" dxfId="601" priority="602" operator="containsText" text="TOTAL">
      <formula>NOT(ISERROR(SEARCH("TOTAL",F1615)))</formula>
    </cfRule>
  </conditionalFormatting>
  <conditionalFormatting sqref="F1619">
    <cfRule type="containsText" dxfId="600" priority="601" operator="containsText" text="TOTAL">
      <formula>NOT(ISERROR(SEARCH("TOTAL",F1619)))</formula>
    </cfRule>
  </conditionalFormatting>
  <conditionalFormatting sqref="F1623">
    <cfRule type="containsText" dxfId="599" priority="600" operator="containsText" text="TOTAL">
      <formula>NOT(ISERROR(SEARCH("TOTAL",F1623)))</formula>
    </cfRule>
  </conditionalFormatting>
  <conditionalFormatting sqref="F1629">
    <cfRule type="containsText" dxfId="598" priority="599" operator="containsText" text="TOTAL">
      <formula>NOT(ISERROR(SEARCH("TOTAL",F1629)))</formula>
    </cfRule>
  </conditionalFormatting>
  <conditionalFormatting sqref="F1635">
    <cfRule type="containsText" dxfId="597" priority="598" operator="containsText" text="TOTAL">
      <formula>NOT(ISERROR(SEARCH("TOTAL",F1635)))</formula>
    </cfRule>
  </conditionalFormatting>
  <conditionalFormatting sqref="F1638">
    <cfRule type="containsText" dxfId="596" priority="597" operator="containsText" text="TOTAL">
      <formula>NOT(ISERROR(SEARCH("TOTAL",F1638)))</formula>
    </cfRule>
  </conditionalFormatting>
  <conditionalFormatting sqref="F1642">
    <cfRule type="containsText" dxfId="595" priority="596" operator="containsText" text="TOTAL">
      <formula>NOT(ISERROR(SEARCH("TOTAL",F1642)))</formula>
    </cfRule>
  </conditionalFormatting>
  <conditionalFormatting sqref="F1648">
    <cfRule type="containsText" dxfId="594" priority="595" operator="containsText" text="TOTAL">
      <formula>NOT(ISERROR(SEARCH("TOTAL",F1648)))</formula>
    </cfRule>
  </conditionalFormatting>
  <conditionalFormatting sqref="F1651">
    <cfRule type="containsText" dxfId="593" priority="594" operator="containsText" text="TOTAL">
      <formula>NOT(ISERROR(SEARCH("TOTAL",F1651)))</formula>
    </cfRule>
  </conditionalFormatting>
  <conditionalFormatting sqref="F1654">
    <cfRule type="containsText" dxfId="592" priority="593" operator="containsText" text="TOTAL">
      <formula>NOT(ISERROR(SEARCH("TOTAL",F1654)))</formula>
    </cfRule>
  </conditionalFormatting>
  <conditionalFormatting sqref="F1658">
    <cfRule type="containsText" dxfId="591" priority="592" operator="containsText" text="TOTAL">
      <formula>NOT(ISERROR(SEARCH("TOTAL",F1658)))</formula>
    </cfRule>
  </conditionalFormatting>
  <conditionalFormatting sqref="F1662">
    <cfRule type="containsText" dxfId="590" priority="591" operator="containsText" text="TOTAL">
      <formula>NOT(ISERROR(SEARCH("TOTAL",F1662)))</formula>
    </cfRule>
  </conditionalFormatting>
  <conditionalFormatting sqref="F1671">
    <cfRule type="containsText" dxfId="589" priority="590" operator="containsText" text="TOTAL">
      <formula>NOT(ISERROR(SEARCH("TOTAL",F1671)))</formula>
    </cfRule>
  </conditionalFormatting>
  <conditionalFormatting sqref="F1675">
    <cfRule type="containsText" dxfId="588" priority="589" operator="containsText" text="TOTAL">
      <formula>NOT(ISERROR(SEARCH("TOTAL",F1675)))</formula>
    </cfRule>
  </conditionalFormatting>
  <conditionalFormatting sqref="F1682">
    <cfRule type="containsText" dxfId="587" priority="588" operator="containsText" text="TOTAL">
      <formula>NOT(ISERROR(SEARCH("TOTAL",F1682)))</formula>
    </cfRule>
  </conditionalFormatting>
  <conditionalFormatting sqref="F1686">
    <cfRule type="containsText" dxfId="586" priority="587" operator="containsText" text="TOTAL">
      <formula>NOT(ISERROR(SEARCH("TOTAL",F1686)))</formula>
    </cfRule>
  </conditionalFormatting>
  <conditionalFormatting sqref="F1692">
    <cfRule type="containsText" dxfId="585" priority="586" operator="containsText" text="TOTAL">
      <formula>NOT(ISERROR(SEARCH("TOTAL",F1692)))</formula>
    </cfRule>
  </conditionalFormatting>
  <conditionalFormatting sqref="F1697">
    <cfRule type="containsText" dxfId="584" priority="585" operator="containsText" text="TOTAL">
      <formula>NOT(ISERROR(SEARCH("TOTAL",F1697)))</formula>
    </cfRule>
  </conditionalFormatting>
  <conditionalFormatting sqref="F1700">
    <cfRule type="containsText" dxfId="583" priority="584" operator="containsText" text="TOTAL">
      <formula>NOT(ISERROR(SEARCH("TOTAL",F1700)))</formula>
    </cfRule>
  </conditionalFormatting>
  <conditionalFormatting sqref="F1704">
    <cfRule type="containsText" dxfId="582" priority="583" operator="containsText" text="TOTAL">
      <formula>NOT(ISERROR(SEARCH("TOTAL",F1704)))</formula>
    </cfRule>
  </conditionalFormatting>
  <conditionalFormatting sqref="F1707">
    <cfRule type="containsText" dxfId="581" priority="582" operator="containsText" text="TOTAL">
      <formula>NOT(ISERROR(SEARCH("TOTAL",F1707)))</formula>
    </cfRule>
  </conditionalFormatting>
  <conditionalFormatting sqref="F1718">
    <cfRule type="containsText" dxfId="580" priority="581" operator="containsText" text="TOTAL">
      <formula>NOT(ISERROR(SEARCH("TOTAL",F1718)))</formula>
    </cfRule>
  </conditionalFormatting>
  <conditionalFormatting sqref="F1722">
    <cfRule type="containsText" dxfId="579" priority="580" operator="containsText" text="TOTAL">
      <formula>NOT(ISERROR(SEARCH("TOTAL",F1722)))</formula>
    </cfRule>
  </conditionalFormatting>
  <conditionalFormatting sqref="F1726">
    <cfRule type="containsText" dxfId="578" priority="579" operator="containsText" text="TOTAL">
      <formula>NOT(ISERROR(SEARCH("TOTAL",F1726)))</formula>
    </cfRule>
  </conditionalFormatting>
  <conditionalFormatting sqref="F1729">
    <cfRule type="containsText" dxfId="577" priority="578" operator="containsText" text="TOTAL">
      <formula>NOT(ISERROR(SEARCH("TOTAL",F1729)))</formula>
    </cfRule>
  </conditionalFormatting>
  <conditionalFormatting sqref="F1733">
    <cfRule type="containsText" dxfId="576" priority="577" operator="containsText" text="TOTAL">
      <formula>NOT(ISERROR(SEARCH("TOTAL",F1733)))</formula>
    </cfRule>
  </conditionalFormatting>
  <conditionalFormatting sqref="F1737">
    <cfRule type="containsText" dxfId="575" priority="576" operator="containsText" text="TOTAL">
      <formula>NOT(ISERROR(SEARCH("TOTAL",F1737)))</formula>
    </cfRule>
  </conditionalFormatting>
  <conditionalFormatting sqref="F1741">
    <cfRule type="containsText" dxfId="574" priority="575" operator="containsText" text="TOTAL">
      <formula>NOT(ISERROR(SEARCH("TOTAL",F1741)))</formula>
    </cfRule>
  </conditionalFormatting>
  <conditionalFormatting sqref="F1745">
    <cfRule type="containsText" dxfId="573" priority="574" operator="containsText" text="TOTAL">
      <formula>NOT(ISERROR(SEARCH("TOTAL",F1745)))</formula>
    </cfRule>
  </conditionalFormatting>
  <conditionalFormatting sqref="F1748">
    <cfRule type="containsText" dxfId="572" priority="573" operator="containsText" text="TOTAL">
      <formula>NOT(ISERROR(SEARCH("TOTAL",F1748)))</formula>
    </cfRule>
  </conditionalFormatting>
  <conditionalFormatting sqref="F1752">
    <cfRule type="containsText" dxfId="571" priority="572" operator="containsText" text="TOTAL">
      <formula>NOT(ISERROR(SEARCH("TOTAL",F1752)))</formula>
    </cfRule>
  </conditionalFormatting>
  <conditionalFormatting sqref="F1756">
    <cfRule type="containsText" dxfId="570" priority="571" operator="containsText" text="TOTAL">
      <formula>NOT(ISERROR(SEARCH("TOTAL",F1756)))</formula>
    </cfRule>
  </conditionalFormatting>
  <conditionalFormatting sqref="F1760">
    <cfRule type="containsText" dxfId="569" priority="570" operator="containsText" text="TOTAL">
      <formula>NOT(ISERROR(SEARCH("TOTAL",F1760)))</formula>
    </cfRule>
  </conditionalFormatting>
  <conditionalFormatting sqref="F1764">
    <cfRule type="containsText" dxfId="568" priority="569" operator="containsText" text="TOTAL">
      <formula>NOT(ISERROR(SEARCH("TOTAL",F1764)))</formula>
    </cfRule>
  </conditionalFormatting>
  <conditionalFormatting sqref="F1768">
    <cfRule type="containsText" dxfId="567" priority="568" operator="containsText" text="TOTAL">
      <formula>NOT(ISERROR(SEARCH("TOTAL",F1768)))</formula>
    </cfRule>
  </conditionalFormatting>
  <conditionalFormatting sqref="F1771">
    <cfRule type="containsText" dxfId="566" priority="567" operator="containsText" text="TOTAL">
      <formula>NOT(ISERROR(SEARCH("TOTAL",F1771)))</formula>
    </cfRule>
  </conditionalFormatting>
  <conditionalFormatting sqref="F1775">
    <cfRule type="containsText" dxfId="565" priority="566" operator="containsText" text="TOTAL">
      <formula>NOT(ISERROR(SEARCH("TOTAL",F1775)))</formula>
    </cfRule>
  </conditionalFormatting>
  <conditionalFormatting sqref="F1779">
    <cfRule type="containsText" dxfId="564" priority="565" operator="containsText" text="TOTAL">
      <formula>NOT(ISERROR(SEARCH("TOTAL",F1779)))</formula>
    </cfRule>
  </conditionalFormatting>
  <conditionalFormatting sqref="F1782">
    <cfRule type="containsText" dxfId="563" priority="564" operator="containsText" text="TOTAL">
      <formula>NOT(ISERROR(SEARCH("TOTAL",F1782)))</formula>
    </cfRule>
  </conditionalFormatting>
  <conditionalFormatting sqref="F1786">
    <cfRule type="containsText" dxfId="562" priority="563" operator="containsText" text="TOTAL">
      <formula>NOT(ISERROR(SEARCH("TOTAL",F1786)))</formula>
    </cfRule>
  </conditionalFormatting>
  <conditionalFormatting sqref="F1790">
    <cfRule type="containsText" dxfId="561" priority="562" operator="containsText" text="TOTAL">
      <formula>NOT(ISERROR(SEARCH("TOTAL",F1790)))</formula>
    </cfRule>
  </conditionalFormatting>
  <conditionalFormatting sqref="F1794">
    <cfRule type="containsText" dxfId="560" priority="561" operator="containsText" text="TOTAL">
      <formula>NOT(ISERROR(SEARCH("TOTAL",F1794)))</formula>
    </cfRule>
  </conditionalFormatting>
  <conditionalFormatting sqref="F1797">
    <cfRule type="containsText" dxfId="559" priority="560" operator="containsText" text="TOTAL">
      <formula>NOT(ISERROR(SEARCH("TOTAL",F1797)))</formula>
    </cfRule>
  </conditionalFormatting>
  <conditionalFormatting sqref="F1803">
    <cfRule type="containsText" dxfId="558" priority="559" operator="containsText" text="TOTAL">
      <formula>NOT(ISERROR(SEARCH("TOTAL",F1803)))</formula>
    </cfRule>
  </conditionalFormatting>
  <conditionalFormatting sqref="F1807">
    <cfRule type="containsText" dxfId="557" priority="558" operator="containsText" text="TOTAL">
      <formula>NOT(ISERROR(SEARCH("TOTAL",F1807)))</formula>
    </cfRule>
  </conditionalFormatting>
  <conditionalFormatting sqref="F1811">
    <cfRule type="containsText" dxfId="556" priority="557" operator="containsText" text="TOTAL">
      <formula>NOT(ISERROR(SEARCH("TOTAL",F1811)))</formula>
    </cfRule>
  </conditionalFormatting>
  <conditionalFormatting sqref="F1815">
    <cfRule type="containsText" dxfId="555" priority="556" operator="containsText" text="TOTAL">
      <formula>NOT(ISERROR(SEARCH("TOTAL",F1815)))</formula>
    </cfRule>
  </conditionalFormatting>
  <conditionalFormatting sqref="F1818">
    <cfRule type="containsText" dxfId="554" priority="555" operator="containsText" text="TOTAL">
      <formula>NOT(ISERROR(SEARCH("TOTAL",F1818)))</formula>
    </cfRule>
  </conditionalFormatting>
  <conditionalFormatting sqref="F1822">
    <cfRule type="containsText" dxfId="553" priority="554" operator="containsText" text="TOTAL">
      <formula>NOT(ISERROR(SEARCH("TOTAL",F1822)))</formula>
    </cfRule>
  </conditionalFormatting>
  <conditionalFormatting sqref="F1826">
    <cfRule type="containsText" dxfId="552" priority="553" operator="containsText" text="TOTAL">
      <formula>NOT(ISERROR(SEARCH("TOTAL",F1826)))</formula>
    </cfRule>
  </conditionalFormatting>
  <conditionalFormatting sqref="F1829">
    <cfRule type="containsText" dxfId="551" priority="552" operator="containsText" text="TOTAL">
      <formula>NOT(ISERROR(SEARCH("TOTAL",F1829)))</formula>
    </cfRule>
  </conditionalFormatting>
  <conditionalFormatting sqref="F1833">
    <cfRule type="containsText" dxfId="550" priority="551" operator="containsText" text="TOTAL">
      <formula>NOT(ISERROR(SEARCH("TOTAL",F1833)))</formula>
    </cfRule>
  </conditionalFormatting>
  <conditionalFormatting sqref="F1837">
    <cfRule type="containsText" dxfId="549" priority="550" operator="containsText" text="TOTAL">
      <formula>NOT(ISERROR(SEARCH("TOTAL",F1837)))</formula>
    </cfRule>
  </conditionalFormatting>
  <conditionalFormatting sqref="F1840">
    <cfRule type="containsText" dxfId="548" priority="549" operator="containsText" text="TOTAL">
      <formula>NOT(ISERROR(SEARCH("TOTAL",F1840)))</formula>
    </cfRule>
  </conditionalFormatting>
  <conditionalFormatting sqref="F1844">
    <cfRule type="containsText" dxfId="547" priority="548" operator="containsText" text="TOTAL">
      <formula>NOT(ISERROR(SEARCH("TOTAL",F1844)))</formula>
    </cfRule>
  </conditionalFormatting>
  <conditionalFormatting sqref="F1847">
    <cfRule type="containsText" dxfId="546" priority="547" operator="containsText" text="TOTAL">
      <formula>NOT(ISERROR(SEARCH("TOTAL",F1847)))</formula>
    </cfRule>
  </conditionalFormatting>
  <conditionalFormatting sqref="F1851">
    <cfRule type="containsText" dxfId="545" priority="546" operator="containsText" text="TOTAL">
      <formula>NOT(ISERROR(SEARCH("TOTAL",F1851)))</formula>
    </cfRule>
  </conditionalFormatting>
  <conditionalFormatting sqref="F1855">
    <cfRule type="containsText" dxfId="544" priority="545" operator="containsText" text="TOTAL">
      <formula>NOT(ISERROR(SEARCH("TOTAL",F1855)))</formula>
    </cfRule>
  </conditionalFormatting>
  <conditionalFormatting sqref="F1858">
    <cfRule type="containsText" dxfId="543" priority="544" operator="containsText" text="TOTAL">
      <formula>NOT(ISERROR(SEARCH("TOTAL",F1858)))</formula>
    </cfRule>
  </conditionalFormatting>
  <conditionalFormatting sqref="F1861">
    <cfRule type="containsText" dxfId="542" priority="543" operator="containsText" text="TOTAL">
      <formula>NOT(ISERROR(SEARCH("TOTAL",F1861)))</formula>
    </cfRule>
  </conditionalFormatting>
  <conditionalFormatting sqref="F1865">
    <cfRule type="containsText" dxfId="541" priority="542" operator="containsText" text="TOTAL">
      <formula>NOT(ISERROR(SEARCH("TOTAL",F1865)))</formula>
    </cfRule>
  </conditionalFormatting>
  <conditionalFormatting sqref="F1868">
    <cfRule type="containsText" dxfId="540" priority="541" operator="containsText" text="TOTAL">
      <formula>NOT(ISERROR(SEARCH("TOTAL",F1868)))</formula>
    </cfRule>
  </conditionalFormatting>
  <conditionalFormatting sqref="F1871">
    <cfRule type="containsText" dxfId="539" priority="540" operator="containsText" text="TOTAL">
      <formula>NOT(ISERROR(SEARCH("TOTAL",F1871)))</formula>
    </cfRule>
  </conditionalFormatting>
  <conditionalFormatting sqref="F1874">
    <cfRule type="containsText" dxfId="538" priority="539" operator="containsText" text="TOTAL">
      <formula>NOT(ISERROR(SEARCH("TOTAL",F1874)))</formula>
    </cfRule>
  </conditionalFormatting>
  <conditionalFormatting sqref="F1880">
    <cfRule type="containsText" dxfId="537" priority="538" operator="containsText" text="TOTAL">
      <formula>NOT(ISERROR(SEARCH("TOTAL",F1880)))</formula>
    </cfRule>
  </conditionalFormatting>
  <conditionalFormatting sqref="F1885">
    <cfRule type="containsText" dxfId="536" priority="537" operator="containsText" text="TOTAL">
      <formula>NOT(ISERROR(SEARCH("TOTAL",F1885)))</formula>
    </cfRule>
  </conditionalFormatting>
  <conditionalFormatting sqref="F1888">
    <cfRule type="containsText" dxfId="535" priority="536" operator="containsText" text="TOTAL">
      <formula>NOT(ISERROR(SEARCH("TOTAL",F1888)))</formula>
    </cfRule>
  </conditionalFormatting>
  <conditionalFormatting sqref="F1895">
    <cfRule type="containsText" dxfId="534" priority="535" operator="containsText" text="TOTAL">
      <formula>NOT(ISERROR(SEARCH("TOTAL",F1895)))</formula>
    </cfRule>
  </conditionalFormatting>
  <conditionalFormatting sqref="F1900">
    <cfRule type="containsText" dxfId="533" priority="534" operator="containsText" text="TOTAL">
      <formula>NOT(ISERROR(SEARCH("TOTAL",F1900)))</formula>
    </cfRule>
  </conditionalFormatting>
  <conditionalFormatting sqref="F1904">
    <cfRule type="containsText" dxfId="532" priority="533" operator="containsText" text="TOTAL">
      <formula>NOT(ISERROR(SEARCH("TOTAL",F1904)))</formula>
    </cfRule>
  </conditionalFormatting>
  <conditionalFormatting sqref="F1907">
    <cfRule type="containsText" dxfId="531" priority="532" operator="containsText" text="TOTAL">
      <formula>NOT(ISERROR(SEARCH("TOTAL",F1907)))</formula>
    </cfRule>
  </conditionalFormatting>
  <conditionalFormatting sqref="F1911">
    <cfRule type="containsText" dxfId="530" priority="531" operator="containsText" text="TOTAL">
      <formula>NOT(ISERROR(SEARCH("TOTAL",F1911)))</formula>
    </cfRule>
  </conditionalFormatting>
  <conditionalFormatting sqref="F1915">
    <cfRule type="containsText" dxfId="529" priority="530" operator="containsText" text="TOTAL">
      <formula>NOT(ISERROR(SEARCH("TOTAL",F1915)))</formula>
    </cfRule>
  </conditionalFormatting>
  <conditionalFormatting sqref="F1919">
    <cfRule type="containsText" dxfId="528" priority="529" operator="containsText" text="TOTAL">
      <formula>NOT(ISERROR(SEARCH("TOTAL",F1919)))</formula>
    </cfRule>
  </conditionalFormatting>
  <conditionalFormatting sqref="F1923">
    <cfRule type="containsText" dxfId="527" priority="528" operator="containsText" text="TOTAL">
      <formula>NOT(ISERROR(SEARCH("TOTAL",F1923)))</formula>
    </cfRule>
  </conditionalFormatting>
  <conditionalFormatting sqref="F1926">
    <cfRule type="containsText" dxfId="526" priority="527" operator="containsText" text="TOTAL">
      <formula>NOT(ISERROR(SEARCH("TOTAL",F1926)))</formula>
    </cfRule>
  </conditionalFormatting>
  <conditionalFormatting sqref="F1932">
    <cfRule type="containsText" dxfId="525" priority="526" operator="containsText" text="TOTAL">
      <formula>NOT(ISERROR(SEARCH("TOTAL",F1932)))</formula>
    </cfRule>
  </conditionalFormatting>
  <conditionalFormatting sqref="F1938">
    <cfRule type="containsText" dxfId="524" priority="525" operator="containsText" text="TOTAL">
      <formula>NOT(ISERROR(SEARCH("TOTAL",F1938)))</formula>
    </cfRule>
  </conditionalFormatting>
  <conditionalFormatting sqref="F1941">
    <cfRule type="containsText" dxfId="523" priority="524" operator="containsText" text="TOTAL">
      <formula>NOT(ISERROR(SEARCH("TOTAL",F1941)))</formula>
    </cfRule>
  </conditionalFormatting>
  <conditionalFormatting sqref="F1945">
    <cfRule type="containsText" dxfId="522" priority="523" operator="containsText" text="TOTAL">
      <formula>NOT(ISERROR(SEARCH("TOTAL",F1945)))</formula>
    </cfRule>
  </conditionalFormatting>
  <conditionalFormatting sqref="F1949">
    <cfRule type="containsText" dxfId="521" priority="522" operator="containsText" text="TOTAL">
      <formula>NOT(ISERROR(SEARCH("TOTAL",F1949)))</formula>
    </cfRule>
  </conditionalFormatting>
  <conditionalFormatting sqref="F1953">
    <cfRule type="containsText" dxfId="520" priority="521" operator="containsText" text="TOTAL">
      <formula>NOT(ISERROR(SEARCH("TOTAL",F1953)))</formula>
    </cfRule>
  </conditionalFormatting>
  <conditionalFormatting sqref="F1957">
    <cfRule type="containsText" dxfId="519" priority="520" operator="containsText" text="TOTAL">
      <formula>NOT(ISERROR(SEARCH("TOTAL",F1957)))</formula>
    </cfRule>
  </conditionalFormatting>
  <conditionalFormatting sqref="F1960">
    <cfRule type="containsText" dxfId="518" priority="519" operator="containsText" text="TOTAL">
      <formula>NOT(ISERROR(SEARCH("TOTAL",F1960)))</formula>
    </cfRule>
  </conditionalFormatting>
  <conditionalFormatting sqref="F1964">
    <cfRule type="containsText" dxfId="517" priority="518" operator="containsText" text="TOTAL">
      <formula>NOT(ISERROR(SEARCH("TOTAL",F1964)))</formula>
    </cfRule>
  </conditionalFormatting>
  <conditionalFormatting sqref="F1968">
    <cfRule type="containsText" dxfId="516" priority="517" operator="containsText" text="TOTAL">
      <formula>NOT(ISERROR(SEARCH("TOTAL",F1968)))</formula>
    </cfRule>
  </conditionalFormatting>
  <conditionalFormatting sqref="F1972">
    <cfRule type="containsText" dxfId="515" priority="516" operator="containsText" text="TOTAL">
      <formula>NOT(ISERROR(SEARCH("TOTAL",F1972)))</formula>
    </cfRule>
  </conditionalFormatting>
  <conditionalFormatting sqref="F1976">
    <cfRule type="containsText" dxfId="514" priority="515" operator="containsText" text="TOTAL">
      <formula>NOT(ISERROR(SEARCH("TOTAL",F1976)))</formula>
    </cfRule>
  </conditionalFormatting>
  <conditionalFormatting sqref="F1979">
    <cfRule type="containsText" dxfId="513" priority="514" operator="containsText" text="TOTAL">
      <formula>NOT(ISERROR(SEARCH("TOTAL",F1979)))</formula>
    </cfRule>
  </conditionalFormatting>
  <conditionalFormatting sqref="F1982">
    <cfRule type="containsText" dxfId="512" priority="513" operator="containsText" text="TOTAL">
      <formula>NOT(ISERROR(SEARCH("TOTAL",F1982)))</formula>
    </cfRule>
  </conditionalFormatting>
  <conditionalFormatting sqref="F1986">
    <cfRule type="containsText" dxfId="511" priority="512" operator="containsText" text="TOTAL">
      <formula>NOT(ISERROR(SEARCH("TOTAL",F1986)))</formula>
    </cfRule>
  </conditionalFormatting>
  <conditionalFormatting sqref="F1989">
    <cfRule type="containsText" dxfId="510" priority="511" operator="containsText" text="TOTAL">
      <formula>NOT(ISERROR(SEARCH("TOTAL",F1989)))</formula>
    </cfRule>
  </conditionalFormatting>
  <conditionalFormatting sqref="F1993">
    <cfRule type="containsText" dxfId="509" priority="510" operator="containsText" text="TOTAL">
      <formula>NOT(ISERROR(SEARCH("TOTAL",F1993)))</formula>
    </cfRule>
  </conditionalFormatting>
  <conditionalFormatting sqref="F1997">
    <cfRule type="containsText" dxfId="508" priority="509" operator="containsText" text="TOTAL">
      <formula>NOT(ISERROR(SEARCH("TOTAL",F1997)))</formula>
    </cfRule>
  </conditionalFormatting>
  <conditionalFormatting sqref="F2001">
    <cfRule type="containsText" dxfId="507" priority="508" operator="containsText" text="TOTAL">
      <formula>NOT(ISERROR(SEARCH("TOTAL",F2001)))</formula>
    </cfRule>
  </conditionalFormatting>
  <conditionalFormatting sqref="F2005">
    <cfRule type="containsText" dxfId="506" priority="507" operator="containsText" text="TOTAL">
      <formula>NOT(ISERROR(SEARCH("TOTAL",F2005)))</formula>
    </cfRule>
  </conditionalFormatting>
  <conditionalFormatting sqref="F2008">
    <cfRule type="containsText" dxfId="505" priority="506" operator="containsText" text="TOTAL">
      <formula>NOT(ISERROR(SEARCH("TOTAL",F2008)))</formula>
    </cfRule>
  </conditionalFormatting>
  <conditionalFormatting sqref="F2012">
    <cfRule type="containsText" dxfId="504" priority="505" operator="containsText" text="TOTAL">
      <formula>NOT(ISERROR(SEARCH("TOTAL",F2012)))</formula>
    </cfRule>
  </conditionalFormatting>
  <conditionalFormatting sqref="F2016">
    <cfRule type="containsText" dxfId="503" priority="504" operator="containsText" text="TOTAL">
      <formula>NOT(ISERROR(SEARCH("TOTAL",F2016)))</formula>
    </cfRule>
  </conditionalFormatting>
  <conditionalFormatting sqref="F2019">
    <cfRule type="containsText" dxfId="502" priority="503" operator="containsText" text="TOTAL">
      <formula>NOT(ISERROR(SEARCH("TOTAL",F2019)))</formula>
    </cfRule>
  </conditionalFormatting>
  <conditionalFormatting sqref="F2022">
    <cfRule type="containsText" dxfId="501" priority="502" operator="containsText" text="TOTAL">
      <formula>NOT(ISERROR(SEARCH("TOTAL",F2022)))</formula>
    </cfRule>
  </conditionalFormatting>
  <conditionalFormatting sqref="F2025">
    <cfRule type="containsText" dxfId="500" priority="501" operator="containsText" text="TOTAL">
      <formula>NOT(ISERROR(SEARCH("TOTAL",F2025)))</formula>
    </cfRule>
  </conditionalFormatting>
  <conditionalFormatting sqref="F2029">
    <cfRule type="containsText" dxfId="499" priority="500" operator="containsText" text="TOTAL">
      <formula>NOT(ISERROR(SEARCH("TOTAL",F2029)))</formula>
    </cfRule>
  </conditionalFormatting>
  <conditionalFormatting sqref="F2033">
    <cfRule type="containsText" dxfId="498" priority="499" operator="containsText" text="TOTAL">
      <formula>NOT(ISERROR(SEARCH("TOTAL",F2033)))</formula>
    </cfRule>
  </conditionalFormatting>
  <conditionalFormatting sqref="F2037">
    <cfRule type="containsText" dxfId="497" priority="498" operator="containsText" text="TOTAL">
      <formula>NOT(ISERROR(SEARCH("TOTAL",F2037)))</formula>
    </cfRule>
  </conditionalFormatting>
  <conditionalFormatting sqref="F2041">
    <cfRule type="containsText" dxfId="496" priority="497" operator="containsText" text="TOTAL">
      <formula>NOT(ISERROR(SEARCH("TOTAL",F2041)))</formula>
    </cfRule>
  </conditionalFormatting>
  <conditionalFormatting sqref="F2044">
    <cfRule type="containsText" dxfId="495" priority="496" operator="containsText" text="TOTAL">
      <formula>NOT(ISERROR(SEARCH("TOTAL",F2044)))</formula>
    </cfRule>
  </conditionalFormatting>
  <conditionalFormatting sqref="F2048">
    <cfRule type="containsText" dxfId="494" priority="495" operator="containsText" text="TOTAL">
      <formula>NOT(ISERROR(SEARCH("TOTAL",F2048)))</formula>
    </cfRule>
  </conditionalFormatting>
  <conditionalFormatting sqref="F2052">
    <cfRule type="containsText" dxfId="493" priority="494" operator="containsText" text="TOTAL">
      <formula>NOT(ISERROR(SEARCH("TOTAL",F2052)))</formula>
    </cfRule>
  </conditionalFormatting>
  <conditionalFormatting sqref="F2059">
    <cfRule type="containsText" dxfId="492" priority="493" operator="containsText" text="TOTAL">
      <formula>NOT(ISERROR(SEARCH("TOTAL",F2059)))</formula>
    </cfRule>
  </conditionalFormatting>
  <conditionalFormatting sqref="F2065">
    <cfRule type="containsText" dxfId="491" priority="492" operator="containsText" text="TOTAL">
      <formula>NOT(ISERROR(SEARCH("TOTAL",F2065)))</formula>
    </cfRule>
  </conditionalFormatting>
  <conditionalFormatting sqref="F2068">
    <cfRule type="containsText" dxfId="490" priority="491" operator="containsText" text="TOTAL">
      <formula>NOT(ISERROR(SEARCH("TOTAL",F2068)))</formula>
    </cfRule>
  </conditionalFormatting>
  <conditionalFormatting sqref="F2071">
    <cfRule type="containsText" dxfId="489" priority="490" operator="containsText" text="TOTAL">
      <formula>NOT(ISERROR(SEARCH("TOTAL",F2071)))</formula>
    </cfRule>
  </conditionalFormatting>
  <conditionalFormatting sqref="F2074">
    <cfRule type="containsText" dxfId="488" priority="489" operator="containsText" text="TOTAL">
      <formula>NOT(ISERROR(SEARCH("TOTAL",F2074)))</formula>
    </cfRule>
  </conditionalFormatting>
  <conditionalFormatting sqref="F2078">
    <cfRule type="containsText" dxfId="487" priority="488" operator="containsText" text="TOTAL">
      <formula>NOT(ISERROR(SEARCH("TOTAL",F2078)))</formula>
    </cfRule>
  </conditionalFormatting>
  <conditionalFormatting sqref="F2081">
    <cfRule type="containsText" dxfId="486" priority="487" operator="containsText" text="TOTAL">
      <formula>NOT(ISERROR(SEARCH("TOTAL",F2081)))</formula>
    </cfRule>
  </conditionalFormatting>
  <conditionalFormatting sqref="F2085">
    <cfRule type="containsText" dxfId="485" priority="486" operator="containsText" text="TOTAL">
      <formula>NOT(ISERROR(SEARCH("TOTAL",F2085)))</formula>
    </cfRule>
  </conditionalFormatting>
  <conditionalFormatting sqref="F2089">
    <cfRule type="containsText" dxfId="484" priority="485" operator="containsText" text="TOTAL">
      <formula>NOT(ISERROR(SEARCH("TOTAL",F2089)))</formula>
    </cfRule>
  </conditionalFormatting>
  <conditionalFormatting sqref="F2092">
    <cfRule type="containsText" dxfId="483" priority="484" operator="containsText" text="TOTAL">
      <formula>NOT(ISERROR(SEARCH("TOTAL",F2092)))</formula>
    </cfRule>
  </conditionalFormatting>
  <conditionalFormatting sqref="F2096">
    <cfRule type="containsText" dxfId="482" priority="483" operator="containsText" text="TOTAL">
      <formula>NOT(ISERROR(SEARCH("TOTAL",F2096)))</formula>
    </cfRule>
  </conditionalFormatting>
  <conditionalFormatting sqref="F2099">
    <cfRule type="containsText" dxfId="481" priority="482" operator="containsText" text="TOTAL">
      <formula>NOT(ISERROR(SEARCH("TOTAL",F2099)))</formula>
    </cfRule>
  </conditionalFormatting>
  <conditionalFormatting sqref="F2102">
    <cfRule type="containsText" dxfId="480" priority="481" operator="containsText" text="TOTAL">
      <formula>NOT(ISERROR(SEARCH("TOTAL",F2102)))</formula>
    </cfRule>
  </conditionalFormatting>
  <conditionalFormatting sqref="F2105">
    <cfRule type="containsText" dxfId="479" priority="480" operator="containsText" text="TOTAL">
      <formula>NOT(ISERROR(SEARCH("TOTAL",F2105)))</formula>
    </cfRule>
  </conditionalFormatting>
  <conditionalFormatting sqref="F2112">
    <cfRule type="containsText" dxfId="478" priority="479" operator="containsText" text="TOTAL">
      <formula>NOT(ISERROR(SEARCH("TOTAL",F2112)))</formula>
    </cfRule>
  </conditionalFormatting>
  <conditionalFormatting sqref="F2115">
    <cfRule type="containsText" dxfId="477" priority="478" operator="containsText" text="TOTAL">
      <formula>NOT(ISERROR(SEARCH("TOTAL",F2115)))</formula>
    </cfRule>
  </conditionalFormatting>
  <conditionalFormatting sqref="F2119">
    <cfRule type="containsText" dxfId="476" priority="477" operator="containsText" text="TOTAL">
      <formula>NOT(ISERROR(SEARCH("TOTAL",F2119)))</formula>
    </cfRule>
  </conditionalFormatting>
  <conditionalFormatting sqref="F2123">
    <cfRule type="containsText" dxfId="475" priority="476" operator="containsText" text="TOTAL">
      <formula>NOT(ISERROR(SEARCH("TOTAL",F2123)))</formula>
    </cfRule>
  </conditionalFormatting>
  <conditionalFormatting sqref="F2127">
    <cfRule type="containsText" dxfId="474" priority="475" operator="containsText" text="TOTAL">
      <formula>NOT(ISERROR(SEARCH("TOTAL",F2127)))</formula>
    </cfRule>
  </conditionalFormatting>
  <conditionalFormatting sqref="F2133">
    <cfRule type="containsText" dxfId="473" priority="474" operator="containsText" text="TOTAL">
      <formula>NOT(ISERROR(SEARCH("TOTAL",F2133)))</formula>
    </cfRule>
  </conditionalFormatting>
  <conditionalFormatting sqref="F2137">
    <cfRule type="containsText" dxfId="472" priority="473" operator="containsText" text="TOTAL">
      <formula>NOT(ISERROR(SEARCH("TOTAL",F2137)))</formula>
    </cfRule>
  </conditionalFormatting>
  <conditionalFormatting sqref="F2141">
    <cfRule type="containsText" dxfId="471" priority="472" operator="containsText" text="TOTAL">
      <formula>NOT(ISERROR(SEARCH("TOTAL",F2141)))</formula>
    </cfRule>
  </conditionalFormatting>
  <conditionalFormatting sqref="F2144">
    <cfRule type="containsText" dxfId="470" priority="471" operator="containsText" text="TOTAL">
      <formula>NOT(ISERROR(SEARCH("TOTAL",F2144)))</formula>
    </cfRule>
  </conditionalFormatting>
  <conditionalFormatting sqref="F2148">
    <cfRule type="containsText" dxfId="469" priority="470" operator="containsText" text="TOTAL">
      <formula>NOT(ISERROR(SEARCH("TOTAL",F2148)))</formula>
    </cfRule>
  </conditionalFormatting>
  <conditionalFormatting sqref="F2154">
    <cfRule type="containsText" dxfId="468" priority="469" operator="containsText" text="TOTAL">
      <formula>NOT(ISERROR(SEARCH("TOTAL",F2154)))</formula>
    </cfRule>
  </conditionalFormatting>
  <conditionalFormatting sqref="F2159">
    <cfRule type="containsText" dxfId="467" priority="468" operator="containsText" text="TOTAL">
      <formula>NOT(ISERROR(SEARCH("TOTAL",F2159)))</formula>
    </cfRule>
  </conditionalFormatting>
  <conditionalFormatting sqref="F2162">
    <cfRule type="containsText" dxfId="466" priority="467" operator="containsText" text="TOTAL">
      <formula>NOT(ISERROR(SEARCH("TOTAL",F2162)))</formula>
    </cfRule>
  </conditionalFormatting>
  <conditionalFormatting sqref="F2165">
    <cfRule type="containsText" dxfId="465" priority="466" operator="containsText" text="TOTAL">
      <formula>NOT(ISERROR(SEARCH("TOTAL",F2165)))</formula>
    </cfRule>
  </conditionalFormatting>
  <conditionalFormatting sqref="F2169">
    <cfRule type="containsText" dxfId="464" priority="465" operator="containsText" text="TOTAL">
      <formula>NOT(ISERROR(SEARCH("TOTAL",F2169)))</formula>
    </cfRule>
  </conditionalFormatting>
  <conditionalFormatting sqref="F2173">
    <cfRule type="containsText" dxfId="463" priority="464" operator="containsText" text="TOTAL">
      <formula>NOT(ISERROR(SEARCH("TOTAL",F2173)))</formula>
    </cfRule>
  </conditionalFormatting>
  <conditionalFormatting sqref="F2176">
    <cfRule type="containsText" dxfId="462" priority="463" operator="containsText" text="TOTAL">
      <formula>NOT(ISERROR(SEARCH("TOTAL",F2176)))</formula>
    </cfRule>
  </conditionalFormatting>
  <conditionalFormatting sqref="F2180">
    <cfRule type="containsText" dxfId="461" priority="462" operator="containsText" text="TOTAL">
      <formula>NOT(ISERROR(SEARCH("TOTAL",F2180)))</formula>
    </cfRule>
  </conditionalFormatting>
  <conditionalFormatting sqref="F2184">
    <cfRule type="containsText" dxfId="460" priority="461" operator="containsText" text="TOTAL">
      <formula>NOT(ISERROR(SEARCH("TOTAL",F2184)))</formula>
    </cfRule>
  </conditionalFormatting>
  <conditionalFormatting sqref="F2189">
    <cfRule type="containsText" dxfId="459" priority="460" operator="containsText" text="TOTAL">
      <formula>NOT(ISERROR(SEARCH("TOTAL",F2189)))</formula>
    </cfRule>
  </conditionalFormatting>
  <conditionalFormatting sqref="F2192">
    <cfRule type="containsText" dxfId="458" priority="459" operator="containsText" text="TOTAL">
      <formula>NOT(ISERROR(SEARCH("TOTAL",F2192)))</formula>
    </cfRule>
  </conditionalFormatting>
  <conditionalFormatting sqref="F2199">
    <cfRule type="containsText" dxfId="457" priority="458" operator="containsText" text="TOTAL">
      <formula>NOT(ISERROR(SEARCH("TOTAL",F2199)))</formula>
    </cfRule>
  </conditionalFormatting>
  <conditionalFormatting sqref="F2206">
    <cfRule type="containsText" dxfId="456" priority="457" operator="containsText" text="TOTAL">
      <formula>NOT(ISERROR(SEARCH("TOTAL",F2206)))</formula>
    </cfRule>
  </conditionalFormatting>
  <conditionalFormatting sqref="F2213">
    <cfRule type="containsText" dxfId="455" priority="456" operator="containsText" text="TOTAL">
      <formula>NOT(ISERROR(SEARCH("TOTAL",F2213)))</formula>
    </cfRule>
  </conditionalFormatting>
  <conditionalFormatting sqref="F2218">
    <cfRule type="containsText" dxfId="454" priority="455" operator="containsText" text="TOTAL">
      <formula>NOT(ISERROR(SEARCH("TOTAL",F2218)))</formula>
    </cfRule>
  </conditionalFormatting>
  <conditionalFormatting sqref="F2221">
    <cfRule type="containsText" dxfId="453" priority="454" operator="containsText" text="TOTAL">
      <formula>NOT(ISERROR(SEARCH("TOTAL",F2221)))</formula>
    </cfRule>
  </conditionalFormatting>
  <conditionalFormatting sqref="F2225">
    <cfRule type="containsText" dxfId="452" priority="453" operator="containsText" text="TOTAL">
      <formula>NOT(ISERROR(SEARCH("TOTAL",F2225)))</formula>
    </cfRule>
  </conditionalFormatting>
  <conditionalFormatting sqref="F2229">
    <cfRule type="containsText" dxfId="451" priority="452" operator="containsText" text="TOTAL">
      <formula>NOT(ISERROR(SEARCH("TOTAL",F2229)))</formula>
    </cfRule>
  </conditionalFormatting>
  <conditionalFormatting sqref="F2233">
    <cfRule type="containsText" dxfId="450" priority="451" operator="containsText" text="TOTAL">
      <formula>NOT(ISERROR(SEARCH("TOTAL",F2233)))</formula>
    </cfRule>
  </conditionalFormatting>
  <conditionalFormatting sqref="F2236">
    <cfRule type="containsText" dxfId="449" priority="450" operator="containsText" text="TOTAL">
      <formula>NOT(ISERROR(SEARCH("TOTAL",F2236)))</formula>
    </cfRule>
  </conditionalFormatting>
  <conditionalFormatting sqref="F2240">
    <cfRule type="containsText" dxfId="448" priority="449" operator="containsText" text="TOTAL">
      <formula>NOT(ISERROR(SEARCH("TOTAL",F2240)))</formula>
    </cfRule>
  </conditionalFormatting>
  <conditionalFormatting sqref="F2244">
    <cfRule type="containsText" dxfId="447" priority="448" operator="containsText" text="TOTAL">
      <formula>NOT(ISERROR(SEARCH("TOTAL",F2244)))</formula>
    </cfRule>
  </conditionalFormatting>
  <conditionalFormatting sqref="F2247">
    <cfRule type="containsText" dxfId="446" priority="447" operator="containsText" text="TOTAL">
      <formula>NOT(ISERROR(SEARCH("TOTAL",F2247)))</formula>
    </cfRule>
  </conditionalFormatting>
  <conditionalFormatting sqref="F2250">
    <cfRule type="containsText" dxfId="445" priority="446" operator="containsText" text="TOTAL">
      <formula>NOT(ISERROR(SEARCH("TOTAL",F2250)))</formula>
    </cfRule>
  </conditionalFormatting>
  <conditionalFormatting sqref="F2253">
    <cfRule type="containsText" dxfId="444" priority="445" operator="containsText" text="TOTAL">
      <formula>NOT(ISERROR(SEARCH("TOTAL",F2253)))</formula>
    </cfRule>
  </conditionalFormatting>
  <conditionalFormatting sqref="F2256">
    <cfRule type="containsText" dxfId="443" priority="444" operator="containsText" text="TOTAL">
      <formula>NOT(ISERROR(SEARCH("TOTAL",F2256)))</formula>
    </cfRule>
  </conditionalFormatting>
  <conditionalFormatting sqref="F2259">
    <cfRule type="containsText" dxfId="442" priority="443" operator="containsText" text="TOTAL">
      <formula>NOT(ISERROR(SEARCH("TOTAL",F2259)))</formula>
    </cfRule>
  </conditionalFormatting>
  <conditionalFormatting sqref="F2262">
    <cfRule type="containsText" dxfId="441" priority="442" operator="containsText" text="TOTAL">
      <formula>NOT(ISERROR(SEARCH("TOTAL",F2262)))</formula>
    </cfRule>
  </conditionalFormatting>
  <conditionalFormatting sqref="F2268">
    <cfRule type="containsText" dxfId="440" priority="441" operator="containsText" text="TOTAL">
      <formula>NOT(ISERROR(SEARCH("TOTAL",F2268)))</formula>
    </cfRule>
  </conditionalFormatting>
  <conditionalFormatting sqref="F2271">
    <cfRule type="containsText" dxfId="439" priority="440" operator="containsText" text="TOTAL">
      <formula>NOT(ISERROR(SEARCH("TOTAL",F2271)))</formula>
    </cfRule>
  </conditionalFormatting>
  <conditionalFormatting sqref="F2277">
    <cfRule type="containsText" dxfId="438" priority="439" operator="containsText" text="TOTAL">
      <formula>NOT(ISERROR(SEARCH("TOTAL",F2277)))</formula>
    </cfRule>
  </conditionalFormatting>
  <conditionalFormatting sqref="F2280">
    <cfRule type="containsText" dxfId="437" priority="438" operator="containsText" text="TOTAL">
      <formula>NOT(ISERROR(SEARCH("TOTAL",F2280)))</formula>
    </cfRule>
  </conditionalFormatting>
  <conditionalFormatting sqref="F2283">
    <cfRule type="containsText" dxfId="436" priority="437" operator="containsText" text="TOTAL">
      <formula>NOT(ISERROR(SEARCH("TOTAL",F2283)))</formula>
    </cfRule>
  </conditionalFormatting>
  <conditionalFormatting sqref="F2286">
    <cfRule type="containsText" dxfId="435" priority="436" operator="containsText" text="TOTAL">
      <formula>NOT(ISERROR(SEARCH("TOTAL",F2286)))</formula>
    </cfRule>
  </conditionalFormatting>
  <conditionalFormatting sqref="F2291">
    <cfRule type="containsText" dxfId="434" priority="435" operator="containsText" text="TOTAL">
      <formula>NOT(ISERROR(SEARCH("TOTAL",F2291)))</formula>
    </cfRule>
  </conditionalFormatting>
  <conditionalFormatting sqref="F2295">
    <cfRule type="containsText" dxfId="433" priority="434" operator="containsText" text="TOTAL">
      <formula>NOT(ISERROR(SEARCH("TOTAL",F2295)))</formula>
    </cfRule>
  </conditionalFormatting>
  <conditionalFormatting sqref="F2299">
    <cfRule type="containsText" dxfId="432" priority="433" operator="containsText" text="TOTAL">
      <formula>NOT(ISERROR(SEARCH("TOTAL",F2299)))</formula>
    </cfRule>
  </conditionalFormatting>
  <conditionalFormatting sqref="F2302">
    <cfRule type="containsText" dxfId="431" priority="432" operator="containsText" text="TOTAL">
      <formula>NOT(ISERROR(SEARCH("TOTAL",F2302)))</formula>
    </cfRule>
  </conditionalFormatting>
  <conditionalFormatting sqref="F2305">
    <cfRule type="containsText" dxfId="430" priority="431" operator="containsText" text="TOTAL">
      <formula>NOT(ISERROR(SEARCH("TOTAL",F2305)))</formula>
    </cfRule>
  </conditionalFormatting>
  <conditionalFormatting sqref="F2308">
    <cfRule type="containsText" dxfId="429" priority="430" operator="containsText" text="TOTAL">
      <formula>NOT(ISERROR(SEARCH("TOTAL",F2308)))</formula>
    </cfRule>
  </conditionalFormatting>
  <conditionalFormatting sqref="F2312">
    <cfRule type="containsText" dxfId="428" priority="429" operator="containsText" text="TOTAL">
      <formula>NOT(ISERROR(SEARCH("TOTAL",F2312)))</formula>
    </cfRule>
  </conditionalFormatting>
  <conditionalFormatting sqref="F2316">
    <cfRule type="containsText" dxfId="427" priority="428" operator="containsText" text="TOTAL">
      <formula>NOT(ISERROR(SEARCH("TOTAL",F2316)))</formula>
    </cfRule>
  </conditionalFormatting>
  <conditionalFormatting sqref="F2319">
    <cfRule type="containsText" dxfId="426" priority="427" operator="containsText" text="TOTAL">
      <formula>NOT(ISERROR(SEARCH("TOTAL",F2319)))</formula>
    </cfRule>
  </conditionalFormatting>
  <conditionalFormatting sqref="F2322">
    <cfRule type="containsText" dxfId="425" priority="426" operator="containsText" text="TOTAL">
      <formula>NOT(ISERROR(SEARCH("TOTAL",F2322)))</formula>
    </cfRule>
  </conditionalFormatting>
  <conditionalFormatting sqref="F2325">
    <cfRule type="containsText" dxfId="424" priority="425" operator="containsText" text="TOTAL">
      <formula>NOT(ISERROR(SEARCH("TOTAL",F2325)))</formula>
    </cfRule>
  </conditionalFormatting>
  <conditionalFormatting sqref="F2328">
    <cfRule type="containsText" dxfId="423" priority="424" operator="containsText" text="TOTAL">
      <formula>NOT(ISERROR(SEARCH("TOTAL",F2328)))</formula>
    </cfRule>
  </conditionalFormatting>
  <conditionalFormatting sqref="F2331">
    <cfRule type="containsText" dxfId="422" priority="423" operator="containsText" text="TOTAL">
      <formula>NOT(ISERROR(SEARCH("TOTAL",F2331)))</formula>
    </cfRule>
  </conditionalFormatting>
  <conditionalFormatting sqref="F2334">
    <cfRule type="containsText" dxfId="421" priority="422" operator="containsText" text="TOTAL">
      <formula>NOT(ISERROR(SEARCH("TOTAL",F2334)))</formula>
    </cfRule>
  </conditionalFormatting>
  <conditionalFormatting sqref="F2337">
    <cfRule type="containsText" dxfId="420" priority="421" operator="containsText" text="TOTAL">
      <formula>NOT(ISERROR(SEARCH("TOTAL",F2337)))</formula>
    </cfRule>
  </conditionalFormatting>
  <conditionalFormatting sqref="F2340">
    <cfRule type="containsText" dxfId="419" priority="420" operator="containsText" text="TOTAL">
      <formula>NOT(ISERROR(SEARCH("TOTAL",F2340)))</formula>
    </cfRule>
  </conditionalFormatting>
  <conditionalFormatting sqref="F2343">
    <cfRule type="containsText" dxfId="418" priority="419" operator="containsText" text="TOTAL">
      <formula>NOT(ISERROR(SEARCH("TOTAL",F2343)))</formula>
    </cfRule>
  </conditionalFormatting>
  <conditionalFormatting sqref="F2347">
    <cfRule type="containsText" dxfId="417" priority="418" operator="containsText" text="TOTAL">
      <formula>NOT(ISERROR(SEARCH("TOTAL",F2347)))</formula>
    </cfRule>
  </conditionalFormatting>
  <conditionalFormatting sqref="F2351">
    <cfRule type="containsText" dxfId="416" priority="417" operator="containsText" text="TOTAL">
      <formula>NOT(ISERROR(SEARCH("TOTAL",F2351)))</formula>
    </cfRule>
  </conditionalFormatting>
  <conditionalFormatting sqref="F2355">
    <cfRule type="containsText" dxfId="415" priority="416" operator="containsText" text="TOTAL">
      <formula>NOT(ISERROR(SEARCH("TOTAL",F2355)))</formula>
    </cfRule>
  </conditionalFormatting>
  <conditionalFormatting sqref="F2366">
    <cfRule type="containsText" dxfId="414" priority="415" operator="containsText" text="TOTAL">
      <formula>NOT(ISERROR(SEARCH("TOTAL",F2366)))</formula>
    </cfRule>
  </conditionalFormatting>
  <conditionalFormatting sqref="F2388">
    <cfRule type="containsText" dxfId="413" priority="414" operator="containsText" text="TOTAL">
      <formula>NOT(ISERROR(SEARCH("TOTAL",F2388)))</formula>
    </cfRule>
  </conditionalFormatting>
  <conditionalFormatting sqref="F2410">
    <cfRule type="containsText" dxfId="412" priority="413" operator="containsText" text="TOTAL">
      <formula>NOT(ISERROR(SEARCH("TOTAL",F2410)))</formula>
    </cfRule>
  </conditionalFormatting>
  <conditionalFormatting sqref="F2413">
    <cfRule type="containsText" dxfId="411" priority="412" operator="containsText" text="TOTAL">
      <formula>NOT(ISERROR(SEARCH("TOTAL",F2413)))</formula>
    </cfRule>
  </conditionalFormatting>
  <conditionalFormatting sqref="F2417">
    <cfRule type="containsText" dxfId="410" priority="411" operator="containsText" text="TOTAL">
      <formula>NOT(ISERROR(SEARCH("TOTAL",F2417)))</formula>
    </cfRule>
  </conditionalFormatting>
  <conditionalFormatting sqref="F2421">
    <cfRule type="containsText" dxfId="409" priority="410" operator="containsText" text="TOTAL">
      <formula>NOT(ISERROR(SEARCH("TOTAL",F2421)))</formula>
    </cfRule>
  </conditionalFormatting>
  <conditionalFormatting sqref="F2424">
    <cfRule type="containsText" dxfId="408" priority="409" operator="containsText" text="TOTAL">
      <formula>NOT(ISERROR(SEARCH("TOTAL",F2424)))</formula>
    </cfRule>
  </conditionalFormatting>
  <conditionalFormatting sqref="F2428">
    <cfRule type="containsText" dxfId="407" priority="408" operator="containsText" text="TOTAL">
      <formula>NOT(ISERROR(SEARCH("TOTAL",F2428)))</formula>
    </cfRule>
  </conditionalFormatting>
  <conditionalFormatting sqref="F2432">
    <cfRule type="containsText" dxfId="406" priority="407" operator="containsText" text="TOTAL">
      <formula>NOT(ISERROR(SEARCH("TOTAL",F2432)))</formula>
    </cfRule>
  </conditionalFormatting>
  <conditionalFormatting sqref="F2436">
    <cfRule type="containsText" dxfId="405" priority="406" operator="containsText" text="TOTAL">
      <formula>NOT(ISERROR(SEARCH("TOTAL",F2436)))</formula>
    </cfRule>
  </conditionalFormatting>
  <conditionalFormatting sqref="F2440">
    <cfRule type="containsText" dxfId="404" priority="405" operator="containsText" text="TOTAL">
      <formula>NOT(ISERROR(SEARCH("TOTAL",F2440)))</formula>
    </cfRule>
  </conditionalFormatting>
  <conditionalFormatting sqref="F2443">
    <cfRule type="containsText" dxfId="403" priority="404" operator="containsText" text="TOTAL">
      <formula>NOT(ISERROR(SEARCH("TOTAL",F2443)))</formula>
    </cfRule>
  </conditionalFormatting>
  <conditionalFormatting sqref="F2447">
    <cfRule type="containsText" dxfId="402" priority="403" operator="containsText" text="TOTAL">
      <formula>NOT(ISERROR(SEARCH("TOTAL",F2447)))</formula>
    </cfRule>
  </conditionalFormatting>
  <conditionalFormatting sqref="F2451">
    <cfRule type="containsText" dxfId="401" priority="402" operator="containsText" text="TOTAL">
      <formula>NOT(ISERROR(SEARCH("TOTAL",F2451)))</formula>
    </cfRule>
  </conditionalFormatting>
  <conditionalFormatting sqref="F2455">
    <cfRule type="containsText" dxfId="400" priority="401" operator="containsText" text="TOTAL">
      <formula>NOT(ISERROR(SEARCH("TOTAL",F2455)))</formula>
    </cfRule>
  </conditionalFormatting>
  <conditionalFormatting sqref="F2459">
    <cfRule type="containsText" dxfId="399" priority="400" operator="containsText" text="TOTAL">
      <formula>NOT(ISERROR(SEARCH("TOTAL",F2459)))</formula>
    </cfRule>
  </conditionalFormatting>
  <conditionalFormatting sqref="F2463">
    <cfRule type="containsText" dxfId="398" priority="399" operator="containsText" text="TOTAL">
      <formula>NOT(ISERROR(SEARCH("TOTAL",F2463)))</formula>
    </cfRule>
  </conditionalFormatting>
  <conditionalFormatting sqref="F2467">
    <cfRule type="containsText" dxfId="397" priority="398" operator="containsText" text="TOTAL">
      <formula>NOT(ISERROR(SEARCH("TOTAL",F2467)))</formula>
    </cfRule>
  </conditionalFormatting>
  <conditionalFormatting sqref="F2471">
    <cfRule type="containsText" dxfId="396" priority="397" operator="containsText" text="TOTAL">
      <formula>NOT(ISERROR(SEARCH("TOTAL",F2471)))</formula>
    </cfRule>
  </conditionalFormatting>
  <conditionalFormatting sqref="F2475">
    <cfRule type="containsText" dxfId="395" priority="396" operator="containsText" text="TOTAL">
      <formula>NOT(ISERROR(SEARCH("TOTAL",F2475)))</formula>
    </cfRule>
  </conditionalFormatting>
  <conditionalFormatting sqref="F2479">
    <cfRule type="containsText" dxfId="394" priority="395" operator="containsText" text="TOTAL">
      <formula>NOT(ISERROR(SEARCH("TOTAL",F2479)))</formula>
    </cfRule>
  </conditionalFormatting>
  <conditionalFormatting sqref="F2483">
    <cfRule type="containsText" dxfId="393" priority="394" operator="containsText" text="TOTAL">
      <formula>NOT(ISERROR(SEARCH("TOTAL",F2483)))</formula>
    </cfRule>
  </conditionalFormatting>
  <conditionalFormatting sqref="F2487">
    <cfRule type="containsText" dxfId="392" priority="393" operator="containsText" text="TOTAL">
      <formula>NOT(ISERROR(SEARCH("TOTAL",F2487)))</formula>
    </cfRule>
  </conditionalFormatting>
  <conditionalFormatting sqref="F2491">
    <cfRule type="containsText" dxfId="391" priority="392" operator="containsText" text="TOTAL">
      <formula>NOT(ISERROR(SEARCH("TOTAL",F2491)))</formula>
    </cfRule>
  </conditionalFormatting>
  <conditionalFormatting sqref="F2495">
    <cfRule type="containsText" dxfId="390" priority="391" operator="containsText" text="TOTAL">
      <formula>NOT(ISERROR(SEARCH("TOTAL",F2495)))</formula>
    </cfRule>
  </conditionalFormatting>
  <conditionalFormatting sqref="F2501">
    <cfRule type="containsText" dxfId="389" priority="390" operator="containsText" text="TOTAL">
      <formula>NOT(ISERROR(SEARCH("TOTAL",F2501)))</formula>
    </cfRule>
  </conditionalFormatting>
  <conditionalFormatting sqref="F2507">
    <cfRule type="containsText" dxfId="388" priority="389" operator="containsText" text="TOTAL">
      <formula>NOT(ISERROR(SEARCH("TOTAL",F2507)))</formula>
    </cfRule>
  </conditionalFormatting>
  <conditionalFormatting sqref="F2514">
    <cfRule type="containsText" dxfId="387" priority="388" operator="containsText" text="TOTAL">
      <formula>NOT(ISERROR(SEARCH("TOTAL",F2514)))</formula>
    </cfRule>
  </conditionalFormatting>
  <conditionalFormatting sqref="F2518">
    <cfRule type="containsText" dxfId="386" priority="387" operator="containsText" text="TOTAL">
      <formula>NOT(ISERROR(SEARCH("TOTAL",F2518)))</formula>
    </cfRule>
  </conditionalFormatting>
  <conditionalFormatting sqref="F2521">
    <cfRule type="containsText" dxfId="385" priority="386" operator="containsText" text="TOTAL">
      <formula>NOT(ISERROR(SEARCH("TOTAL",F2521)))</formula>
    </cfRule>
  </conditionalFormatting>
  <conditionalFormatting sqref="F2524">
    <cfRule type="containsText" dxfId="384" priority="385" operator="containsText" text="TOTAL">
      <formula>NOT(ISERROR(SEARCH("TOTAL",F2524)))</formula>
    </cfRule>
  </conditionalFormatting>
  <conditionalFormatting sqref="F2528">
    <cfRule type="containsText" dxfId="383" priority="384" operator="containsText" text="TOTAL">
      <formula>NOT(ISERROR(SEARCH("TOTAL",F2528)))</formula>
    </cfRule>
  </conditionalFormatting>
  <conditionalFormatting sqref="F2532">
    <cfRule type="containsText" dxfId="382" priority="383" operator="containsText" text="TOTAL">
      <formula>NOT(ISERROR(SEARCH("TOTAL",F2532)))</formula>
    </cfRule>
  </conditionalFormatting>
  <conditionalFormatting sqref="F2536">
    <cfRule type="containsText" dxfId="381" priority="382" operator="containsText" text="TOTAL">
      <formula>NOT(ISERROR(SEARCH("TOTAL",F2536)))</formula>
    </cfRule>
  </conditionalFormatting>
  <conditionalFormatting sqref="F2539">
    <cfRule type="containsText" dxfId="380" priority="381" operator="containsText" text="TOTAL">
      <formula>NOT(ISERROR(SEARCH("TOTAL",F2539)))</formula>
    </cfRule>
  </conditionalFormatting>
  <conditionalFormatting sqref="F2542">
    <cfRule type="containsText" dxfId="379" priority="380" operator="containsText" text="TOTAL">
      <formula>NOT(ISERROR(SEARCH("TOTAL",F2542)))</formula>
    </cfRule>
  </conditionalFormatting>
  <conditionalFormatting sqref="F2546">
    <cfRule type="containsText" dxfId="378" priority="379" operator="containsText" text="TOTAL">
      <formula>NOT(ISERROR(SEARCH("TOTAL",F2546)))</formula>
    </cfRule>
  </conditionalFormatting>
  <conditionalFormatting sqref="F2550">
    <cfRule type="containsText" dxfId="377" priority="378" operator="containsText" text="TOTAL">
      <formula>NOT(ISERROR(SEARCH("TOTAL",F2550)))</formula>
    </cfRule>
  </conditionalFormatting>
  <conditionalFormatting sqref="F2553">
    <cfRule type="containsText" dxfId="376" priority="377" operator="containsText" text="TOTAL">
      <formula>NOT(ISERROR(SEARCH("TOTAL",F2553)))</formula>
    </cfRule>
  </conditionalFormatting>
  <conditionalFormatting sqref="F2557">
    <cfRule type="containsText" dxfId="375" priority="376" operator="containsText" text="TOTAL">
      <formula>NOT(ISERROR(SEARCH("TOTAL",F2557)))</formula>
    </cfRule>
  </conditionalFormatting>
  <conditionalFormatting sqref="F2560">
    <cfRule type="containsText" dxfId="374" priority="375" operator="containsText" text="TOTAL">
      <formula>NOT(ISERROR(SEARCH("TOTAL",F2560)))</formula>
    </cfRule>
  </conditionalFormatting>
  <conditionalFormatting sqref="F2563">
    <cfRule type="containsText" dxfId="373" priority="374" operator="containsText" text="TOTAL">
      <formula>NOT(ISERROR(SEARCH("TOTAL",F2563)))</formula>
    </cfRule>
  </conditionalFormatting>
  <conditionalFormatting sqref="F2566">
    <cfRule type="containsText" dxfId="372" priority="373" operator="containsText" text="TOTAL">
      <formula>NOT(ISERROR(SEARCH("TOTAL",F2566)))</formula>
    </cfRule>
  </conditionalFormatting>
  <conditionalFormatting sqref="F2574">
    <cfRule type="containsText" dxfId="371" priority="372" operator="containsText" text="TOTAL">
      <formula>NOT(ISERROR(SEARCH("TOTAL",F2574)))</formula>
    </cfRule>
  </conditionalFormatting>
  <conditionalFormatting sqref="F2577">
    <cfRule type="containsText" dxfId="370" priority="371" operator="containsText" text="TOTAL">
      <formula>NOT(ISERROR(SEARCH("TOTAL",F2577)))</formula>
    </cfRule>
  </conditionalFormatting>
  <conditionalFormatting sqref="F2580">
    <cfRule type="containsText" dxfId="369" priority="370" operator="containsText" text="TOTAL">
      <formula>NOT(ISERROR(SEARCH("TOTAL",F2580)))</formula>
    </cfRule>
  </conditionalFormatting>
  <conditionalFormatting sqref="F2583">
    <cfRule type="containsText" dxfId="368" priority="369" operator="containsText" text="TOTAL">
      <formula>NOT(ISERROR(SEARCH("TOTAL",F2583)))</formula>
    </cfRule>
  </conditionalFormatting>
  <conditionalFormatting sqref="F2587">
    <cfRule type="containsText" dxfId="367" priority="368" operator="containsText" text="TOTAL">
      <formula>NOT(ISERROR(SEARCH("TOTAL",F2587)))</formula>
    </cfRule>
  </conditionalFormatting>
  <conditionalFormatting sqref="F2590">
    <cfRule type="containsText" dxfId="366" priority="367" operator="containsText" text="TOTAL">
      <formula>NOT(ISERROR(SEARCH("TOTAL",F2590)))</formula>
    </cfRule>
  </conditionalFormatting>
  <conditionalFormatting sqref="F2593">
    <cfRule type="containsText" dxfId="365" priority="366" operator="containsText" text="TOTAL">
      <formula>NOT(ISERROR(SEARCH("TOTAL",F2593)))</formula>
    </cfRule>
  </conditionalFormatting>
  <conditionalFormatting sqref="F2596">
    <cfRule type="containsText" dxfId="364" priority="365" operator="containsText" text="TOTAL">
      <formula>NOT(ISERROR(SEARCH("TOTAL",F2596)))</formula>
    </cfRule>
  </conditionalFormatting>
  <conditionalFormatting sqref="F2604">
    <cfRule type="containsText" dxfId="363" priority="364" operator="containsText" text="TOTAL">
      <formula>NOT(ISERROR(SEARCH("TOTAL",F2604)))</formula>
    </cfRule>
  </conditionalFormatting>
  <conditionalFormatting sqref="F2612">
    <cfRule type="containsText" dxfId="362" priority="363" operator="containsText" text="TOTAL">
      <formula>NOT(ISERROR(SEARCH("TOTAL",F2612)))</formula>
    </cfRule>
  </conditionalFormatting>
  <conditionalFormatting sqref="F2615">
    <cfRule type="containsText" dxfId="361" priority="362" operator="containsText" text="TOTAL">
      <formula>NOT(ISERROR(SEARCH("TOTAL",F2615)))</formula>
    </cfRule>
  </conditionalFormatting>
  <conditionalFormatting sqref="F2618">
    <cfRule type="containsText" dxfId="360" priority="361" operator="containsText" text="TOTAL">
      <formula>NOT(ISERROR(SEARCH("TOTAL",F2618)))</formula>
    </cfRule>
  </conditionalFormatting>
  <conditionalFormatting sqref="F2622">
    <cfRule type="containsText" dxfId="359" priority="360" operator="containsText" text="TOTAL">
      <formula>NOT(ISERROR(SEARCH("TOTAL",F2622)))</formula>
    </cfRule>
  </conditionalFormatting>
  <conditionalFormatting sqref="F2626">
    <cfRule type="containsText" dxfId="358" priority="359" operator="containsText" text="TOTAL">
      <formula>NOT(ISERROR(SEARCH("TOTAL",F2626)))</formula>
    </cfRule>
  </conditionalFormatting>
  <conditionalFormatting sqref="F2629">
    <cfRule type="containsText" dxfId="357" priority="358" operator="containsText" text="TOTAL">
      <formula>NOT(ISERROR(SEARCH("TOTAL",F2629)))</formula>
    </cfRule>
  </conditionalFormatting>
  <conditionalFormatting sqref="F2632">
    <cfRule type="containsText" dxfId="356" priority="357" operator="containsText" text="TOTAL">
      <formula>NOT(ISERROR(SEARCH("TOTAL",F2632)))</formula>
    </cfRule>
  </conditionalFormatting>
  <conditionalFormatting sqref="F2635">
    <cfRule type="containsText" dxfId="355" priority="356" operator="containsText" text="TOTAL">
      <formula>NOT(ISERROR(SEARCH("TOTAL",F2635)))</formula>
    </cfRule>
  </conditionalFormatting>
  <conditionalFormatting sqref="F2638">
    <cfRule type="containsText" dxfId="354" priority="355" operator="containsText" text="TOTAL">
      <formula>NOT(ISERROR(SEARCH("TOTAL",F2638)))</formula>
    </cfRule>
  </conditionalFormatting>
  <conditionalFormatting sqref="F2641">
    <cfRule type="containsText" dxfId="353" priority="354" operator="containsText" text="TOTAL">
      <formula>NOT(ISERROR(SEARCH("TOTAL",F2641)))</formula>
    </cfRule>
  </conditionalFormatting>
  <conditionalFormatting sqref="F2645">
    <cfRule type="containsText" dxfId="352" priority="353" operator="containsText" text="TOTAL">
      <formula>NOT(ISERROR(SEARCH("TOTAL",F2645)))</formula>
    </cfRule>
  </conditionalFormatting>
  <conditionalFormatting sqref="F2649">
    <cfRule type="containsText" dxfId="351" priority="352" operator="containsText" text="TOTAL">
      <formula>NOT(ISERROR(SEARCH("TOTAL",F2649)))</formula>
    </cfRule>
  </conditionalFormatting>
  <conditionalFormatting sqref="F2652">
    <cfRule type="containsText" dxfId="350" priority="351" operator="containsText" text="TOTAL">
      <formula>NOT(ISERROR(SEARCH("TOTAL",F2652)))</formula>
    </cfRule>
  </conditionalFormatting>
  <conditionalFormatting sqref="F2656">
    <cfRule type="containsText" dxfId="349" priority="350" operator="containsText" text="TOTAL">
      <formula>NOT(ISERROR(SEARCH("TOTAL",F2656)))</formula>
    </cfRule>
  </conditionalFormatting>
  <conditionalFormatting sqref="F2660">
    <cfRule type="containsText" dxfId="348" priority="349" operator="containsText" text="TOTAL">
      <formula>NOT(ISERROR(SEARCH("TOTAL",F2660)))</formula>
    </cfRule>
  </conditionalFormatting>
  <conditionalFormatting sqref="F2664">
    <cfRule type="containsText" dxfId="347" priority="348" operator="containsText" text="TOTAL">
      <formula>NOT(ISERROR(SEARCH("TOTAL",F2664)))</formula>
    </cfRule>
  </conditionalFormatting>
  <conditionalFormatting sqref="F2668">
    <cfRule type="containsText" dxfId="346" priority="347" operator="containsText" text="TOTAL">
      <formula>NOT(ISERROR(SEARCH("TOTAL",F2668)))</formula>
    </cfRule>
  </conditionalFormatting>
  <conditionalFormatting sqref="F2671">
    <cfRule type="containsText" dxfId="345" priority="346" operator="containsText" text="TOTAL">
      <formula>NOT(ISERROR(SEARCH("TOTAL",F2671)))</formula>
    </cfRule>
  </conditionalFormatting>
  <conditionalFormatting sqref="F2674">
    <cfRule type="containsText" dxfId="344" priority="345" operator="containsText" text="TOTAL">
      <formula>NOT(ISERROR(SEARCH("TOTAL",F2674)))</formula>
    </cfRule>
  </conditionalFormatting>
  <conditionalFormatting sqref="F2678">
    <cfRule type="containsText" dxfId="343" priority="344" operator="containsText" text="TOTAL">
      <formula>NOT(ISERROR(SEARCH("TOTAL",F2678)))</formula>
    </cfRule>
  </conditionalFormatting>
  <conditionalFormatting sqref="F2682">
    <cfRule type="containsText" dxfId="342" priority="343" operator="containsText" text="TOTAL">
      <formula>NOT(ISERROR(SEARCH("TOTAL",F2682)))</formula>
    </cfRule>
  </conditionalFormatting>
  <conditionalFormatting sqref="F2686">
    <cfRule type="containsText" dxfId="341" priority="342" operator="containsText" text="TOTAL">
      <formula>NOT(ISERROR(SEARCH("TOTAL",F2686)))</formula>
    </cfRule>
  </conditionalFormatting>
  <conditionalFormatting sqref="F2690">
    <cfRule type="containsText" dxfId="340" priority="341" operator="containsText" text="TOTAL">
      <formula>NOT(ISERROR(SEARCH("TOTAL",F2690)))</formula>
    </cfRule>
  </conditionalFormatting>
  <conditionalFormatting sqref="F2695">
    <cfRule type="containsText" dxfId="339" priority="340" operator="containsText" text="TOTAL">
      <formula>NOT(ISERROR(SEARCH("TOTAL",F2695)))</formula>
    </cfRule>
  </conditionalFormatting>
  <conditionalFormatting sqref="F2699">
    <cfRule type="containsText" dxfId="338" priority="339" operator="containsText" text="TOTAL">
      <formula>NOT(ISERROR(SEARCH("TOTAL",F2699)))</formula>
    </cfRule>
  </conditionalFormatting>
  <conditionalFormatting sqref="F2702">
    <cfRule type="containsText" dxfId="337" priority="338" operator="containsText" text="TOTAL">
      <formula>NOT(ISERROR(SEARCH("TOTAL",F2702)))</formula>
    </cfRule>
  </conditionalFormatting>
  <conditionalFormatting sqref="F2706">
    <cfRule type="containsText" dxfId="336" priority="337" operator="containsText" text="TOTAL">
      <formula>NOT(ISERROR(SEARCH("TOTAL",F2706)))</formula>
    </cfRule>
  </conditionalFormatting>
  <conditionalFormatting sqref="F2710">
    <cfRule type="containsText" dxfId="335" priority="336" operator="containsText" text="TOTAL">
      <formula>NOT(ISERROR(SEARCH("TOTAL",F2710)))</formula>
    </cfRule>
  </conditionalFormatting>
  <conditionalFormatting sqref="F2714">
    <cfRule type="containsText" dxfId="334" priority="335" operator="containsText" text="TOTAL">
      <formula>NOT(ISERROR(SEARCH("TOTAL",F2714)))</formula>
    </cfRule>
  </conditionalFormatting>
  <conditionalFormatting sqref="F2718">
    <cfRule type="containsText" dxfId="333" priority="334" operator="containsText" text="TOTAL">
      <formula>NOT(ISERROR(SEARCH("TOTAL",F2718)))</formula>
    </cfRule>
  </conditionalFormatting>
  <conditionalFormatting sqref="F2721">
    <cfRule type="containsText" dxfId="332" priority="333" operator="containsText" text="TOTAL">
      <formula>NOT(ISERROR(SEARCH("TOTAL",F2721)))</formula>
    </cfRule>
  </conditionalFormatting>
  <conditionalFormatting sqref="F2725">
    <cfRule type="containsText" dxfId="331" priority="332" operator="containsText" text="TOTAL">
      <formula>NOT(ISERROR(SEARCH("TOTAL",F2725)))</formula>
    </cfRule>
  </conditionalFormatting>
  <conditionalFormatting sqref="F2729">
    <cfRule type="containsText" dxfId="330" priority="331" operator="containsText" text="TOTAL">
      <formula>NOT(ISERROR(SEARCH("TOTAL",F2729)))</formula>
    </cfRule>
  </conditionalFormatting>
  <conditionalFormatting sqref="F2733">
    <cfRule type="containsText" dxfId="329" priority="330" operator="containsText" text="TOTAL">
      <formula>NOT(ISERROR(SEARCH("TOTAL",F2733)))</formula>
    </cfRule>
  </conditionalFormatting>
  <conditionalFormatting sqref="F2737">
    <cfRule type="containsText" dxfId="328" priority="329" operator="containsText" text="TOTAL">
      <formula>NOT(ISERROR(SEARCH("TOTAL",F2737)))</formula>
    </cfRule>
  </conditionalFormatting>
  <conditionalFormatting sqref="F2741">
    <cfRule type="containsText" dxfId="327" priority="328" operator="containsText" text="TOTAL">
      <formula>NOT(ISERROR(SEARCH("TOTAL",F2741)))</formula>
    </cfRule>
  </conditionalFormatting>
  <conditionalFormatting sqref="F2745">
    <cfRule type="containsText" dxfId="326" priority="327" operator="containsText" text="TOTAL">
      <formula>NOT(ISERROR(SEARCH("TOTAL",F2745)))</formula>
    </cfRule>
  </conditionalFormatting>
  <conditionalFormatting sqref="F2748">
    <cfRule type="containsText" dxfId="325" priority="326" operator="containsText" text="TOTAL">
      <formula>NOT(ISERROR(SEARCH("TOTAL",F2748)))</formula>
    </cfRule>
  </conditionalFormatting>
  <conditionalFormatting sqref="F2751">
    <cfRule type="containsText" dxfId="324" priority="325" operator="containsText" text="TOTAL">
      <formula>NOT(ISERROR(SEARCH("TOTAL",F2751)))</formula>
    </cfRule>
  </conditionalFormatting>
  <conditionalFormatting sqref="F2754">
    <cfRule type="containsText" dxfId="323" priority="324" operator="containsText" text="TOTAL">
      <formula>NOT(ISERROR(SEARCH("TOTAL",F2754)))</formula>
    </cfRule>
  </conditionalFormatting>
  <conditionalFormatting sqref="F2758">
    <cfRule type="containsText" dxfId="322" priority="323" operator="containsText" text="TOTAL">
      <formula>NOT(ISERROR(SEARCH("TOTAL",F2758)))</formula>
    </cfRule>
  </conditionalFormatting>
  <conditionalFormatting sqref="F2763">
    <cfRule type="containsText" dxfId="321" priority="322" operator="containsText" text="TOTAL">
      <formula>NOT(ISERROR(SEARCH("TOTAL",F2763)))</formula>
    </cfRule>
  </conditionalFormatting>
  <conditionalFormatting sqref="F2767">
    <cfRule type="containsText" dxfId="320" priority="321" operator="containsText" text="TOTAL">
      <formula>NOT(ISERROR(SEARCH("TOTAL",F2767)))</formula>
    </cfRule>
  </conditionalFormatting>
  <conditionalFormatting sqref="F2771">
    <cfRule type="containsText" dxfId="319" priority="320" operator="containsText" text="TOTAL">
      <formula>NOT(ISERROR(SEARCH("TOTAL",F2771)))</formula>
    </cfRule>
  </conditionalFormatting>
  <conditionalFormatting sqref="F2775">
    <cfRule type="containsText" dxfId="318" priority="319" operator="containsText" text="TOTAL">
      <formula>NOT(ISERROR(SEARCH("TOTAL",F2775)))</formula>
    </cfRule>
  </conditionalFormatting>
  <conditionalFormatting sqref="F2779">
    <cfRule type="containsText" dxfId="317" priority="318" operator="containsText" text="TOTAL">
      <formula>NOT(ISERROR(SEARCH("TOTAL",F2779)))</formula>
    </cfRule>
  </conditionalFormatting>
  <conditionalFormatting sqref="F2782">
    <cfRule type="containsText" dxfId="316" priority="317" operator="containsText" text="TOTAL">
      <formula>NOT(ISERROR(SEARCH("TOTAL",F2782)))</formula>
    </cfRule>
  </conditionalFormatting>
  <conditionalFormatting sqref="F2788">
    <cfRule type="containsText" dxfId="315" priority="316" operator="containsText" text="TOTAL">
      <formula>NOT(ISERROR(SEARCH("TOTAL",F2788)))</formula>
    </cfRule>
  </conditionalFormatting>
  <conditionalFormatting sqref="F2792">
    <cfRule type="containsText" dxfId="314" priority="315" operator="containsText" text="TOTAL">
      <formula>NOT(ISERROR(SEARCH("TOTAL",F2792)))</formula>
    </cfRule>
  </conditionalFormatting>
  <conditionalFormatting sqref="C2795">
    <cfRule type="containsText" dxfId="313" priority="314" operator="containsText" text="defint">
      <formula>NOT(ISERROR(SEARCH("defint",C2795)))</formula>
    </cfRule>
  </conditionalFormatting>
  <conditionalFormatting sqref="N2795">
    <cfRule type="containsText" dxfId="312" priority="313" operator="containsText" text="TOTAL">
      <formula>NOT(ISERROR(SEARCH("TOTAL",N2795)))</formula>
    </cfRule>
  </conditionalFormatting>
  <conditionalFormatting sqref="F2795">
    <cfRule type="containsText" dxfId="311" priority="312" operator="containsText" text="TOTAL">
      <formula>NOT(ISERROR(SEARCH("TOTAL",F2795)))</formula>
    </cfRule>
  </conditionalFormatting>
  <conditionalFormatting sqref="F2798">
    <cfRule type="containsText" dxfId="310" priority="311" operator="containsText" text="TOTAL">
      <formula>NOT(ISERROR(SEARCH("TOTAL",F2798)))</formula>
    </cfRule>
  </conditionalFormatting>
  <conditionalFormatting sqref="F2802">
    <cfRule type="containsText" dxfId="309" priority="310" operator="containsText" text="TOTAL">
      <formula>NOT(ISERROR(SEARCH("TOTAL",F2802)))</formula>
    </cfRule>
  </conditionalFormatting>
  <conditionalFormatting sqref="F2806">
    <cfRule type="containsText" dxfId="308" priority="309" operator="containsText" text="TOTAL">
      <formula>NOT(ISERROR(SEARCH("TOTAL",F2806)))</formula>
    </cfRule>
  </conditionalFormatting>
  <conditionalFormatting sqref="F2811">
    <cfRule type="containsText" dxfId="307" priority="308" operator="containsText" text="TOTAL">
      <formula>NOT(ISERROR(SEARCH("TOTAL",F2811)))</formula>
    </cfRule>
  </conditionalFormatting>
  <conditionalFormatting sqref="F2814">
    <cfRule type="containsText" dxfId="306" priority="307" operator="containsText" text="TOTAL">
      <formula>NOT(ISERROR(SEARCH("TOTAL",F2814)))</formula>
    </cfRule>
  </conditionalFormatting>
  <conditionalFormatting sqref="F2818">
    <cfRule type="containsText" dxfId="305" priority="306" operator="containsText" text="TOTAL">
      <formula>NOT(ISERROR(SEARCH("TOTAL",F2818)))</formula>
    </cfRule>
  </conditionalFormatting>
  <conditionalFormatting sqref="F2821">
    <cfRule type="containsText" dxfId="304" priority="305" operator="containsText" text="TOTAL">
      <formula>NOT(ISERROR(SEARCH("TOTAL",F2821)))</formula>
    </cfRule>
  </conditionalFormatting>
  <conditionalFormatting sqref="F2825">
    <cfRule type="containsText" dxfId="303" priority="304" operator="containsText" text="TOTAL">
      <formula>NOT(ISERROR(SEARCH("TOTAL",F2825)))</formula>
    </cfRule>
  </conditionalFormatting>
  <conditionalFormatting sqref="F2828">
    <cfRule type="containsText" dxfId="302" priority="303" operator="containsText" text="TOTAL">
      <formula>NOT(ISERROR(SEARCH("TOTAL",F2828)))</formula>
    </cfRule>
  </conditionalFormatting>
  <conditionalFormatting sqref="F2832">
    <cfRule type="containsText" dxfId="301" priority="302" operator="containsText" text="TOTAL">
      <formula>NOT(ISERROR(SEARCH("TOTAL",F2832)))</formula>
    </cfRule>
  </conditionalFormatting>
  <conditionalFormatting sqref="F2836">
    <cfRule type="containsText" dxfId="300" priority="301" operator="containsText" text="TOTAL">
      <formula>NOT(ISERROR(SEARCH("TOTAL",F2836)))</formula>
    </cfRule>
  </conditionalFormatting>
  <conditionalFormatting sqref="F2839">
    <cfRule type="containsText" dxfId="299" priority="300" operator="containsText" text="TOTAL">
      <formula>NOT(ISERROR(SEARCH("TOTAL",F2839)))</formula>
    </cfRule>
  </conditionalFormatting>
  <conditionalFormatting sqref="F2845">
    <cfRule type="containsText" dxfId="298" priority="299" operator="containsText" text="TOTAL">
      <formula>NOT(ISERROR(SEARCH("TOTAL",F2845)))</formula>
    </cfRule>
  </conditionalFormatting>
  <conditionalFormatting sqref="F2851">
    <cfRule type="containsText" dxfId="297" priority="298" operator="containsText" text="TOTAL">
      <formula>NOT(ISERROR(SEARCH("TOTAL",F2851)))</formula>
    </cfRule>
  </conditionalFormatting>
  <conditionalFormatting sqref="F2854">
    <cfRule type="containsText" dxfId="296" priority="297" operator="containsText" text="TOTAL">
      <formula>NOT(ISERROR(SEARCH("TOTAL",F2854)))</formula>
    </cfRule>
  </conditionalFormatting>
  <conditionalFormatting sqref="F2866">
    <cfRule type="containsText" dxfId="295" priority="296" operator="containsText" text="TOTAL">
      <formula>NOT(ISERROR(SEARCH("TOTAL",F2866)))</formula>
    </cfRule>
  </conditionalFormatting>
  <conditionalFormatting sqref="F2872">
    <cfRule type="containsText" dxfId="294" priority="295" operator="containsText" text="TOTAL">
      <formula>NOT(ISERROR(SEARCH("TOTAL",F2872)))</formula>
    </cfRule>
  </conditionalFormatting>
  <conditionalFormatting sqref="F2875">
    <cfRule type="containsText" dxfId="293" priority="294" operator="containsText" text="TOTAL">
      <formula>NOT(ISERROR(SEARCH("TOTAL",F2875)))</formula>
    </cfRule>
  </conditionalFormatting>
  <conditionalFormatting sqref="F2879">
    <cfRule type="containsText" dxfId="292" priority="293" operator="containsText" text="TOTAL">
      <formula>NOT(ISERROR(SEARCH("TOTAL",F2879)))</formula>
    </cfRule>
  </conditionalFormatting>
  <conditionalFormatting sqref="F2883">
    <cfRule type="containsText" dxfId="291" priority="292" operator="containsText" text="TOTAL">
      <formula>NOT(ISERROR(SEARCH("TOTAL",F2883)))</formula>
    </cfRule>
  </conditionalFormatting>
  <conditionalFormatting sqref="F2886">
    <cfRule type="containsText" dxfId="290" priority="291" operator="containsText" text="TOTAL">
      <formula>NOT(ISERROR(SEARCH("TOTAL",F2886)))</formula>
    </cfRule>
  </conditionalFormatting>
  <conditionalFormatting sqref="F2889">
    <cfRule type="containsText" dxfId="289" priority="290" operator="containsText" text="TOTAL">
      <formula>NOT(ISERROR(SEARCH("TOTAL",F2889)))</formula>
    </cfRule>
  </conditionalFormatting>
  <conditionalFormatting sqref="F2892">
    <cfRule type="containsText" dxfId="288" priority="289" operator="containsText" text="TOTAL">
      <formula>NOT(ISERROR(SEARCH("TOTAL",F2892)))</formula>
    </cfRule>
  </conditionalFormatting>
  <conditionalFormatting sqref="F2895">
    <cfRule type="containsText" dxfId="287" priority="288" operator="containsText" text="TOTAL">
      <formula>NOT(ISERROR(SEARCH("TOTAL",F2895)))</formula>
    </cfRule>
  </conditionalFormatting>
  <conditionalFormatting sqref="F2898">
    <cfRule type="containsText" dxfId="286" priority="287" operator="containsText" text="TOTAL">
      <formula>NOT(ISERROR(SEARCH("TOTAL",F2898)))</formula>
    </cfRule>
  </conditionalFormatting>
  <conditionalFormatting sqref="F2904">
    <cfRule type="containsText" dxfId="285" priority="286" operator="containsText" text="TOTAL">
      <formula>NOT(ISERROR(SEARCH("TOTAL",F2904)))</formula>
    </cfRule>
  </conditionalFormatting>
  <conditionalFormatting sqref="F2910">
    <cfRule type="containsText" dxfId="284" priority="285" operator="containsText" text="TOTAL">
      <formula>NOT(ISERROR(SEARCH("TOTAL",F2910)))</formula>
    </cfRule>
  </conditionalFormatting>
  <conditionalFormatting sqref="F2914">
    <cfRule type="containsText" dxfId="283" priority="284" operator="containsText" text="TOTAL">
      <formula>NOT(ISERROR(SEARCH("TOTAL",F2914)))</formula>
    </cfRule>
  </conditionalFormatting>
  <conditionalFormatting sqref="F2918">
    <cfRule type="containsText" dxfId="282" priority="283" operator="containsText" text="TOTAL">
      <formula>NOT(ISERROR(SEARCH("TOTAL",F2918)))</formula>
    </cfRule>
  </conditionalFormatting>
  <conditionalFormatting sqref="F2922">
    <cfRule type="containsText" dxfId="281" priority="282" operator="containsText" text="TOTAL">
      <formula>NOT(ISERROR(SEARCH("TOTAL",F2922)))</formula>
    </cfRule>
  </conditionalFormatting>
  <conditionalFormatting sqref="F2926">
    <cfRule type="containsText" dxfId="280" priority="281" operator="containsText" text="TOTAL">
      <formula>NOT(ISERROR(SEARCH("TOTAL",F2926)))</formula>
    </cfRule>
  </conditionalFormatting>
  <conditionalFormatting sqref="F2930">
    <cfRule type="containsText" dxfId="279" priority="280" operator="containsText" text="TOTAL">
      <formula>NOT(ISERROR(SEARCH("TOTAL",F2930)))</formula>
    </cfRule>
  </conditionalFormatting>
  <conditionalFormatting sqref="F2933">
    <cfRule type="containsText" dxfId="278" priority="279" operator="containsText" text="TOTAL">
      <formula>NOT(ISERROR(SEARCH("TOTAL",F2933)))</formula>
    </cfRule>
  </conditionalFormatting>
  <conditionalFormatting sqref="F2936">
    <cfRule type="containsText" dxfId="277" priority="278" operator="containsText" text="TOTAL">
      <formula>NOT(ISERROR(SEARCH("TOTAL",F2936)))</formula>
    </cfRule>
  </conditionalFormatting>
  <conditionalFormatting sqref="F2939">
    <cfRule type="containsText" dxfId="276" priority="277" operator="containsText" text="TOTAL">
      <formula>NOT(ISERROR(SEARCH("TOTAL",F2939)))</formula>
    </cfRule>
  </conditionalFormatting>
  <conditionalFormatting sqref="F2942">
    <cfRule type="containsText" dxfId="275" priority="276" operator="containsText" text="TOTAL">
      <formula>NOT(ISERROR(SEARCH("TOTAL",F2942)))</formula>
    </cfRule>
  </conditionalFormatting>
  <conditionalFormatting sqref="F2946">
    <cfRule type="containsText" dxfId="274" priority="275" operator="containsText" text="TOTAL">
      <formula>NOT(ISERROR(SEARCH("TOTAL",F2946)))</formula>
    </cfRule>
  </conditionalFormatting>
  <conditionalFormatting sqref="F2950">
    <cfRule type="containsText" dxfId="273" priority="274" operator="containsText" text="TOTAL">
      <formula>NOT(ISERROR(SEARCH("TOTAL",F2950)))</formula>
    </cfRule>
  </conditionalFormatting>
  <conditionalFormatting sqref="F2956">
    <cfRule type="containsText" dxfId="272" priority="273" operator="containsText" text="TOTAL">
      <formula>NOT(ISERROR(SEARCH("TOTAL",F2956)))</formula>
    </cfRule>
  </conditionalFormatting>
  <conditionalFormatting sqref="F2959">
    <cfRule type="containsText" dxfId="271" priority="272" operator="containsText" text="TOTAL">
      <formula>NOT(ISERROR(SEARCH("TOTAL",F2959)))</formula>
    </cfRule>
  </conditionalFormatting>
  <conditionalFormatting sqref="F2963">
    <cfRule type="containsText" dxfId="270" priority="271" operator="containsText" text="TOTAL">
      <formula>NOT(ISERROR(SEARCH("TOTAL",F2963)))</formula>
    </cfRule>
  </conditionalFormatting>
  <conditionalFormatting sqref="F2967">
    <cfRule type="containsText" dxfId="269" priority="270" operator="containsText" text="TOTAL">
      <formula>NOT(ISERROR(SEARCH("TOTAL",F2967)))</formula>
    </cfRule>
  </conditionalFormatting>
  <conditionalFormatting sqref="F2971">
    <cfRule type="containsText" dxfId="268" priority="269" operator="containsText" text="TOTAL">
      <formula>NOT(ISERROR(SEARCH("TOTAL",F2971)))</formula>
    </cfRule>
  </conditionalFormatting>
  <conditionalFormatting sqref="F2975">
    <cfRule type="containsText" dxfId="267" priority="268" operator="containsText" text="TOTAL">
      <formula>NOT(ISERROR(SEARCH("TOTAL",F2975)))</formula>
    </cfRule>
  </conditionalFormatting>
  <conditionalFormatting sqref="F2978">
    <cfRule type="containsText" dxfId="266" priority="267" operator="containsText" text="TOTAL">
      <formula>NOT(ISERROR(SEARCH("TOTAL",F2978)))</formula>
    </cfRule>
  </conditionalFormatting>
  <conditionalFormatting sqref="F2982">
    <cfRule type="containsText" dxfId="265" priority="266" operator="containsText" text="TOTAL">
      <formula>NOT(ISERROR(SEARCH("TOTAL",F2982)))</formula>
    </cfRule>
  </conditionalFormatting>
  <conditionalFormatting sqref="F2985">
    <cfRule type="containsText" dxfId="264" priority="265" operator="containsText" text="TOTAL">
      <formula>NOT(ISERROR(SEARCH("TOTAL",F2985)))</formula>
    </cfRule>
  </conditionalFormatting>
  <conditionalFormatting sqref="F2988">
    <cfRule type="containsText" dxfId="263" priority="264" operator="containsText" text="TOTAL">
      <formula>NOT(ISERROR(SEARCH("TOTAL",F2988)))</formula>
    </cfRule>
  </conditionalFormatting>
  <conditionalFormatting sqref="F2992">
    <cfRule type="containsText" dxfId="262" priority="263" operator="containsText" text="TOTAL">
      <formula>NOT(ISERROR(SEARCH("TOTAL",F2992)))</formula>
    </cfRule>
  </conditionalFormatting>
  <conditionalFormatting sqref="F2996">
    <cfRule type="containsText" dxfId="261" priority="262" operator="containsText" text="TOTAL">
      <formula>NOT(ISERROR(SEARCH("TOTAL",F2996)))</formula>
    </cfRule>
  </conditionalFormatting>
  <conditionalFormatting sqref="F3000">
    <cfRule type="containsText" dxfId="260" priority="261" operator="containsText" text="TOTAL">
      <formula>NOT(ISERROR(SEARCH("TOTAL",F3000)))</formula>
    </cfRule>
  </conditionalFormatting>
  <conditionalFormatting sqref="F3004">
    <cfRule type="containsText" dxfId="259" priority="260" operator="containsText" text="TOTAL">
      <formula>NOT(ISERROR(SEARCH("TOTAL",F3004)))</formula>
    </cfRule>
  </conditionalFormatting>
  <conditionalFormatting sqref="F3008">
    <cfRule type="containsText" dxfId="258" priority="259" operator="containsText" text="TOTAL">
      <formula>NOT(ISERROR(SEARCH("TOTAL",F3008)))</formula>
    </cfRule>
  </conditionalFormatting>
  <conditionalFormatting sqref="F3015">
    <cfRule type="containsText" dxfId="257" priority="258" operator="containsText" text="TOTAL">
      <formula>NOT(ISERROR(SEARCH("TOTAL",F3015)))</formula>
    </cfRule>
  </conditionalFormatting>
  <conditionalFormatting sqref="F3019">
    <cfRule type="containsText" dxfId="256" priority="257" operator="containsText" text="TOTAL">
      <formula>NOT(ISERROR(SEARCH("TOTAL",F3019)))</formula>
    </cfRule>
  </conditionalFormatting>
  <conditionalFormatting sqref="F3025">
    <cfRule type="containsText" dxfId="255" priority="256" operator="containsText" text="TOTAL">
      <formula>NOT(ISERROR(SEARCH("TOTAL",F3025)))</formula>
    </cfRule>
  </conditionalFormatting>
  <conditionalFormatting sqref="F3031">
    <cfRule type="containsText" dxfId="254" priority="255" operator="containsText" text="TOTAL">
      <formula>NOT(ISERROR(SEARCH("TOTAL",F3031)))</formula>
    </cfRule>
  </conditionalFormatting>
  <conditionalFormatting sqref="F3034">
    <cfRule type="containsText" dxfId="253" priority="254" operator="containsText" text="TOTAL">
      <formula>NOT(ISERROR(SEARCH("TOTAL",F3034)))</formula>
    </cfRule>
  </conditionalFormatting>
  <conditionalFormatting sqref="F3040">
    <cfRule type="containsText" dxfId="252" priority="253" operator="containsText" text="TOTAL">
      <formula>NOT(ISERROR(SEARCH("TOTAL",F3040)))</formula>
    </cfRule>
  </conditionalFormatting>
  <conditionalFormatting sqref="F3046">
    <cfRule type="containsText" dxfId="251" priority="252" operator="containsText" text="TOTAL">
      <formula>NOT(ISERROR(SEARCH("TOTAL",F3046)))</formula>
    </cfRule>
  </conditionalFormatting>
  <conditionalFormatting sqref="F3051">
    <cfRule type="containsText" dxfId="250" priority="251" operator="containsText" text="TOTAL">
      <formula>NOT(ISERROR(SEARCH("TOTAL",F3051)))</formula>
    </cfRule>
  </conditionalFormatting>
  <conditionalFormatting sqref="F3055">
    <cfRule type="containsText" dxfId="249" priority="250" operator="containsText" text="TOTAL">
      <formula>NOT(ISERROR(SEARCH("TOTAL",F3055)))</formula>
    </cfRule>
  </conditionalFormatting>
  <conditionalFormatting sqref="F3059">
    <cfRule type="containsText" dxfId="248" priority="249" operator="containsText" text="TOTAL">
      <formula>NOT(ISERROR(SEARCH("TOTAL",F3059)))</formula>
    </cfRule>
  </conditionalFormatting>
  <conditionalFormatting sqref="F3062">
    <cfRule type="containsText" dxfId="247" priority="248" operator="containsText" text="TOTAL">
      <formula>NOT(ISERROR(SEARCH("TOTAL",F3062)))</formula>
    </cfRule>
  </conditionalFormatting>
  <conditionalFormatting sqref="F3066">
    <cfRule type="containsText" dxfId="246" priority="247" operator="containsText" text="TOTAL">
      <formula>NOT(ISERROR(SEARCH("TOTAL",F3066)))</formula>
    </cfRule>
  </conditionalFormatting>
  <conditionalFormatting sqref="F3070">
    <cfRule type="containsText" dxfId="245" priority="246" operator="containsText" text="TOTAL">
      <formula>NOT(ISERROR(SEARCH("TOTAL",F3070)))</formula>
    </cfRule>
  </conditionalFormatting>
  <conditionalFormatting sqref="F3077">
    <cfRule type="containsText" dxfId="244" priority="245" operator="containsText" text="TOTAL">
      <formula>NOT(ISERROR(SEARCH("TOTAL",F3077)))</formula>
    </cfRule>
  </conditionalFormatting>
  <conditionalFormatting sqref="F3080">
    <cfRule type="containsText" dxfId="243" priority="244" operator="containsText" text="TOTAL">
      <formula>NOT(ISERROR(SEARCH("TOTAL",F3080)))</formula>
    </cfRule>
  </conditionalFormatting>
  <conditionalFormatting sqref="F3085">
    <cfRule type="containsText" dxfId="242" priority="243" operator="containsText" text="TOTAL">
      <formula>NOT(ISERROR(SEARCH("TOTAL",F3085)))</formula>
    </cfRule>
  </conditionalFormatting>
  <conditionalFormatting sqref="F3098">
    <cfRule type="containsText" dxfId="241" priority="242" operator="containsText" text="TOTAL">
      <formula>NOT(ISERROR(SEARCH("TOTAL",F3098)))</formula>
    </cfRule>
  </conditionalFormatting>
  <conditionalFormatting sqref="F3111">
    <cfRule type="containsText" dxfId="240" priority="241" operator="containsText" text="TOTAL">
      <formula>NOT(ISERROR(SEARCH("TOTAL",F3111)))</formula>
    </cfRule>
  </conditionalFormatting>
  <conditionalFormatting sqref="F3440">
    <cfRule type="containsText" dxfId="239" priority="161" operator="containsText" text="TOTAL">
      <formula>NOT(ISERROR(SEARCH("TOTAL",F3440)))</formula>
    </cfRule>
  </conditionalFormatting>
  <conditionalFormatting sqref="F3114">
    <cfRule type="containsText" dxfId="238" priority="240" operator="containsText" text="TOTAL">
      <formula>NOT(ISERROR(SEARCH("TOTAL",F3114)))</formula>
    </cfRule>
  </conditionalFormatting>
  <conditionalFormatting sqref="F3120">
    <cfRule type="containsText" dxfId="237" priority="239" operator="containsText" text="TOTAL">
      <formula>NOT(ISERROR(SEARCH("TOTAL",F3120)))</formula>
    </cfRule>
  </conditionalFormatting>
  <conditionalFormatting sqref="F3124">
    <cfRule type="containsText" dxfId="236" priority="238" operator="containsText" text="TOTAL">
      <formula>NOT(ISERROR(SEARCH("TOTAL",F3124)))</formula>
    </cfRule>
  </conditionalFormatting>
  <conditionalFormatting sqref="F3127">
    <cfRule type="containsText" dxfId="235" priority="237" operator="containsText" text="TOTAL">
      <formula>NOT(ISERROR(SEARCH("TOTAL",F3127)))</formula>
    </cfRule>
  </conditionalFormatting>
  <conditionalFormatting sqref="F3131">
    <cfRule type="containsText" dxfId="234" priority="236" operator="containsText" text="TOTAL">
      <formula>NOT(ISERROR(SEARCH("TOTAL",F3131)))</formula>
    </cfRule>
  </conditionalFormatting>
  <conditionalFormatting sqref="F3134">
    <cfRule type="containsText" dxfId="233" priority="235" operator="containsText" text="TOTAL">
      <formula>NOT(ISERROR(SEARCH("TOTAL",F3134)))</formula>
    </cfRule>
  </conditionalFormatting>
  <conditionalFormatting sqref="F3137">
    <cfRule type="containsText" dxfId="232" priority="234" operator="containsText" text="TOTAL">
      <formula>NOT(ISERROR(SEARCH("TOTAL",F3137)))</formula>
    </cfRule>
  </conditionalFormatting>
  <conditionalFormatting sqref="F3140">
    <cfRule type="containsText" dxfId="231" priority="233" operator="containsText" text="TOTAL">
      <formula>NOT(ISERROR(SEARCH("TOTAL",F3140)))</formula>
    </cfRule>
  </conditionalFormatting>
  <conditionalFormatting sqref="F3146">
    <cfRule type="containsText" dxfId="230" priority="232" operator="containsText" text="TOTAL">
      <formula>NOT(ISERROR(SEARCH("TOTAL",F3146)))</formula>
    </cfRule>
  </conditionalFormatting>
  <conditionalFormatting sqref="F3152">
    <cfRule type="containsText" dxfId="229" priority="231" operator="containsText" text="TOTAL">
      <formula>NOT(ISERROR(SEARCH("TOTAL",F3152)))</formula>
    </cfRule>
  </conditionalFormatting>
  <conditionalFormatting sqref="F3155">
    <cfRule type="containsText" dxfId="228" priority="230" operator="containsText" text="TOTAL">
      <formula>NOT(ISERROR(SEARCH("TOTAL",F3155)))</formula>
    </cfRule>
  </conditionalFormatting>
  <conditionalFormatting sqref="F3158">
    <cfRule type="containsText" dxfId="227" priority="229" operator="containsText" text="TOTAL">
      <formula>NOT(ISERROR(SEARCH("TOTAL",F3158)))</formula>
    </cfRule>
  </conditionalFormatting>
  <conditionalFormatting sqref="F3161">
    <cfRule type="containsText" dxfId="226" priority="228" operator="containsText" text="TOTAL">
      <formula>NOT(ISERROR(SEARCH("TOTAL",F3161)))</formula>
    </cfRule>
  </conditionalFormatting>
  <conditionalFormatting sqref="F3165">
    <cfRule type="containsText" dxfId="225" priority="227" operator="containsText" text="TOTAL">
      <formula>NOT(ISERROR(SEARCH("TOTAL",F3165)))</formula>
    </cfRule>
  </conditionalFormatting>
  <conditionalFormatting sqref="F3169">
    <cfRule type="containsText" dxfId="224" priority="226" operator="containsText" text="TOTAL">
      <formula>NOT(ISERROR(SEARCH("TOTAL",F3169)))</formula>
    </cfRule>
  </conditionalFormatting>
  <conditionalFormatting sqref="F3172">
    <cfRule type="containsText" dxfId="223" priority="225" operator="containsText" text="TOTAL">
      <formula>NOT(ISERROR(SEARCH("TOTAL",F3172)))</formula>
    </cfRule>
  </conditionalFormatting>
  <conditionalFormatting sqref="F3176">
    <cfRule type="containsText" dxfId="222" priority="224" operator="containsText" text="TOTAL">
      <formula>NOT(ISERROR(SEARCH("TOTAL",F3176)))</formula>
    </cfRule>
  </conditionalFormatting>
  <conditionalFormatting sqref="F3180">
    <cfRule type="containsText" dxfId="221" priority="223" operator="containsText" text="TOTAL">
      <formula>NOT(ISERROR(SEARCH("TOTAL",F3180)))</formula>
    </cfRule>
  </conditionalFormatting>
  <conditionalFormatting sqref="F3183">
    <cfRule type="containsText" dxfId="220" priority="222" operator="containsText" text="TOTAL">
      <formula>NOT(ISERROR(SEARCH("TOTAL",F3183)))</formula>
    </cfRule>
  </conditionalFormatting>
  <conditionalFormatting sqref="F3189">
    <cfRule type="containsText" dxfId="219" priority="221" operator="containsText" text="TOTAL">
      <formula>NOT(ISERROR(SEARCH("TOTAL",F3189)))</formula>
    </cfRule>
  </conditionalFormatting>
  <conditionalFormatting sqref="F3194">
    <cfRule type="containsText" dxfId="218" priority="220" operator="containsText" text="TOTAL">
      <formula>NOT(ISERROR(SEARCH("TOTAL",F3194)))</formula>
    </cfRule>
  </conditionalFormatting>
  <conditionalFormatting sqref="F3197">
    <cfRule type="containsText" dxfId="217" priority="219" operator="containsText" text="TOTAL">
      <formula>NOT(ISERROR(SEARCH("TOTAL",F3197)))</formula>
    </cfRule>
  </conditionalFormatting>
  <conditionalFormatting sqref="F3201">
    <cfRule type="containsText" dxfId="216" priority="218" operator="containsText" text="TOTAL">
      <formula>NOT(ISERROR(SEARCH("TOTAL",F3201)))</formula>
    </cfRule>
  </conditionalFormatting>
  <conditionalFormatting sqref="F3211">
    <cfRule type="containsText" dxfId="215" priority="217" operator="containsText" text="TOTAL">
      <formula>NOT(ISERROR(SEARCH("TOTAL",F3211)))</formula>
    </cfRule>
  </conditionalFormatting>
  <conditionalFormatting sqref="F3214">
    <cfRule type="containsText" dxfId="214" priority="216" operator="containsText" text="TOTAL">
      <formula>NOT(ISERROR(SEARCH("TOTAL",F3214)))</formula>
    </cfRule>
  </conditionalFormatting>
  <conditionalFormatting sqref="F3217">
    <cfRule type="containsText" dxfId="213" priority="215" operator="containsText" text="TOTAL">
      <formula>NOT(ISERROR(SEARCH("TOTAL",F3217)))</formula>
    </cfRule>
  </conditionalFormatting>
  <conditionalFormatting sqref="F3220">
    <cfRule type="containsText" dxfId="212" priority="214" operator="containsText" text="TOTAL">
      <formula>NOT(ISERROR(SEARCH("TOTAL",F3220)))</formula>
    </cfRule>
  </conditionalFormatting>
  <conditionalFormatting sqref="F3223">
    <cfRule type="containsText" dxfId="211" priority="213" operator="containsText" text="TOTAL">
      <formula>NOT(ISERROR(SEARCH("TOTAL",F3223)))</formula>
    </cfRule>
  </conditionalFormatting>
  <conditionalFormatting sqref="F3233">
    <cfRule type="containsText" dxfId="210" priority="212" operator="containsText" text="TOTAL">
      <formula>NOT(ISERROR(SEARCH("TOTAL",F3233)))</formula>
    </cfRule>
  </conditionalFormatting>
  <conditionalFormatting sqref="F3236">
    <cfRule type="containsText" dxfId="209" priority="211" operator="containsText" text="TOTAL">
      <formula>NOT(ISERROR(SEARCH("TOTAL",F3236)))</formula>
    </cfRule>
  </conditionalFormatting>
  <conditionalFormatting sqref="F3239">
    <cfRule type="containsText" dxfId="208" priority="210" operator="containsText" text="TOTAL">
      <formula>NOT(ISERROR(SEARCH("TOTAL",F3239)))</formula>
    </cfRule>
  </conditionalFormatting>
  <conditionalFormatting sqref="F3242">
    <cfRule type="containsText" dxfId="207" priority="209" operator="containsText" text="TOTAL">
      <formula>NOT(ISERROR(SEARCH("TOTAL",F3242)))</formula>
    </cfRule>
  </conditionalFormatting>
  <conditionalFormatting sqref="F3245">
    <cfRule type="containsText" dxfId="206" priority="208" operator="containsText" text="TOTAL">
      <formula>NOT(ISERROR(SEARCH("TOTAL",F3245)))</formula>
    </cfRule>
  </conditionalFormatting>
  <conditionalFormatting sqref="F3248">
    <cfRule type="containsText" dxfId="205" priority="207" operator="containsText" text="TOTAL">
      <formula>NOT(ISERROR(SEARCH("TOTAL",F3248)))</formula>
    </cfRule>
  </conditionalFormatting>
  <conditionalFormatting sqref="F3252">
    <cfRule type="containsText" dxfId="204" priority="206" operator="containsText" text="TOTAL">
      <formula>NOT(ISERROR(SEARCH("TOTAL",F3252)))</formula>
    </cfRule>
  </conditionalFormatting>
  <conditionalFormatting sqref="F3255">
    <cfRule type="containsText" dxfId="203" priority="205" operator="containsText" text="TOTAL">
      <formula>NOT(ISERROR(SEARCH("TOTAL",F3255)))</formula>
    </cfRule>
  </conditionalFormatting>
  <conditionalFormatting sqref="F3259">
    <cfRule type="containsText" dxfId="202" priority="204" operator="containsText" text="TOTAL">
      <formula>NOT(ISERROR(SEARCH("TOTAL",F3259)))</formula>
    </cfRule>
  </conditionalFormatting>
  <conditionalFormatting sqref="F3263">
    <cfRule type="containsText" dxfId="201" priority="203" operator="containsText" text="TOTAL">
      <formula>NOT(ISERROR(SEARCH("TOTAL",F3263)))</formula>
    </cfRule>
  </conditionalFormatting>
  <conditionalFormatting sqref="F3267">
    <cfRule type="containsText" dxfId="200" priority="202" operator="containsText" text="TOTAL">
      <formula>NOT(ISERROR(SEARCH("TOTAL",F3267)))</formula>
    </cfRule>
  </conditionalFormatting>
  <conditionalFormatting sqref="F3270">
    <cfRule type="containsText" dxfId="199" priority="201" operator="containsText" text="TOTAL">
      <formula>NOT(ISERROR(SEARCH("TOTAL",F3270)))</formula>
    </cfRule>
  </conditionalFormatting>
  <conditionalFormatting sqref="F3274">
    <cfRule type="containsText" dxfId="198" priority="200" operator="containsText" text="TOTAL">
      <formula>NOT(ISERROR(SEARCH("TOTAL",F3274)))</formula>
    </cfRule>
  </conditionalFormatting>
  <conditionalFormatting sqref="F3278">
    <cfRule type="containsText" dxfId="197" priority="199" operator="containsText" text="TOTAL">
      <formula>NOT(ISERROR(SEARCH("TOTAL",F3278)))</formula>
    </cfRule>
  </conditionalFormatting>
  <conditionalFormatting sqref="F3283">
    <cfRule type="containsText" dxfId="196" priority="198" operator="containsText" text="TOTAL">
      <formula>NOT(ISERROR(SEARCH("TOTAL",F3283)))</formula>
    </cfRule>
  </conditionalFormatting>
  <conditionalFormatting sqref="F3288">
    <cfRule type="containsText" dxfId="195" priority="197" operator="containsText" text="TOTAL">
      <formula>NOT(ISERROR(SEARCH("TOTAL",F3288)))</formula>
    </cfRule>
  </conditionalFormatting>
  <conditionalFormatting sqref="F3291">
    <cfRule type="containsText" dxfId="194" priority="196" operator="containsText" text="TOTAL">
      <formula>NOT(ISERROR(SEARCH("TOTAL",F3291)))</formula>
    </cfRule>
  </conditionalFormatting>
  <conditionalFormatting sqref="F3294">
    <cfRule type="containsText" dxfId="193" priority="195" operator="containsText" text="TOTAL">
      <formula>NOT(ISERROR(SEARCH("TOTAL",F3294)))</formula>
    </cfRule>
  </conditionalFormatting>
  <conditionalFormatting sqref="F3302">
    <cfRule type="containsText" dxfId="192" priority="194" operator="containsText" text="TOTAL">
      <formula>NOT(ISERROR(SEARCH("TOTAL",F3302)))</formula>
    </cfRule>
  </conditionalFormatting>
  <conditionalFormatting sqref="F3306">
    <cfRule type="containsText" dxfId="191" priority="193" operator="containsText" text="TOTAL">
      <formula>NOT(ISERROR(SEARCH("TOTAL",F3306)))</formula>
    </cfRule>
  </conditionalFormatting>
  <conditionalFormatting sqref="F3310">
    <cfRule type="containsText" dxfId="190" priority="192" operator="containsText" text="TOTAL">
      <formula>NOT(ISERROR(SEARCH("TOTAL",F3310)))</formula>
    </cfRule>
  </conditionalFormatting>
  <conditionalFormatting sqref="F3314">
    <cfRule type="containsText" dxfId="189" priority="191" operator="containsText" text="TOTAL">
      <formula>NOT(ISERROR(SEARCH("TOTAL",F3314)))</formula>
    </cfRule>
  </conditionalFormatting>
  <conditionalFormatting sqref="F3320">
    <cfRule type="containsText" dxfId="188" priority="190" operator="containsText" text="TOTAL">
      <formula>NOT(ISERROR(SEARCH("TOTAL",F3320)))</formula>
    </cfRule>
  </conditionalFormatting>
  <conditionalFormatting sqref="F3326">
    <cfRule type="containsText" dxfId="187" priority="189" operator="containsText" text="TOTAL">
      <formula>NOT(ISERROR(SEARCH("TOTAL",F3326)))</formula>
    </cfRule>
  </conditionalFormatting>
  <conditionalFormatting sqref="F3329">
    <cfRule type="containsText" dxfId="186" priority="188" operator="containsText" text="TOTAL">
      <formula>NOT(ISERROR(SEARCH("TOTAL",F3329)))</formula>
    </cfRule>
  </conditionalFormatting>
  <conditionalFormatting sqref="F3333">
    <cfRule type="containsText" dxfId="185" priority="187" operator="containsText" text="TOTAL">
      <formula>NOT(ISERROR(SEARCH("TOTAL",F3333)))</formula>
    </cfRule>
  </conditionalFormatting>
  <conditionalFormatting sqref="F3336">
    <cfRule type="containsText" dxfId="184" priority="186" operator="containsText" text="TOTAL">
      <formula>NOT(ISERROR(SEARCH("TOTAL",F3336)))</formula>
    </cfRule>
  </conditionalFormatting>
  <conditionalFormatting sqref="F3339">
    <cfRule type="containsText" dxfId="183" priority="185" operator="containsText" text="TOTAL">
      <formula>NOT(ISERROR(SEARCH("TOTAL",F3339)))</formula>
    </cfRule>
  </conditionalFormatting>
  <conditionalFormatting sqref="F3342">
    <cfRule type="containsText" dxfId="182" priority="184" operator="containsText" text="TOTAL">
      <formula>NOT(ISERROR(SEARCH("TOTAL",F3342)))</formula>
    </cfRule>
  </conditionalFormatting>
  <conditionalFormatting sqref="F3345">
    <cfRule type="containsText" dxfId="181" priority="183" operator="containsText" text="TOTAL">
      <formula>NOT(ISERROR(SEARCH("TOTAL",F3345)))</formula>
    </cfRule>
  </conditionalFormatting>
  <conditionalFormatting sqref="F3349">
    <cfRule type="containsText" dxfId="180" priority="182" operator="containsText" text="TOTAL">
      <formula>NOT(ISERROR(SEARCH("TOTAL",F3349)))</formula>
    </cfRule>
  </conditionalFormatting>
  <conditionalFormatting sqref="F3352">
    <cfRule type="containsText" dxfId="179" priority="181" operator="containsText" text="TOTAL">
      <formula>NOT(ISERROR(SEARCH("TOTAL",F3352)))</formula>
    </cfRule>
  </conditionalFormatting>
  <conditionalFormatting sqref="F3355">
    <cfRule type="containsText" dxfId="178" priority="180" operator="containsText" text="TOTAL">
      <formula>NOT(ISERROR(SEARCH("TOTAL",F3355)))</formula>
    </cfRule>
  </conditionalFormatting>
  <conditionalFormatting sqref="F3358">
    <cfRule type="containsText" dxfId="177" priority="179" operator="containsText" text="TOTAL">
      <formula>NOT(ISERROR(SEARCH("TOTAL",F3358)))</formula>
    </cfRule>
  </conditionalFormatting>
  <conditionalFormatting sqref="F3361">
    <cfRule type="containsText" dxfId="176" priority="178" operator="containsText" text="TOTAL">
      <formula>NOT(ISERROR(SEARCH("TOTAL",F3361)))</formula>
    </cfRule>
  </conditionalFormatting>
  <conditionalFormatting sqref="F3364">
    <cfRule type="containsText" dxfId="175" priority="177" operator="containsText" text="TOTAL">
      <formula>NOT(ISERROR(SEARCH("TOTAL",F3364)))</formula>
    </cfRule>
  </conditionalFormatting>
  <conditionalFormatting sqref="F3372">
    <cfRule type="containsText" dxfId="174" priority="176" operator="containsText" text="TOTAL">
      <formula>NOT(ISERROR(SEARCH("TOTAL",F3372)))</formula>
    </cfRule>
  </conditionalFormatting>
  <conditionalFormatting sqref="F3376">
    <cfRule type="containsText" dxfId="173" priority="175" operator="containsText" text="TOTAL">
      <formula>NOT(ISERROR(SEARCH("TOTAL",F3376)))</formula>
    </cfRule>
  </conditionalFormatting>
  <conditionalFormatting sqref="F3382">
    <cfRule type="containsText" dxfId="172" priority="174" operator="containsText" text="TOTAL">
      <formula>NOT(ISERROR(SEARCH("TOTAL",F3382)))</formula>
    </cfRule>
  </conditionalFormatting>
  <conditionalFormatting sqref="F3386">
    <cfRule type="containsText" dxfId="171" priority="173" operator="containsText" text="TOTAL">
      <formula>NOT(ISERROR(SEARCH("TOTAL",F3386)))</formula>
    </cfRule>
  </conditionalFormatting>
  <conditionalFormatting sqref="F3390">
    <cfRule type="containsText" dxfId="170" priority="172" operator="containsText" text="TOTAL">
      <formula>NOT(ISERROR(SEARCH("TOTAL",F3390)))</formula>
    </cfRule>
  </conditionalFormatting>
  <conditionalFormatting sqref="F3398">
    <cfRule type="containsText" dxfId="169" priority="171" operator="containsText" text="TOTAL">
      <formula>NOT(ISERROR(SEARCH("TOTAL",F3398)))</formula>
    </cfRule>
  </conditionalFormatting>
  <conditionalFormatting sqref="F3404">
    <cfRule type="containsText" dxfId="168" priority="170" operator="containsText" text="TOTAL">
      <formula>NOT(ISERROR(SEARCH("TOTAL",F3404)))</formula>
    </cfRule>
  </conditionalFormatting>
  <conditionalFormatting sqref="F3410">
    <cfRule type="containsText" dxfId="167" priority="169" operator="containsText" text="TOTAL">
      <formula>NOT(ISERROR(SEARCH("TOTAL",F3410)))</formula>
    </cfRule>
  </conditionalFormatting>
  <conditionalFormatting sqref="F3413">
    <cfRule type="containsText" dxfId="166" priority="168" operator="containsText" text="TOTAL">
      <formula>NOT(ISERROR(SEARCH("TOTAL",F3413)))</formula>
    </cfRule>
  </conditionalFormatting>
  <conditionalFormatting sqref="F3420">
    <cfRule type="containsText" dxfId="165" priority="167" operator="containsText" text="TOTAL">
      <formula>NOT(ISERROR(SEARCH("TOTAL",F3420)))</formula>
    </cfRule>
  </conditionalFormatting>
  <conditionalFormatting sqref="F3424">
    <cfRule type="containsText" dxfId="164" priority="166" operator="containsText" text="TOTAL">
      <formula>NOT(ISERROR(SEARCH("TOTAL",F3424)))</formula>
    </cfRule>
  </conditionalFormatting>
  <conditionalFormatting sqref="F3428">
    <cfRule type="containsText" dxfId="163" priority="165" operator="containsText" text="TOTAL">
      <formula>NOT(ISERROR(SEARCH("TOTAL",F3428)))</formula>
    </cfRule>
  </conditionalFormatting>
  <conditionalFormatting sqref="F3431">
    <cfRule type="containsText" dxfId="162" priority="164" operator="containsText" text="TOTAL">
      <formula>NOT(ISERROR(SEARCH("TOTAL",F3431)))</formula>
    </cfRule>
  </conditionalFormatting>
  <conditionalFormatting sqref="F3434">
    <cfRule type="containsText" dxfId="161" priority="163" operator="containsText" text="TOTAL">
      <formula>NOT(ISERROR(SEARCH("TOTAL",F3434)))</formula>
    </cfRule>
  </conditionalFormatting>
  <conditionalFormatting sqref="F3437">
    <cfRule type="containsText" dxfId="160" priority="162" operator="containsText" text="TOTAL">
      <formula>NOT(ISERROR(SEARCH("TOTAL",F3437)))</formula>
    </cfRule>
  </conditionalFormatting>
  <conditionalFormatting sqref="C3443">
    <cfRule type="containsText" dxfId="159" priority="160" operator="containsText" text="defint">
      <formula>NOT(ISERROR(SEARCH("defint",C3443)))</formula>
    </cfRule>
  </conditionalFormatting>
  <conditionalFormatting sqref="N3443">
    <cfRule type="containsText" dxfId="158" priority="159" operator="containsText" text="TOTAL">
      <formula>NOT(ISERROR(SEARCH("TOTAL",N3443)))</formula>
    </cfRule>
  </conditionalFormatting>
  <conditionalFormatting sqref="F3443">
    <cfRule type="containsText" dxfId="157" priority="158" operator="containsText" text="TOTAL">
      <formula>NOT(ISERROR(SEARCH("TOTAL",F3443)))</formula>
    </cfRule>
  </conditionalFormatting>
  <conditionalFormatting sqref="F3447">
    <cfRule type="containsText" dxfId="156" priority="157" operator="containsText" text="TOTAL">
      <formula>NOT(ISERROR(SEARCH("TOTAL",F3447)))</formula>
    </cfRule>
  </conditionalFormatting>
  <conditionalFormatting sqref="F3451">
    <cfRule type="containsText" dxfId="155" priority="156" operator="containsText" text="TOTAL">
      <formula>NOT(ISERROR(SEARCH("TOTAL",F3451)))</formula>
    </cfRule>
  </conditionalFormatting>
  <conditionalFormatting sqref="F3455">
    <cfRule type="containsText" dxfId="154" priority="155" operator="containsText" text="TOTAL">
      <formula>NOT(ISERROR(SEARCH("TOTAL",F3455)))</formula>
    </cfRule>
  </conditionalFormatting>
  <conditionalFormatting sqref="F3461">
    <cfRule type="containsText" dxfId="153" priority="154" operator="containsText" text="TOTAL">
      <formula>NOT(ISERROR(SEARCH("TOTAL",F3461)))</formula>
    </cfRule>
  </conditionalFormatting>
  <conditionalFormatting sqref="F3465">
    <cfRule type="containsText" dxfId="152" priority="153" operator="containsText" text="TOTAL">
      <formula>NOT(ISERROR(SEARCH("TOTAL",F3465)))</formula>
    </cfRule>
  </conditionalFormatting>
  <conditionalFormatting sqref="F3468">
    <cfRule type="containsText" dxfId="151" priority="152" operator="containsText" text="TOTAL">
      <formula>NOT(ISERROR(SEARCH("TOTAL",F3468)))</formula>
    </cfRule>
  </conditionalFormatting>
  <conditionalFormatting sqref="F3474">
    <cfRule type="containsText" dxfId="150" priority="151" operator="containsText" text="TOTAL">
      <formula>NOT(ISERROR(SEARCH("TOTAL",F3474)))</formula>
    </cfRule>
  </conditionalFormatting>
  <conditionalFormatting sqref="F3480">
    <cfRule type="containsText" dxfId="149" priority="150" operator="containsText" text="TOTAL">
      <formula>NOT(ISERROR(SEARCH("TOTAL",F3480)))</formula>
    </cfRule>
  </conditionalFormatting>
  <conditionalFormatting sqref="F3484">
    <cfRule type="containsText" dxfId="148" priority="149" operator="containsText" text="TOTAL">
      <formula>NOT(ISERROR(SEARCH("TOTAL",F3484)))</formula>
    </cfRule>
  </conditionalFormatting>
  <conditionalFormatting sqref="F3488">
    <cfRule type="containsText" dxfId="147" priority="148" operator="containsText" text="TOTAL">
      <formula>NOT(ISERROR(SEARCH("TOTAL",F3488)))</formula>
    </cfRule>
  </conditionalFormatting>
  <conditionalFormatting sqref="F3492">
    <cfRule type="containsText" dxfId="146" priority="147" operator="containsText" text="TOTAL">
      <formula>NOT(ISERROR(SEARCH("TOTAL",F3492)))</formula>
    </cfRule>
  </conditionalFormatting>
  <conditionalFormatting sqref="F3496">
    <cfRule type="containsText" dxfId="145" priority="146" operator="containsText" text="TOTAL">
      <formula>NOT(ISERROR(SEARCH("TOTAL",F3496)))</formula>
    </cfRule>
  </conditionalFormatting>
  <conditionalFormatting sqref="F3500">
    <cfRule type="containsText" dxfId="144" priority="145" operator="containsText" text="TOTAL">
      <formula>NOT(ISERROR(SEARCH("TOTAL",F3500)))</formula>
    </cfRule>
  </conditionalFormatting>
  <conditionalFormatting sqref="F3504">
    <cfRule type="containsText" dxfId="143" priority="144" operator="containsText" text="TOTAL">
      <formula>NOT(ISERROR(SEARCH("TOTAL",F3504)))</formula>
    </cfRule>
  </conditionalFormatting>
  <conditionalFormatting sqref="F3510">
    <cfRule type="containsText" dxfId="142" priority="143" operator="containsText" text="TOTAL">
      <formula>NOT(ISERROR(SEARCH("TOTAL",F3510)))</formula>
    </cfRule>
  </conditionalFormatting>
  <conditionalFormatting sqref="F3516">
    <cfRule type="containsText" dxfId="141" priority="142" operator="containsText" text="TOTAL">
      <formula>NOT(ISERROR(SEARCH("TOTAL",F3516)))</formula>
    </cfRule>
  </conditionalFormatting>
  <conditionalFormatting sqref="F3520">
    <cfRule type="containsText" dxfId="140" priority="141" operator="containsText" text="TOTAL">
      <formula>NOT(ISERROR(SEARCH("TOTAL",F3520)))</formula>
    </cfRule>
  </conditionalFormatting>
  <conditionalFormatting sqref="F3526">
    <cfRule type="containsText" dxfId="139" priority="140" operator="containsText" text="TOTAL">
      <formula>NOT(ISERROR(SEARCH("TOTAL",F3526)))</formula>
    </cfRule>
  </conditionalFormatting>
  <conditionalFormatting sqref="F3532">
    <cfRule type="containsText" dxfId="138" priority="139" operator="containsText" text="TOTAL">
      <formula>NOT(ISERROR(SEARCH("TOTAL",F3532)))</formula>
    </cfRule>
  </conditionalFormatting>
  <conditionalFormatting sqref="F3536">
    <cfRule type="containsText" dxfId="137" priority="138" operator="containsText" text="TOTAL">
      <formula>NOT(ISERROR(SEARCH("TOTAL",F3536)))</formula>
    </cfRule>
  </conditionalFormatting>
  <conditionalFormatting sqref="F3540">
    <cfRule type="containsText" dxfId="136" priority="137" operator="containsText" text="TOTAL">
      <formula>NOT(ISERROR(SEARCH("TOTAL",F3540)))</formula>
    </cfRule>
  </conditionalFormatting>
  <conditionalFormatting sqref="F3543">
    <cfRule type="containsText" dxfId="135" priority="136" operator="containsText" text="TOTAL">
      <formula>NOT(ISERROR(SEARCH("TOTAL",F3543)))</formula>
    </cfRule>
  </conditionalFormatting>
  <conditionalFormatting sqref="F3549">
    <cfRule type="containsText" dxfId="134" priority="135" operator="containsText" text="TOTAL">
      <formula>NOT(ISERROR(SEARCH("TOTAL",F3549)))</formula>
    </cfRule>
  </conditionalFormatting>
  <conditionalFormatting sqref="F3555">
    <cfRule type="containsText" dxfId="133" priority="134" operator="containsText" text="TOTAL">
      <formula>NOT(ISERROR(SEARCH("TOTAL",F3555)))</formula>
    </cfRule>
  </conditionalFormatting>
  <conditionalFormatting sqref="F3559">
    <cfRule type="containsText" dxfId="132" priority="133" operator="containsText" text="TOTAL">
      <formula>NOT(ISERROR(SEARCH("TOTAL",F3559)))</formula>
    </cfRule>
  </conditionalFormatting>
  <conditionalFormatting sqref="F3563">
    <cfRule type="containsText" dxfId="131" priority="132" operator="containsText" text="TOTAL">
      <formula>NOT(ISERROR(SEARCH("TOTAL",F3563)))</formula>
    </cfRule>
  </conditionalFormatting>
  <conditionalFormatting sqref="F3579">
    <cfRule type="containsText" dxfId="130" priority="131" operator="containsText" text="TOTAL">
      <formula>NOT(ISERROR(SEARCH("TOTAL",F3579)))</formula>
    </cfRule>
  </conditionalFormatting>
  <conditionalFormatting sqref="F3591">
    <cfRule type="containsText" dxfId="129" priority="130" operator="containsText" text="TOTAL">
      <formula>NOT(ISERROR(SEARCH("TOTAL",F3591)))</formula>
    </cfRule>
  </conditionalFormatting>
  <conditionalFormatting sqref="F3619">
    <cfRule type="containsText" dxfId="128" priority="129" operator="containsText" text="TOTAL">
      <formula>NOT(ISERROR(SEARCH("TOTAL",F3619)))</formula>
    </cfRule>
  </conditionalFormatting>
  <conditionalFormatting sqref="F3643">
    <cfRule type="containsText" dxfId="127" priority="128" operator="containsText" text="TOTAL">
      <formula>NOT(ISERROR(SEARCH("TOTAL",F3643)))</formula>
    </cfRule>
  </conditionalFormatting>
  <conditionalFormatting sqref="F3647">
    <cfRule type="containsText" dxfId="126" priority="127" operator="containsText" text="TOTAL">
      <formula>NOT(ISERROR(SEARCH("TOTAL",F3647)))</formula>
    </cfRule>
  </conditionalFormatting>
  <conditionalFormatting sqref="F3650">
    <cfRule type="containsText" dxfId="125" priority="126" operator="containsText" text="TOTAL">
      <formula>NOT(ISERROR(SEARCH("TOTAL",F3650)))</formula>
    </cfRule>
  </conditionalFormatting>
  <conditionalFormatting sqref="F3655">
    <cfRule type="containsText" dxfId="124" priority="125" operator="containsText" text="TOTAL">
      <formula>NOT(ISERROR(SEARCH("TOTAL",F3655)))</formula>
    </cfRule>
  </conditionalFormatting>
  <conditionalFormatting sqref="F3662">
    <cfRule type="containsText" dxfId="123" priority="124" operator="containsText" text="TOTAL">
      <formula>NOT(ISERROR(SEARCH("TOTAL",F3662)))</formula>
    </cfRule>
  </conditionalFormatting>
  <conditionalFormatting sqref="F3665">
    <cfRule type="containsText" dxfId="122" priority="123" operator="containsText" text="TOTAL">
      <formula>NOT(ISERROR(SEARCH("TOTAL",F3665)))</formula>
    </cfRule>
  </conditionalFormatting>
  <conditionalFormatting sqref="F3677">
    <cfRule type="containsText" dxfId="121" priority="122" operator="containsText" text="TOTAL">
      <formula>NOT(ISERROR(SEARCH("TOTAL",F3677)))</formula>
    </cfRule>
  </conditionalFormatting>
  <conditionalFormatting sqref="F3689">
    <cfRule type="containsText" dxfId="120" priority="121" operator="containsText" text="TOTAL">
      <formula>NOT(ISERROR(SEARCH("TOTAL",F3689)))</formula>
    </cfRule>
  </conditionalFormatting>
  <conditionalFormatting sqref="F3692">
    <cfRule type="containsText" dxfId="119" priority="120" operator="containsText" text="TOTAL">
      <formula>NOT(ISERROR(SEARCH("TOTAL",F3692)))</formula>
    </cfRule>
  </conditionalFormatting>
  <conditionalFormatting sqref="F3696">
    <cfRule type="containsText" dxfId="118" priority="119" operator="containsText" text="TOTAL">
      <formula>NOT(ISERROR(SEARCH("TOTAL",F3696)))</formula>
    </cfRule>
  </conditionalFormatting>
  <conditionalFormatting sqref="F3700">
    <cfRule type="containsText" dxfId="117" priority="118" operator="containsText" text="TOTAL">
      <formula>NOT(ISERROR(SEARCH("TOTAL",F3700)))</formula>
    </cfRule>
  </conditionalFormatting>
  <conditionalFormatting sqref="F3703">
    <cfRule type="containsText" dxfId="116" priority="117" operator="containsText" text="TOTAL">
      <formula>NOT(ISERROR(SEARCH("TOTAL",F3703)))</formula>
    </cfRule>
  </conditionalFormatting>
  <conditionalFormatting sqref="F3706">
    <cfRule type="containsText" dxfId="115" priority="116" operator="containsText" text="TOTAL">
      <formula>NOT(ISERROR(SEARCH("TOTAL",F3706)))</formula>
    </cfRule>
  </conditionalFormatting>
  <conditionalFormatting sqref="F3709">
    <cfRule type="containsText" dxfId="114" priority="115" operator="containsText" text="TOTAL">
      <formula>NOT(ISERROR(SEARCH("TOTAL",F3709)))</formula>
    </cfRule>
  </conditionalFormatting>
  <conditionalFormatting sqref="F3713">
    <cfRule type="containsText" dxfId="113" priority="114" operator="containsText" text="TOTAL">
      <formula>NOT(ISERROR(SEARCH("TOTAL",F3713)))</formula>
    </cfRule>
  </conditionalFormatting>
  <conditionalFormatting sqref="F3717">
    <cfRule type="containsText" dxfId="112" priority="113" operator="containsText" text="TOTAL">
      <formula>NOT(ISERROR(SEARCH("TOTAL",F3717)))</formula>
    </cfRule>
  </conditionalFormatting>
  <conditionalFormatting sqref="F3721">
    <cfRule type="containsText" dxfId="111" priority="112" operator="containsText" text="TOTAL">
      <formula>NOT(ISERROR(SEARCH("TOTAL",F3721)))</formula>
    </cfRule>
  </conditionalFormatting>
  <conditionalFormatting sqref="F3725">
    <cfRule type="containsText" dxfId="110" priority="111" operator="containsText" text="TOTAL">
      <formula>NOT(ISERROR(SEARCH("TOTAL",F3725)))</formula>
    </cfRule>
  </conditionalFormatting>
  <conditionalFormatting sqref="F3729">
    <cfRule type="containsText" dxfId="109" priority="110" operator="containsText" text="TOTAL">
      <formula>NOT(ISERROR(SEARCH("TOTAL",F3729)))</formula>
    </cfRule>
  </conditionalFormatting>
  <conditionalFormatting sqref="F3733">
    <cfRule type="containsText" dxfId="108" priority="109" operator="containsText" text="TOTAL">
      <formula>NOT(ISERROR(SEARCH("TOTAL",F3733)))</formula>
    </cfRule>
  </conditionalFormatting>
  <conditionalFormatting sqref="F3739">
    <cfRule type="containsText" dxfId="107" priority="108" operator="containsText" text="TOTAL">
      <formula>NOT(ISERROR(SEARCH("TOTAL",F3739)))</formula>
    </cfRule>
  </conditionalFormatting>
  <conditionalFormatting sqref="F3743">
    <cfRule type="containsText" dxfId="106" priority="107" operator="containsText" text="TOTAL">
      <formula>NOT(ISERROR(SEARCH("TOTAL",F3743)))</formula>
    </cfRule>
  </conditionalFormatting>
  <conditionalFormatting sqref="F3746">
    <cfRule type="containsText" dxfId="105" priority="106" operator="containsText" text="TOTAL">
      <formula>NOT(ISERROR(SEARCH("TOTAL",F3746)))</formula>
    </cfRule>
  </conditionalFormatting>
  <conditionalFormatting sqref="F3749">
    <cfRule type="containsText" dxfId="104" priority="105" operator="containsText" text="TOTAL">
      <formula>NOT(ISERROR(SEARCH("TOTAL",F3749)))</formula>
    </cfRule>
  </conditionalFormatting>
  <conditionalFormatting sqref="F3752">
    <cfRule type="containsText" dxfId="103" priority="104" operator="containsText" text="TOTAL">
      <formula>NOT(ISERROR(SEARCH("TOTAL",F3752)))</formula>
    </cfRule>
  </conditionalFormatting>
  <conditionalFormatting sqref="F3755">
    <cfRule type="containsText" dxfId="102" priority="103" operator="containsText" text="TOTAL">
      <formula>NOT(ISERROR(SEARCH("TOTAL",F3755)))</formula>
    </cfRule>
  </conditionalFormatting>
  <conditionalFormatting sqref="F3758">
    <cfRule type="containsText" dxfId="101" priority="102" operator="containsText" text="TOTAL">
      <formula>NOT(ISERROR(SEARCH("TOTAL",F3758)))</formula>
    </cfRule>
  </conditionalFormatting>
  <conditionalFormatting sqref="F3765">
    <cfRule type="containsText" dxfId="100" priority="101" operator="containsText" text="TOTAL">
      <formula>NOT(ISERROR(SEARCH("TOTAL",F3765)))</formula>
    </cfRule>
  </conditionalFormatting>
  <conditionalFormatting sqref="F3769">
    <cfRule type="containsText" dxfId="99" priority="100" operator="containsText" text="TOTAL">
      <formula>NOT(ISERROR(SEARCH("TOTAL",F3769)))</formula>
    </cfRule>
  </conditionalFormatting>
  <conditionalFormatting sqref="F3772">
    <cfRule type="containsText" dxfId="98" priority="99" operator="containsText" text="TOTAL">
      <formula>NOT(ISERROR(SEARCH("TOTAL",F3772)))</formula>
    </cfRule>
  </conditionalFormatting>
  <conditionalFormatting sqref="F3776">
    <cfRule type="containsText" dxfId="97" priority="98" operator="containsText" text="TOTAL">
      <formula>NOT(ISERROR(SEARCH("TOTAL",F3776)))</formula>
    </cfRule>
  </conditionalFormatting>
  <conditionalFormatting sqref="F3779">
    <cfRule type="containsText" dxfId="96" priority="97" operator="containsText" text="TOTAL">
      <formula>NOT(ISERROR(SEARCH("TOTAL",F3779)))</formula>
    </cfRule>
  </conditionalFormatting>
  <conditionalFormatting sqref="F3786">
    <cfRule type="containsText" dxfId="95" priority="96" operator="containsText" text="TOTAL">
      <formula>NOT(ISERROR(SEARCH("TOTAL",F3786)))</formula>
    </cfRule>
  </conditionalFormatting>
  <conditionalFormatting sqref="F3790">
    <cfRule type="containsText" dxfId="94" priority="95" operator="containsText" text="TOTAL">
      <formula>NOT(ISERROR(SEARCH("TOTAL",F3790)))</formula>
    </cfRule>
  </conditionalFormatting>
  <conditionalFormatting sqref="F3793">
    <cfRule type="containsText" dxfId="93" priority="94" operator="containsText" text="TOTAL">
      <formula>NOT(ISERROR(SEARCH("TOTAL",F3793)))</formula>
    </cfRule>
  </conditionalFormatting>
  <conditionalFormatting sqref="F3797">
    <cfRule type="containsText" dxfId="92" priority="93" operator="containsText" text="TOTAL">
      <formula>NOT(ISERROR(SEARCH("TOTAL",F3797)))</formula>
    </cfRule>
  </conditionalFormatting>
  <conditionalFormatting sqref="F3801">
    <cfRule type="containsText" dxfId="91" priority="92" operator="containsText" text="TOTAL">
      <formula>NOT(ISERROR(SEARCH("TOTAL",F3801)))</formula>
    </cfRule>
  </conditionalFormatting>
  <conditionalFormatting sqref="F3804">
    <cfRule type="containsText" dxfId="90" priority="91" operator="containsText" text="TOTAL">
      <formula>NOT(ISERROR(SEARCH("TOTAL",F3804)))</formula>
    </cfRule>
  </conditionalFormatting>
  <conditionalFormatting sqref="F3808">
    <cfRule type="containsText" dxfId="89" priority="90" operator="containsText" text="TOTAL">
      <formula>NOT(ISERROR(SEARCH("TOTAL",F3808)))</formula>
    </cfRule>
  </conditionalFormatting>
  <conditionalFormatting sqref="F3812">
    <cfRule type="containsText" dxfId="88" priority="89" operator="containsText" text="TOTAL">
      <formula>NOT(ISERROR(SEARCH("TOTAL",F3812)))</formula>
    </cfRule>
  </conditionalFormatting>
  <conditionalFormatting sqref="F3815">
    <cfRule type="containsText" dxfId="87" priority="88" operator="containsText" text="TOTAL">
      <formula>NOT(ISERROR(SEARCH("TOTAL",F3815)))</formula>
    </cfRule>
  </conditionalFormatting>
  <conditionalFormatting sqref="F3819">
    <cfRule type="containsText" dxfId="86" priority="87" operator="containsText" text="TOTAL">
      <formula>NOT(ISERROR(SEARCH("TOTAL",F3819)))</formula>
    </cfRule>
  </conditionalFormatting>
  <conditionalFormatting sqref="F3823">
    <cfRule type="containsText" dxfId="85" priority="86" operator="containsText" text="TOTAL">
      <formula>NOT(ISERROR(SEARCH("TOTAL",F3823)))</formula>
    </cfRule>
  </conditionalFormatting>
  <conditionalFormatting sqref="F3826">
    <cfRule type="containsText" dxfId="84" priority="85" operator="containsText" text="TOTAL">
      <formula>NOT(ISERROR(SEARCH("TOTAL",F3826)))</formula>
    </cfRule>
  </conditionalFormatting>
  <conditionalFormatting sqref="F3829">
    <cfRule type="containsText" dxfId="83" priority="84" operator="containsText" text="TOTAL">
      <formula>NOT(ISERROR(SEARCH("TOTAL",F3829)))</formula>
    </cfRule>
  </conditionalFormatting>
  <conditionalFormatting sqref="F3832">
    <cfRule type="containsText" dxfId="82" priority="83" operator="containsText" text="TOTAL">
      <formula>NOT(ISERROR(SEARCH("TOTAL",F3832)))</formula>
    </cfRule>
  </conditionalFormatting>
  <conditionalFormatting sqref="F3836">
    <cfRule type="containsText" dxfId="81" priority="82" operator="containsText" text="TOTAL">
      <formula>NOT(ISERROR(SEARCH("TOTAL",F3836)))</formula>
    </cfRule>
  </conditionalFormatting>
  <conditionalFormatting sqref="F3839">
    <cfRule type="containsText" dxfId="80" priority="81" operator="containsText" text="TOTAL">
      <formula>NOT(ISERROR(SEARCH("TOTAL",F3839)))</formula>
    </cfRule>
  </conditionalFormatting>
  <conditionalFormatting sqref="F3842">
    <cfRule type="containsText" dxfId="79" priority="80" operator="containsText" text="TOTAL">
      <formula>NOT(ISERROR(SEARCH("TOTAL",F3842)))</formula>
    </cfRule>
  </conditionalFormatting>
  <conditionalFormatting sqref="F3845">
    <cfRule type="containsText" dxfId="78" priority="79" operator="containsText" text="TOTAL">
      <formula>NOT(ISERROR(SEARCH("TOTAL",F3845)))</formula>
    </cfRule>
  </conditionalFormatting>
  <conditionalFormatting sqref="F3849">
    <cfRule type="containsText" dxfId="77" priority="78" operator="containsText" text="TOTAL">
      <formula>NOT(ISERROR(SEARCH("TOTAL",F3849)))</formula>
    </cfRule>
  </conditionalFormatting>
  <conditionalFormatting sqref="F3853">
    <cfRule type="containsText" dxfId="76" priority="77" operator="containsText" text="TOTAL">
      <formula>NOT(ISERROR(SEARCH("TOTAL",F3853)))</formula>
    </cfRule>
  </conditionalFormatting>
  <conditionalFormatting sqref="F3856">
    <cfRule type="containsText" dxfId="75" priority="76" operator="containsText" text="TOTAL">
      <formula>NOT(ISERROR(SEARCH("TOTAL",F3856)))</formula>
    </cfRule>
  </conditionalFormatting>
  <conditionalFormatting sqref="F3860">
    <cfRule type="containsText" dxfId="74" priority="75" operator="containsText" text="TOTAL">
      <formula>NOT(ISERROR(SEARCH("TOTAL",F3860)))</formula>
    </cfRule>
  </conditionalFormatting>
  <conditionalFormatting sqref="F3864">
    <cfRule type="containsText" dxfId="73" priority="74" operator="containsText" text="TOTAL">
      <formula>NOT(ISERROR(SEARCH("TOTAL",F3864)))</formula>
    </cfRule>
  </conditionalFormatting>
  <conditionalFormatting sqref="F3868">
    <cfRule type="containsText" dxfId="72" priority="73" operator="containsText" text="TOTAL">
      <formula>NOT(ISERROR(SEARCH("TOTAL",F3868)))</formula>
    </cfRule>
  </conditionalFormatting>
  <conditionalFormatting sqref="F3877">
    <cfRule type="containsText" dxfId="71" priority="72" operator="containsText" text="TOTAL">
      <formula>NOT(ISERROR(SEARCH("TOTAL",F3877)))</formula>
    </cfRule>
  </conditionalFormatting>
  <conditionalFormatting sqref="F3881">
    <cfRule type="containsText" dxfId="70" priority="71" operator="containsText" text="TOTAL">
      <formula>NOT(ISERROR(SEARCH("TOTAL",F3881)))</formula>
    </cfRule>
  </conditionalFormatting>
  <conditionalFormatting sqref="F3885">
    <cfRule type="containsText" dxfId="69" priority="70" operator="containsText" text="TOTAL">
      <formula>NOT(ISERROR(SEARCH("TOTAL",F3885)))</formula>
    </cfRule>
  </conditionalFormatting>
  <conditionalFormatting sqref="F3888">
    <cfRule type="containsText" dxfId="68" priority="69" operator="containsText" text="TOTAL">
      <formula>NOT(ISERROR(SEARCH("TOTAL",F3888)))</formula>
    </cfRule>
  </conditionalFormatting>
  <conditionalFormatting sqref="F3894">
    <cfRule type="containsText" dxfId="67" priority="68" operator="containsText" text="TOTAL">
      <formula>NOT(ISERROR(SEARCH("TOTAL",F3894)))</formula>
    </cfRule>
  </conditionalFormatting>
  <conditionalFormatting sqref="F3898">
    <cfRule type="containsText" dxfId="66" priority="67" operator="containsText" text="TOTAL">
      <formula>NOT(ISERROR(SEARCH("TOTAL",F3898)))</formula>
    </cfRule>
  </conditionalFormatting>
  <conditionalFormatting sqref="F3901">
    <cfRule type="containsText" dxfId="65" priority="66" operator="containsText" text="TOTAL">
      <formula>NOT(ISERROR(SEARCH("TOTAL",F3901)))</formula>
    </cfRule>
  </conditionalFormatting>
  <conditionalFormatting sqref="F3904">
    <cfRule type="containsText" dxfId="64" priority="65" operator="containsText" text="TOTAL">
      <formula>NOT(ISERROR(SEARCH("TOTAL",F3904)))</formula>
    </cfRule>
  </conditionalFormatting>
  <conditionalFormatting sqref="F3907">
    <cfRule type="containsText" dxfId="63" priority="64" operator="containsText" text="TOTAL">
      <formula>NOT(ISERROR(SEARCH("TOTAL",F3907)))</formula>
    </cfRule>
  </conditionalFormatting>
  <conditionalFormatting sqref="F3910">
    <cfRule type="containsText" dxfId="62" priority="63" operator="containsText" text="TOTAL">
      <formula>NOT(ISERROR(SEARCH("TOTAL",F3910)))</formula>
    </cfRule>
  </conditionalFormatting>
  <conditionalFormatting sqref="F3913">
    <cfRule type="containsText" dxfId="61" priority="62" operator="containsText" text="TOTAL">
      <formula>NOT(ISERROR(SEARCH("TOTAL",F3913)))</formula>
    </cfRule>
  </conditionalFormatting>
  <conditionalFormatting sqref="F3917">
    <cfRule type="containsText" dxfId="60" priority="61" operator="containsText" text="TOTAL">
      <formula>NOT(ISERROR(SEARCH("TOTAL",F3917)))</formula>
    </cfRule>
  </conditionalFormatting>
  <conditionalFormatting sqref="F3926">
    <cfRule type="containsText" dxfId="59" priority="60" operator="containsText" text="TOTAL">
      <formula>NOT(ISERROR(SEARCH("TOTAL",F3926)))</formula>
    </cfRule>
  </conditionalFormatting>
  <conditionalFormatting sqref="F3932">
    <cfRule type="containsText" dxfId="58" priority="59" operator="containsText" text="TOTAL">
      <formula>NOT(ISERROR(SEARCH("TOTAL",F3932)))</formula>
    </cfRule>
  </conditionalFormatting>
  <conditionalFormatting sqref="F3935">
    <cfRule type="containsText" dxfId="57" priority="58" operator="containsText" text="TOTAL">
      <formula>NOT(ISERROR(SEARCH("TOTAL",F3935)))</formula>
    </cfRule>
  </conditionalFormatting>
  <conditionalFormatting sqref="F3939">
    <cfRule type="containsText" dxfId="56" priority="57" operator="containsText" text="TOTAL">
      <formula>NOT(ISERROR(SEARCH("TOTAL",F3939)))</formula>
    </cfRule>
  </conditionalFormatting>
  <conditionalFormatting sqref="F3942">
    <cfRule type="containsText" dxfId="55" priority="56" operator="containsText" text="TOTAL">
      <formula>NOT(ISERROR(SEARCH("TOTAL",F3942)))</formula>
    </cfRule>
  </conditionalFormatting>
  <conditionalFormatting sqref="F3945">
    <cfRule type="containsText" dxfId="54" priority="55" operator="containsText" text="TOTAL">
      <formula>NOT(ISERROR(SEARCH("TOTAL",F3945)))</formula>
    </cfRule>
  </conditionalFormatting>
  <conditionalFormatting sqref="F3952">
    <cfRule type="containsText" dxfId="53" priority="54" operator="containsText" text="TOTAL">
      <formula>NOT(ISERROR(SEARCH("TOTAL",F3952)))</formula>
    </cfRule>
  </conditionalFormatting>
  <conditionalFormatting sqref="F3959">
    <cfRule type="containsText" dxfId="52" priority="53" operator="containsText" text="TOTAL">
      <formula>NOT(ISERROR(SEARCH("TOTAL",F3959)))</formula>
    </cfRule>
  </conditionalFormatting>
  <conditionalFormatting sqref="F3963">
    <cfRule type="containsText" dxfId="51" priority="52" operator="containsText" text="TOTAL">
      <formula>NOT(ISERROR(SEARCH("TOTAL",F3963)))</formula>
    </cfRule>
  </conditionalFormatting>
  <conditionalFormatting sqref="F3971">
    <cfRule type="containsText" dxfId="50" priority="51" operator="containsText" text="TOTAL">
      <formula>NOT(ISERROR(SEARCH("TOTAL",F3971)))</formula>
    </cfRule>
  </conditionalFormatting>
  <conditionalFormatting sqref="F3977">
    <cfRule type="containsText" dxfId="49" priority="50" operator="containsText" text="TOTAL">
      <formula>NOT(ISERROR(SEARCH("TOTAL",F3977)))</formula>
    </cfRule>
  </conditionalFormatting>
  <conditionalFormatting sqref="F3980">
    <cfRule type="containsText" dxfId="48" priority="49" operator="containsText" text="TOTAL">
      <formula>NOT(ISERROR(SEARCH("TOTAL",F3980)))</formula>
    </cfRule>
  </conditionalFormatting>
  <conditionalFormatting sqref="F3986">
    <cfRule type="containsText" dxfId="47" priority="48" operator="containsText" text="TOTAL">
      <formula>NOT(ISERROR(SEARCH("TOTAL",F3986)))</formula>
    </cfRule>
  </conditionalFormatting>
  <conditionalFormatting sqref="F3992">
    <cfRule type="containsText" dxfId="46" priority="47" operator="containsText" text="TOTAL">
      <formula>NOT(ISERROR(SEARCH("TOTAL",F3992)))</formula>
    </cfRule>
  </conditionalFormatting>
  <conditionalFormatting sqref="F3996">
    <cfRule type="containsText" dxfId="45" priority="46" operator="containsText" text="TOTAL">
      <formula>NOT(ISERROR(SEARCH("TOTAL",F3996)))</formula>
    </cfRule>
  </conditionalFormatting>
  <conditionalFormatting sqref="F3999">
    <cfRule type="containsText" dxfId="44" priority="45" operator="containsText" text="TOTAL">
      <formula>NOT(ISERROR(SEARCH("TOTAL",F3999)))</formula>
    </cfRule>
  </conditionalFormatting>
  <conditionalFormatting sqref="F4003">
    <cfRule type="containsText" dxfId="43" priority="44" operator="containsText" text="TOTAL">
      <formula>NOT(ISERROR(SEARCH("TOTAL",F4003)))</formula>
    </cfRule>
  </conditionalFormatting>
  <conditionalFormatting sqref="F4007">
    <cfRule type="containsText" dxfId="42" priority="43" operator="containsText" text="TOTAL">
      <formula>NOT(ISERROR(SEARCH("TOTAL",F4007)))</formula>
    </cfRule>
  </conditionalFormatting>
  <conditionalFormatting sqref="F4011">
    <cfRule type="containsText" dxfId="41" priority="42" operator="containsText" text="TOTAL">
      <formula>NOT(ISERROR(SEARCH("TOTAL",F4011)))</formula>
    </cfRule>
  </conditionalFormatting>
  <conditionalFormatting sqref="F4015">
    <cfRule type="containsText" dxfId="40" priority="41" operator="containsText" text="TOTAL">
      <formula>NOT(ISERROR(SEARCH("TOTAL",F4015)))</formula>
    </cfRule>
  </conditionalFormatting>
  <conditionalFormatting sqref="F4019">
    <cfRule type="containsText" dxfId="39" priority="40" operator="containsText" text="TOTAL">
      <formula>NOT(ISERROR(SEARCH("TOTAL",F4019)))</formula>
    </cfRule>
  </conditionalFormatting>
  <conditionalFormatting sqref="F4023">
    <cfRule type="containsText" dxfId="38" priority="39" operator="containsText" text="TOTAL">
      <formula>NOT(ISERROR(SEARCH("TOTAL",F4023)))</formula>
    </cfRule>
  </conditionalFormatting>
  <conditionalFormatting sqref="F4027">
    <cfRule type="containsText" dxfId="37" priority="38" operator="containsText" text="TOTAL">
      <formula>NOT(ISERROR(SEARCH("TOTAL",F4027)))</formula>
    </cfRule>
  </conditionalFormatting>
  <conditionalFormatting sqref="F4031">
    <cfRule type="containsText" dxfId="36" priority="37" operator="containsText" text="TOTAL">
      <formula>NOT(ISERROR(SEARCH("TOTAL",F4031)))</formula>
    </cfRule>
  </conditionalFormatting>
  <conditionalFormatting sqref="F4034">
    <cfRule type="containsText" dxfId="35" priority="36" operator="containsText" text="TOTAL">
      <formula>NOT(ISERROR(SEARCH("TOTAL",F4034)))</formula>
    </cfRule>
  </conditionalFormatting>
  <conditionalFormatting sqref="F4038">
    <cfRule type="containsText" dxfId="34" priority="35" operator="containsText" text="TOTAL">
      <formula>NOT(ISERROR(SEARCH("TOTAL",F4038)))</formula>
    </cfRule>
  </conditionalFormatting>
  <conditionalFormatting sqref="F4042">
    <cfRule type="containsText" dxfId="33" priority="34" operator="containsText" text="TOTAL">
      <formula>NOT(ISERROR(SEARCH("TOTAL",F4042)))</formula>
    </cfRule>
  </conditionalFormatting>
  <conditionalFormatting sqref="F4045">
    <cfRule type="containsText" dxfId="32" priority="33" operator="containsText" text="TOTAL">
      <formula>NOT(ISERROR(SEARCH("TOTAL",F4045)))</formula>
    </cfRule>
  </conditionalFormatting>
  <conditionalFormatting sqref="F4049">
    <cfRule type="containsText" dxfId="31" priority="32" operator="containsText" text="TOTAL">
      <formula>NOT(ISERROR(SEARCH("TOTAL",F4049)))</formula>
    </cfRule>
  </conditionalFormatting>
  <conditionalFormatting sqref="F4053">
    <cfRule type="containsText" dxfId="30" priority="31" operator="containsText" text="TOTAL">
      <formula>NOT(ISERROR(SEARCH("TOTAL",F4053)))</formula>
    </cfRule>
  </conditionalFormatting>
  <conditionalFormatting sqref="F4057">
    <cfRule type="containsText" dxfId="29" priority="30" operator="containsText" text="TOTAL">
      <formula>NOT(ISERROR(SEARCH("TOTAL",F4057)))</formula>
    </cfRule>
  </conditionalFormatting>
  <conditionalFormatting sqref="F4061">
    <cfRule type="containsText" dxfId="28" priority="29" operator="containsText" text="TOTAL">
      <formula>NOT(ISERROR(SEARCH("TOTAL",F4061)))</formula>
    </cfRule>
  </conditionalFormatting>
  <conditionalFormatting sqref="F4064">
    <cfRule type="containsText" dxfId="27" priority="28" operator="containsText" text="TOTAL">
      <formula>NOT(ISERROR(SEARCH("TOTAL",F4064)))</formula>
    </cfRule>
  </conditionalFormatting>
  <conditionalFormatting sqref="F4072">
    <cfRule type="containsText" dxfId="26" priority="27" operator="containsText" text="TOTAL">
      <formula>NOT(ISERROR(SEARCH("TOTAL",F4072)))</formula>
    </cfRule>
  </conditionalFormatting>
  <conditionalFormatting sqref="F4084">
    <cfRule type="containsText" dxfId="25" priority="26" operator="containsText" text="TOTAL">
      <formula>NOT(ISERROR(SEARCH("TOTAL",F4084)))</formula>
    </cfRule>
  </conditionalFormatting>
  <conditionalFormatting sqref="F4104">
    <cfRule type="containsText" dxfId="24" priority="25" operator="containsText" text="TOTAL">
      <formula>NOT(ISERROR(SEARCH("TOTAL",F4104)))</formula>
    </cfRule>
  </conditionalFormatting>
  <conditionalFormatting sqref="F4118">
    <cfRule type="containsText" dxfId="23" priority="24" operator="containsText" text="TOTAL">
      <formula>NOT(ISERROR(SEARCH("TOTAL",F4118)))</formula>
    </cfRule>
  </conditionalFormatting>
  <conditionalFormatting sqref="F4122">
    <cfRule type="containsText" dxfId="22" priority="23" operator="containsText" text="TOTAL">
      <formula>NOT(ISERROR(SEARCH("TOTAL",F4122)))</formula>
    </cfRule>
  </conditionalFormatting>
  <conditionalFormatting sqref="F4129">
    <cfRule type="containsText" dxfId="21" priority="22" operator="containsText" text="TOTAL">
      <formula>NOT(ISERROR(SEARCH("TOTAL",F4129)))</formula>
    </cfRule>
  </conditionalFormatting>
  <conditionalFormatting sqref="F4134">
    <cfRule type="containsText" dxfId="20" priority="21" operator="containsText" text="TOTAL">
      <formula>NOT(ISERROR(SEARCH("TOTAL",F4134)))</formula>
    </cfRule>
  </conditionalFormatting>
  <conditionalFormatting sqref="F4138">
    <cfRule type="containsText" dxfId="19" priority="20" operator="containsText" text="TOTAL">
      <formula>NOT(ISERROR(SEARCH("TOTAL",F4138)))</formula>
    </cfRule>
  </conditionalFormatting>
  <conditionalFormatting sqref="F4142">
    <cfRule type="containsText" dxfId="18" priority="19" operator="containsText" text="TOTAL">
      <formula>NOT(ISERROR(SEARCH("TOTAL",F4142)))</formula>
    </cfRule>
  </conditionalFormatting>
  <conditionalFormatting sqref="F4149">
    <cfRule type="containsText" dxfId="17" priority="18" operator="containsText" text="TOTAL">
      <formula>NOT(ISERROR(SEARCH("TOTAL",F4149)))</formula>
    </cfRule>
  </conditionalFormatting>
  <conditionalFormatting sqref="F4156">
    <cfRule type="containsText" dxfId="16" priority="17" operator="containsText" text="TOTAL">
      <formula>NOT(ISERROR(SEARCH("TOTAL",F4156)))</formula>
    </cfRule>
  </conditionalFormatting>
  <conditionalFormatting sqref="F4160">
    <cfRule type="containsText" dxfId="15" priority="16" operator="containsText" text="TOTAL">
      <formula>NOT(ISERROR(SEARCH("TOTAL",F4160)))</formula>
    </cfRule>
  </conditionalFormatting>
  <conditionalFormatting sqref="F4164">
    <cfRule type="containsText" dxfId="14" priority="15" operator="containsText" text="TOTAL">
      <formula>NOT(ISERROR(SEARCH("TOTAL",F4164)))</formula>
    </cfRule>
  </conditionalFormatting>
  <conditionalFormatting sqref="F4167">
    <cfRule type="containsText" dxfId="13" priority="14" operator="containsText" text="TOTAL">
      <formula>NOT(ISERROR(SEARCH("TOTAL",F4167)))</formula>
    </cfRule>
  </conditionalFormatting>
  <conditionalFormatting sqref="F4173">
    <cfRule type="containsText" dxfId="12" priority="13" operator="containsText" text="TOTAL">
      <formula>NOT(ISERROR(SEARCH("TOTAL",F4173)))</formula>
    </cfRule>
  </conditionalFormatting>
  <conditionalFormatting sqref="F4179">
    <cfRule type="containsText" dxfId="11" priority="12" operator="containsText" text="TOTAL">
      <formula>NOT(ISERROR(SEARCH("TOTAL",F4179)))</formula>
    </cfRule>
  </conditionalFormatting>
  <conditionalFormatting sqref="F4183">
    <cfRule type="containsText" dxfId="10" priority="11" operator="containsText" text="TOTAL">
      <formula>NOT(ISERROR(SEARCH("TOTAL",F4183)))</formula>
    </cfRule>
  </conditionalFormatting>
  <conditionalFormatting sqref="F4186">
    <cfRule type="containsText" dxfId="9" priority="10" operator="containsText" text="TOTAL">
      <formula>NOT(ISERROR(SEARCH("TOTAL",F4186)))</formula>
    </cfRule>
  </conditionalFormatting>
  <conditionalFormatting sqref="F4190">
    <cfRule type="containsText" dxfId="8" priority="9" operator="containsText" text="TOTAL">
      <formula>NOT(ISERROR(SEARCH("TOTAL",F4190)))</formula>
    </cfRule>
  </conditionalFormatting>
  <conditionalFormatting sqref="F4194">
    <cfRule type="containsText" dxfId="7" priority="8" operator="containsText" text="TOTAL">
      <formula>NOT(ISERROR(SEARCH("TOTAL",F4194)))</formula>
    </cfRule>
  </conditionalFormatting>
  <conditionalFormatting sqref="F3783">
    <cfRule type="containsText" dxfId="6" priority="7" operator="containsText" text="TOTAL">
      <formula>NOT(ISERROR(SEARCH("TOTAL",F3783)))</formula>
    </cfRule>
  </conditionalFormatting>
  <conditionalFormatting sqref="F4201">
    <cfRule type="containsText" dxfId="5" priority="6" operator="containsText" text="TOTAL">
      <formula>NOT(ISERROR(SEARCH("TOTAL",F4201)))</formula>
    </cfRule>
  </conditionalFormatting>
  <conditionalFormatting sqref="F4205">
    <cfRule type="containsText" dxfId="4" priority="5" operator="containsText" text="TOTAL">
      <formula>NOT(ISERROR(SEARCH("TOTAL",F4205)))</formula>
    </cfRule>
  </conditionalFormatting>
  <conditionalFormatting sqref="F4209">
    <cfRule type="containsText" dxfId="3" priority="4" operator="containsText" text="TOTAL">
      <formula>NOT(ISERROR(SEARCH("TOTAL",F4209)))</formula>
    </cfRule>
  </conditionalFormatting>
  <conditionalFormatting sqref="F4213">
    <cfRule type="containsText" dxfId="2" priority="3" operator="containsText" text="TOTAL">
      <formula>NOT(ISERROR(SEARCH("TOTAL",F4213)))</formula>
    </cfRule>
  </conditionalFormatting>
  <conditionalFormatting sqref="F4217">
    <cfRule type="containsText" dxfId="1" priority="2" operator="containsText" text="TOTAL">
      <formula>NOT(ISERROR(SEARCH("TOTAL",F4217)))</formula>
    </cfRule>
  </conditionalFormatting>
  <conditionalFormatting sqref="F4221">
    <cfRule type="containsText" dxfId="0" priority="1" operator="containsText" text="TOTAL">
      <formula>NOT(ISERROR(SEARCH("TOTAL",F4221)))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Collection Report Details</vt:lpstr>
      <vt:lpstr>SORTED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Arjay V. Villaroza</dc:creator>
  <cp:lastModifiedBy>MARIAN-PC</cp:lastModifiedBy>
  <dcterms:created xsi:type="dcterms:W3CDTF">2022-05-16T17:59:33Z</dcterms:created>
  <dcterms:modified xsi:type="dcterms:W3CDTF">2022-07-18T06:23:42Z</dcterms:modified>
</cp:coreProperties>
</file>